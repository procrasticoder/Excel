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perations\New folder\"/>
    </mc:Choice>
  </mc:AlternateContent>
  <bookViews>
    <workbookView xWindow="32760" yWindow="32760" windowWidth="21855" windowHeight="14940" activeTab="4"/>
  </bookViews>
  <sheets>
    <sheet name="SUMMARY" sheetId="10" r:id="rId1"/>
    <sheet name="Sum" sheetId="12" r:id="rId2"/>
    <sheet name="PTN" sheetId="5" r:id="rId3"/>
    <sheet name="Sheet3" sheetId="15" r:id="rId4"/>
    <sheet name="Plant Master" sheetId="14" r:id="rId5"/>
    <sheet name="DHJ" sheetId="7" r:id="rId6"/>
    <sheet name="GHT" sheetId="8" r:id="rId7"/>
    <sheet name="PMR" sheetId="11" r:id="rId8"/>
    <sheet name="CTGN" sheetId="6" r:id="rId9"/>
    <sheet name="CKT" sheetId="4" r:id="rId10"/>
    <sheet name="CML" sheetId="3" r:id="rId11"/>
    <sheet name="TP" sheetId="9" r:id="rId12"/>
    <sheet name="VOP_Apr-22" sheetId="13" r:id="rId13"/>
    <sheet name="Sheet1" sheetId="1" state="hidden" r:id="rId14"/>
  </sheets>
  <definedNames>
    <definedName name="_xlnm._FilterDatabase" localSheetId="9" hidden="1">CKT!$B$4:$P$39</definedName>
    <definedName name="_xlnm._FilterDatabase" localSheetId="10" hidden="1">CML!$B$4:$P$218</definedName>
    <definedName name="_xlnm._FilterDatabase" localSheetId="8" hidden="1">CTGN!$B$4:$P$87</definedName>
    <definedName name="_xlnm._FilterDatabase" localSheetId="5" hidden="1">DHJ!$B$4:$P$162</definedName>
    <definedName name="_xlnm._FilterDatabase" localSheetId="6" hidden="1">GHT!$B$4:$P$211</definedName>
    <definedName name="_xlnm._FilterDatabase" localSheetId="7" hidden="1">PMR!$B$4:$P$51</definedName>
    <definedName name="_xlnm._FilterDatabase" localSheetId="2" hidden="1">PTN!$B$4:$P$130</definedName>
    <definedName name="_xlnm._FilterDatabase" localSheetId="13" hidden="1">Sheet1!$C$2:$J$199</definedName>
    <definedName name="_xlnm._FilterDatabase" localSheetId="11" hidden="1">TP!$B$4:$P$78</definedName>
    <definedName name="_xlnm._FilterDatabase" localSheetId="12" hidden="1">'VOP_Apr-22'!$A$1:$T$974</definedName>
    <definedName name="_xlnm.Print_Area" localSheetId="0">SUMMARY!$C$3:$K$3</definedName>
  </definedNames>
  <calcPr calcId="162913"/>
</workbook>
</file>

<file path=xl/calcChain.xml><?xml version="1.0" encoding="utf-8"?>
<calcChain xmlns="http://schemas.openxmlformats.org/spreadsheetml/2006/main">
  <c r="K48" i="10" l="1"/>
  <c r="J48" i="10"/>
  <c r="I48" i="10"/>
  <c r="H48" i="10"/>
  <c r="G48" i="10"/>
  <c r="F48" i="10"/>
  <c r="E48" i="10"/>
  <c r="D48" i="10"/>
  <c r="L48" i="10" s="1"/>
  <c r="K47" i="10"/>
  <c r="J47" i="10"/>
  <c r="I47" i="10"/>
  <c r="H47" i="10"/>
  <c r="G47" i="10"/>
  <c r="F47" i="10"/>
  <c r="E47" i="10"/>
  <c r="D47" i="10"/>
  <c r="K46" i="10"/>
  <c r="J46" i="10"/>
  <c r="I46" i="10"/>
  <c r="H46" i="10"/>
  <c r="G46" i="10"/>
  <c r="F46" i="10"/>
  <c r="E46" i="10"/>
  <c r="D46" i="10"/>
  <c r="L46" i="10" s="1"/>
  <c r="K45" i="10"/>
  <c r="J45" i="10"/>
  <c r="I45" i="10"/>
  <c r="H45" i="10"/>
  <c r="G45" i="10"/>
  <c r="F45" i="10"/>
  <c r="E45" i="10"/>
  <c r="D45" i="10"/>
  <c r="L45" i="10" s="1"/>
  <c r="K44" i="10"/>
  <c r="J44" i="10"/>
  <c r="I44" i="10"/>
  <c r="H44" i="10"/>
  <c r="G44" i="10"/>
  <c r="F44" i="10"/>
  <c r="E44" i="10"/>
  <c r="D44" i="10"/>
  <c r="L44" i="10" s="1"/>
  <c r="K43" i="10"/>
  <c r="J43" i="10"/>
  <c r="I43" i="10"/>
  <c r="H43" i="10"/>
  <c r="G43" i="10"/>
  <c r="F43" i="10"/>
  <c r="E43" i="10"/>
  <c r="D43" i="10"/>
  <c r="K42" i="10"/>
  <c r="J42" i="10"/>
  <c r="I42" i="10"/>
  <c r="H42" i="10"/>
  <c r="G42" i="10"/>
  <c r="F42" i="10"/>
  <c r="E42" i="10"/>
  <c r="D42" i="10"/>
  <c r="L42" i="10" s="1"/>
  <c r="K41" i="10"/>
  <c r="J41" i="10"/>
  <c r="I41" i="10"/>
  <c r="H41" i="10"/>
  <c r="G41" i="10"/>
  <c r="F41" i="10"/>
  <c r="E41" i="10"/>
  <c r="D41" i="10"/>
  <c r="L41" i="10" s="1"/>
  <c r="K40" i="10"/>
  <c r="J40" i="10"/>
  <c r="I40" i="10"/>
  <c r="H40" i="10"/>
  <c r="G40" i="10"/>
  <c r="F40" i="10"/>
  <c r="E40" i="10"/>
  <c r="D40" i="10"/>
  <c r="L40" i="10" s="1"/>
  <c r="K39" i="10"/>
  <c r="J39" i="10"/>
  <c r="I39" i="10"/>
  <c r="H39" i="10"/>
  <c r="G39" i="10"/>
  <c r="F39" i="10"/>
  <c r="E39" i="10"/>
  <c r="D39" i="10"/>
  <c r="L39" i="10" s="1"/>
  <c r="K38" i="10"/>
  <c r="J38" i="10"/>
  <c r="I38" i="10"/>
  <c r="H38" i="10"/>
  <c r="G38" i="10"/>
  <c r="F38" i="10"/>
  <c r="E38" i="10"/>
  <c r="D38" i="10"/>
  <c r="L38" i="10" s="1"/>
  <c r="K37" i="10"/>
  <c r="J37" i="10"/>
  <c r="I37" i="10"/>
  <c r="H37" i="10"/>
  <c r="G37" i="10"/>
  <c r="F37" i="10"/>
  <c r="E37" i="10"/>
  <c r="D37" i="10"/>
  <c r="L37" i="10" s="1"/>
  <c r="K36" i="10"/>
  <c r="J36" i="10"/>
  <c r="I36" i="10"/>
  <c r="H36" i="10"/>
  <c r="G36" i="10"/>
  <c r="F36" i="10"/>
  <c r="E36" i="10"/>
  <c r="D36" i="10"/>
  <c r="K35" i="10"/>
  <c r="J35" i="10"/>
  <c r="I35" i="10"/>
  <c r="H35" i="10"/>
  <c r="G35" i="10"/>
  <c r="F35" i="10"/>
  <c r="E35" i="10"/>
  <c r="D35" i="10"/>
  <c r="L35" i="10" s="1"/>
  <c r="K34" i="10"/>
  <c r="J34" i="10"/>
  <c r="I34" i="10"/>
  <c r="H34" i="10"/>
  <c r="G34" i="10"/>
  <c r="F34" i="10"/>
  <c r="E34" i="10"/>
  <c r="D34" i="10"/>
  <c r="L34" i="10" s="1"/>
  <c r="K33" i="10"/>
  <c r="J33" i="10"/>
  <c r="I33" i="10"/>
  <c r="H33" i="10"/>
  <c r="G33" i="10"/>
  <c r="F33" i="10"/>
  <c r="E33" i="10"/>
  <c r="D33" i="10"/>
  <c r="L33" i="10" s="1"/>
  <c r="K32" i="10"/>
  <c r="J32" i="10"/>
  <c r="I32" i="10"/>
  <c r="H32" i="10"/>
  <c r="G32" i="10"/>
  <c r="F32" i="10"/>
  <c r="E32" i="10"/>
  <c r="D32" i="10"/>
  <c r="K31" i="10"/>
  <c r="J31" i="10"/>
  <c r="I31" i="10"/>
  <c r="H31" i="10"/>
  <c r="G31" i="10"/>
  <c r="F31" i="10"/>
  <c r="E31" i="10"/>
  <c r="D31" i="10"/>
  <c r="L31" i="10" s="1"/>
  <c r="K30" i="10"/>
  <c r="J30" i="10"/>
  <c r="I30" i="10"/>
  <c r="H30" i="10"/>
  <c r="G30" i="10"/>
  <c r="F30" i="10"/>
  <c r="E30" i="10"/>
  <c r="D30" i="10"/>
  <c r="D49" i="10" s="1"/>
  <c r="K29" i="10"/>
  <c r="J29" i="10"/>
  <c r="I29" i="10"/>
  <c r="H29" i="10"/>
  <c r="L29" i="10" s="1"/>
  <c r="G29" i="10"/>
  <c r="F29" i="10"/>
  <c r="E29" i="10"/>
  <c r="D29" i="10"/>
  <c r="F49" i="10"/>
  <c r="E49" i="10"/>
  <c r="L47" i="10"/>
  <c r="L43" i="10"/>
  <c r="I49" i="10"/>
  <c r="L36" i="10"/>
  <c r="L32" i="10"/>
  <c r="J49" i="10"/>
  <c r="G49" i="10"/>
  <c r="K49" i="10"/>
  <c r="G13" i="12"/>
  <c r="H49" i="10" l="1"/>
  <c r="L30" i="10"/>
  <c r="L49" i="10" s="1"/>
  <c r="Q877" i="13"/>
  <c r="R877" i="13" s="1"/>
  <c r="L877" i="13"/>
  <c r="M877" i="13" s="1"/>
  <c r="Q876" i="13"/>
  <c r="R876" i="13" s="1"/>
  <c r="L876" i="13"/>
  <c r="M876" i="13" s="1"/>
  <c r="Q875" i="13"/>
  <c r="R875" i="13" s="1"/>
  <c r="L875" i="13"/>
  <c r="M875" i="13" s="1"/>
  <c r="Q874" i="13"/>
  <c r="R874" i="13" s="1"/>
  <c r="L874" i="13"/>
  <c r="M874" i="13" s="1"/>
  <c r="Q873" i="13"/>
  <c r="R873" i="13" s="1"/>
  <c r="L873" i="13"/>
  <c r="M873" i="13" s="1"/>
  <c r="Q872" i="13"/>
  <c r="R872" i="13" s="1"/>
  <c r="L872" i="13"/>
  <c r="M872" i="13" s="1"/>
  <c r="Q871" i="13"/>
  <c r="R871" i="13" s="1"/>
  <c r="L871" i="13"/>
  <c r="M871" i="13" s="1"/>
  <c r="Q870" i="13"/>
  <c r="R870" i="13" s="1"/>
  <c r="L870" i="13"/>
  <c r="M870" i="13" s="1"/>
  <c r="Q869" i="13"/>
  <c r="R869" i="13" s="1"/>
  <c r="L869" i="13"/>
  <c r="M869" i="13" s="1"/>
  <c r="Q868" i="13"/>
  <c r="R868" i="13" s="1"/>
  <c r="L868" i="13"/>
  <c r="M868" i="13" s="1"/>
  <c r="Q867" i="13"/>
  <c r="R867" i="13" s="1"/>
  <c r="L867" i="13"/>
  <c r="M867" i="13" s="1"/>
  <c r="Q866" i="13"/>
  <c r="R866" i="13" s="1"/>
  <c r="L866" i="13"/>
  <c r="M866" i="13" s="1"/>
  <c r="Q865" i="13"/>
  <c r="R865" i="13" s="1"/>
  <c r="L865" i="13"/>
  <c r="M865" i="13" s="1"/>
  <c r="Q864" i="13"/>
  <c r="R864" i="13" s="1"/>
  <c r="L864" i="13"/>
  <c r="M864" i="13" s="1"/>
  <c r="Q863" i="13"/>
  <c r="R863" i="13" s="1"/>
  <c r="L863" i="13"/>
  <c r="M863" i="13" s="1"/>
  <c r="Q862" i="13"/>
  <c r="R862" i="13" s="1"/>
  <c r="L862" i="13"/>
  <c r="M862" i="13" s="1"/>
  <c r="Q861" i="13"/>
  <c r="R861" i="13" s="1"/>
  <c r="L861" i="13"/>
  <c r="M861" i="13" s="1"/>
  <c r="Q860" i="13"/>
  <c r="R860" i="13" s="1"/>
  <c r="L860" i="13"/>
  <c r="M860" i="13" s="1"/>
  <c r="Q859" i="13"/>
  <c r="R859" i="13" s="1"/>
  <c r="L859" i="13"/>
  <c r="M859" i="13" s="1"/>
  <c r="Q858" i="13"/>
  <c r="R858" i="13" s="1"/>
  <c r="L858" i="13"/>
  <c r="M858" i="13" s="1"/>
  <c r="Q857" i="13"/>
  <c r="R857" i="13" s="1"/>
  <c r="L857" i="13"/>
  <c r="M857" i="13" s="1"/>
  <c r="Q856" i="13"/>
  <c r="R856" i="13" s="1"/>
  <c r="L856" i="13"/>
  <c r="M856" i="13" s="1"/>
  <c r="Q855" i="13"/>
  <c r="R855" i="13" s="1"/>
  <c r="L855" i="13"/>
  <c r="M855" i="13" s="1"/>
  <c r="Q854" i="13"/>
  <c r="R854" i="13" s="1"/>
  <c r="L854" i="13"/>
  <c r="M854" i="13" s="1"/>
  <c r="Q853" i="13"/>
  <c r="R853" i="13" s="1"/>
  <c r="L853" i="13"/>
  <c r="M853" i="13" s="1"/>
  <c r="Q852" i="13"/>
  <c r="R852" i="13" s="1"/>
  <c r="L852" i="13"/>
  <c r="M852" i="13" s="1"/>
  <c r="Q851" i="13"/>
  <c r="R851" i="13" s="1"/>
  <c r="L851" i="13"/>
  <c r="M851" i="13" s="1"/>
  <c r="Q850" i="13"/>
  <c r="R850" i="13" s="1"/>
  <c r="L850" i="13"/>
  <c r="M850" i="13" s="1"/>
  <c r="Q849" i="13"/>
  <c r="R849" i="13" s="1"/>
  <c r="L849" i="13"/>
  <c r="M849" i="13" s="1"/>
  <c r="Q848" i="13"/>
  <c r="R848" i="13" s="1"/>
  <c r="L848" i="13"/>
  <c r="M848" i="13" s="1"/>
  <c r="Q847" i="13"/>
  <c r="R847" i="13" s="1"/>
  <c r="L847" i="13"/>
  <c r="M847" i="13" s="1"/>
  <c r="Q846" i="13"/>
  <c r="R846" i="13" s="1"/>
  <c r="L846" i="13"/>
  <c r="M846" i="13" s="1"/>
  <c r="Q845" i="13"/>
  <c r="R845" i="13" s="1"/>
  <c r="L845" i="13"/>
  <c r="M845" i="13" s="1"/>
  <c r="Q844" i="13"/>
  <c r="R844" i="13" s="1"/>
  <c r="L844" i="13"/>
  <c r="M844" i="13" s="1"/>
  <c r="Q843" i="13"/>
  <c r="R843" i="13" s="1"/>
  <c r="L843" i="13"/>
  <c r="M843" i="13" s="1"/>
  <c r="Q842" i="13"/>
  <c r="R842" i="13" s="1"/>
  <c r="L842" i="13"/>
  <c r="M842" i="13" s="1"/>
  <c r="Q841" i="13"/>
  <c r="R841" i="13" s="1"/>
  <c r="L841" i="13"/>
  <c r="M841" i="13" s="1"/>
  <c r="Q840" i="13"/>
  <c r="R840" i="13" s="1"/>
  <c r="L840" i="13"/>
  <c r="M840" i="13" s="1"/>
  <c r="Q839" i="13"/>
  <c r="R839" i="13" s="1"/>
  <c r="L839" i="13"/>
  <c r="M839" i="13" s="1"/>
  <c r="Q838" i="13"/>
  <c r="R838" i="13" s="1"/>
  <c r="L838" i="13"/>
  <c r="M838" i="13" s="1"/>
  <c r="Q837" i="13"/>
  <c r="R837" i="13" s="1"/>
  <c r="L837" i="13"/>
  <c r="M837" i="13" s="1"/>
  <c r="Q836" i="13"/>
  <c r="R836" i="13" s="1"/>
  <c r="L836" i="13"/>
  <c r="M836" i="13" s="1"/>
  <c r="Q835" i="13"/>
  <c r="R835" i="13" s="1"/>
  <c r="L835" i="13"/>
  <c r="M835" i="13" s="1"/>
  <c r="Q834" i="13"/>
  <c r="R834" i="13" s="1"/>
  <c r="L834" i="13"/>
  <c r="M834" i="13" s="1"/>
  <c r="Q833" i="13"/>
  <c r="R833" i="13" s="1"/>
  <c r="L833" i="13"/>
  <c r="M833" i="13" s="1"/>
  <c r="Q832" i="13"/>
  <c r="R832" i="13" s="1"/>
  <c r="L832" i="13"/>
  <c r="M832" i="13" s="1"/>
  <c r="Q831" i="13"/>
  <c r="R831" i="13" s="1"/>
  <c r="L831" i="13"/>
  <c r="M831" i="13" s="1"/>
  <c r="Q830" i="13"/>
  <c r="R830" i="13" s="1"/>
  <c r="L830" i="13"/>
  <c r="M830" i="13" s="1"/>
  <c r="Q829" i="13"/>
  <c r="R829" i="13" s="1"/>
  <c r="L829" i="13"/>
  <c r="M829" i="13" s="1"/>
  <c r="Q828" i="13"/>
  <c r="R828" i="13" s="1"/>
  <c r="L828" i="13"/>
  <c r="M828" i="13" s="1"/>
  <c r="Q827" i="13"/>
  <c r="R827" i="13" s="1"/>
  <c r="L827" i="13"/>
  <c r="M827" i="13" s="1"/>
  <c r="Q826" i="13"/>
  <c r="R826" i="13" s="1"/>
  <c r="L826" i="13"/>
  <c r="M826" i="13" s="1"/>
  <c r="Q825" i="13"/>
  <c r="R825" i="13" s="1"/>
  <c r="L825" i="13"/>
  <c r="M825" i="13" s="1"/>
  <c r="Q824" i="13"/>
  <c r="R824" i="13" s="1"/>
  <c r="L824" i="13"/>
  <c r="M824" i="13" s="1"/>
  <c r="Q823" i="13"/>
  <c r="R823" i="13" s="1"/>
  <c r="L823" i="13"/>
  <c r="M823" i="13" s="1"/>
  <c r="Q822" i="13"/>
  <c r="R822" i="13" s="1"/>
  <c r="L822" i="13"/>
  <c r="M822" i="13" s="1"/>
  <c r="Q821" i="13"/>
  <c r="R821" i="13" s="1"/>
  <c r="L821" i="13"/>
  <c r="M821" i="13" s="1"/>
  <c r="Q820" i="13"/>
  <c r="R820" i="13" s="1"/>
  <c r="L820" i="13"/>
  <c r="M820" i="13" s="1"/>
  <c r="Q819" i="13"/>
  <c r="R819" i="13" s="1"/>
  <c r="L819" i="13"/>
  <c r="M819" i="13" s="1"/>
  <c r="Q818" i="13"/>
  <c r="R818" i="13" s="1"/>
  <c r="L818" i="13"/>
  <c r="M818" i="13" s="1"/>
  <c r="Q817" i="13"/>
  <c r="R817" i="13" s="1"/>
  <c r="L817" i="13"/>
  <c r="M817" i="13" s="1"/>
  <c r="Q816" i="13"/>
  <c r="R816" i="13" s="1"/>
  <c r="L816" i="13"/>
  <c r="M816" i="13" s="1"/>
  <c r="Q815" i="13"/>
  <c r="R815" i="13" s="1"/>
  <c r="O815" i="13"/>
  <c r="L815" i="13"/>
  <c r="M815" i="13" s="1"/>
  <c r="Q814" i="13"/>
  <c r="R814" i="13" s="1"/>
  <c r="O814" i="13"/>
  <c r="L814" i="13"/>
  <c r="M814" i="13" s="1"/>
  <c r="Q813" i="13"/>
  <c r="R813" i="13" s="1"/>
  <c r="O813" i="13"/>
  <c r="L813" i="13"/>
  <c r="M813" i="13" s="1"/>
  <c r="Q812" i="13"/>
  <c r="R812" i="13" s="1"/>
  <c r="O812" i="13"/>
  <c r="L812" i="13"/>
  <c r="M812" i="13" s="1"/>
  <c r="Q811" i="13"/>
  <c r="R811" i="13" s="1"/>
  <c r="O811" i="13"/>
  <c r="L811" i="13"/>
  <c r="M811" i="13" s="1"/>
  <c r="Q810" i="13"/>
  <c r="R810" i="13" s="1"/>
  <c r="O810" i="13"/>
  <c r="L810" i="13"/>
  <c r="M810" i="13" s="1"/>
  <c r="Q809" i="13"/>
  <c r="R809" i="13" s="1"/>
  <c r="O809" i="13"/>
  <c r="L809" i="13"/>
  <c r="M809" i="13" s="1"/>
  <c r="Q808" i="13"/>
  <c r="R808" i="13" s="1"/>
  <c r="O808" i="13"/>
  <c r="L808" i="13"/>
  <c r="M808" i="13" s="1"/>
  <c r="Q807" i="13"/>
  <c r="R807" i="13" s="1"/>
  <c r="O807" i="13"/>
  <c r="L807" i="13"/>
  <c r="M807" i="13" s="1"/>
  <c r="Q806" i="13"/>
  <c r="R806" i="13" s="1"/>
  <c r="O806" i="13"/>
  <c r="L806" i="13"/>
  <c r="M806" i="13" s="1"/>
  <c r="Q805" i="13"/>
  <c r="R805" i="13" s="1"/>
  <c r="O805" i="13"/>
  <c r="L805" i="13"/>
  <c r="M805" i="13" s="1"/>
  <c r="Q804" i="13"/>
  <c r="R804" i="13" s="1"/>
  <c r="O804" i="13"/>
  <c r="L804" i="13"/>
  <c r="M804" i="13" s="1"/>
  <c r="Q803" i="13"/>
  <c r="R803" i="13" s="1"/>
  <c r="O803" i="13"/>
  <c r="L803" i="13"/>
  <c r="M803" i="13" s="1"/>
  <c r="Q802" i="13"/>
  <c r="R802" i="13" s="1"/>
  <c r="O802" i="13"/>
  <c r="L802" i="13"/>
  <c r="M802" i="13" s="1"/>
  <c r="Q801" i="13"/>
  <c r="R801" i="13" s="1"/>
  <c r="O801" i="13"/>
  <c r="L801" i="13"/>
  <c r="M801" i="13" s="1"/>
  <c r="Q800" i="13"/>
  <c r="R800" i="13" s="1"/>
  <c r="O800" i="13"/>
  <c r="L800" i="13"/>
  <c r="M800" i="13" s="1"/>
  <c r="Q799" i="13"/>
  <c r="R799" i="13" s="1"/>
  <c r="O799" i="13"/>
  <c r="L799" i="13"/>
  <c r="M799" i="13" s="1"/>
  <c r="Q798" i="13"/>
  <c r="R798" i="13" s="1"/>
  <c r="O798" i="13"/>
  <c r="L798" i="13"/>
  <c r="M798" i="13" s="1"/>
  <c r="Q797" i="13"/>
  <c r="R797" i="13" s="1"/>
  <c r="O797" i="13"/>
  <c r="L797" i="13"/>
  <c r="M797" i="13" s="1"/>
  <c r="Q796" i="13"/>
  <c r="R796" i="13" s="1"/>
  <c r="O796" i="13"/>
  <c r="L796" i="13"/>
  <c r="M796" i="13" s="1"/>
  <c r="Q795" i="13"/>
  <c r="R795" i="13" s="1"/>
  <c r="O795" i="13"/>
  <c r="L795" i="13"/>
  <c r="M795" i="13" s="1"/>
  <c r="Q794" i="13"/>
  <c r="R794" i="13" s="1"/>
  <c r="O794" i="13"/>
  <c r="L794" i="13"/>
  <c r="M794" i="13" s="1"/>
  <c r="Q793" i="13"/>
  <c r="R793" i="13" s="1"/>
  <c r="O793" i="13"/>
  <c r="L793" i="13"/>
  <c r="M793" i="13" s="1"/>
  <c r="Q792" i="13"/>
  <c r="R792" i="13" s="1"/>
  <c r="O792" i="13"/>
  <c r="L792" i="13"/>
  <c r="M792" i="13" s="1"/>
  <c r="Q791" i="13"/>
  <c r="R791" i="13" s="1"/>
  <c r="O791" i="13"/>
  <c r="L791" i="13"/>
  <c r="M791" i="13" s="1"/>
  <c r="Q790" i="13"/>
  <c r="R790" i="13" s="1"/>
  <c r="O790" i="13"/>
  <c r="L790" i="13"/>
  <c r="M790" i="13" s="1"/>
  <c r="Q789" i="13"/>
  <c r="R789" i="13" s="1"/>
  <c r="O789" i="13"/>
  <c r="L789" i="13"/>
  <c r="M789" i="13" s="1"/>
  <c r="Q788" i="13"/>
  <c r="R788" i="13" s="1"/>
  <c r="O788" i="13"/>
  <c r="L788" i="13"/>
  <c r="M788" i="13" s="1"/>
  <c r="Q787" i="13"/>
  <c r="R787" i="13" s="1"/>
  <c r="O787" i="13"/>
  <c r="L787" i="13"/>
  <c r="M787" i="13" s="1"/>
  <c r="Q786" i="13"/>
  <c r="R786" i="13" s="1"/>
  <c r="O786" i="13"/>
  <c r="L786" i="13"/>
  <c r="M786" i="13" s="1"/>
  <c r="Q785" i="13"/>
  <c r="R785" i="13" s="1"/>
  <c r="O785" i="13"/>
  <c r="L785" i="13"/>
  <c r="M785" i="13" s="1"/>
  <c r="Q784" i="13"/>
  <c r="R784" i="13" s="1"/>
  <c r="O784" i="13"/>
  <c r="L784" i="13"/>
  <c r="M784" i="13" s="1"/>
  <c r="Q783" i="13"/>
  <c r="R783" i="13" s="1"/>
  <c r="O783" i="13"/>
  <c r="L783" i="13"/>
  <c r="M783" i="13" s="1"/>
  <c r="Q782" i="13"/>
  <c r="R782" i="13" s="1"/>
  <c r="O782" i="13"/>
  <c r="L782" i="13"/>
  <c r="M782" i="13" s="1"/>
  <c r="Q781" i="13"/>
  <c r="R781" i="13" s="1"/>
  <c r="O781" i="13"/>
  <c r="L781" i="13"/>
  <c r="M781" i="13" s="1"/>
  <c r="Q780" i="13"/>
  <c r="R780" i="13" s="1"/>
  <c r="O780" i="13"/>
  <c r="L780" i="13"/>
  <c r="M780" i="13" s="1"/>
  <c r="Q779" i="13"/>
  <c r="R779" i="13" s="1"/>
  <c r="O779" i="13"/>
  <c r="L779" i="13"/>
  <c r="M779" i="13" s="1"/>
  <c r="Q778" i="13"/>
  <c r="R778" i="13" s="1"/>
  <c r="O778" i="13"/>
  <c r="L778" i="13"/>
  <c r="M778" i="13" s="1"/>
  <c r="Q777" i="13"/>
  <c r="R777" i="13" s="1"/>
  <c r="O777" i="13"/>
  <c r="L777" i="13"/>
  <c r="M777" i="13" s="1"/>
  <c r="Q776" i="13"/>
  <c r="R776" i="13" s="1"/>
  <c r="O776" i="13"/>
  <c r="L776" i="13"/>
  <c r="M776" i="13" s="1"/>
  <c r="Q775" i="13"/>
  <c r="R775" i="13" s="1"/>
  <c r="O775" i="13"/>
  <c r="L775" i="13"/>
  <c r="M775" i="13" s="1"/>
  <c r="Q774" i="13"/>
  <c r="R774" i="13" s="1"/>
  <c r="O774" i="13"/>
  <c r="L774" i="13"/>
  <c r="M774" i="13" s="1"/>
  <c r="Q773" i="13"/>
  <c r="R773" i="13" s="1"/>
  <c r="O773" i="13"/>
  <c r="L773" i="13"/>
  <c r="M773" i="13" s="1"/>
  <c r="Q772" i="13"/>
  <c r="R772" i="13" s="1"/>
  <c r="O772" i="13"/>
  <c r="L772" i="13"/>
  <c r="M772" i="13" s="1"/>
  <c r="Q771" i="13"/>
  <c r="R771" i="13" s="1"/>
  <c r="O771" i="13"/>
  <c r="L771" i="13"/>
  <c r="M771" i="13" s="1"/>
  <c r="Q770" i="13"/>
  <c r="R770" i="13" s="1"/>
  <c r="O770" i="13"/>
  <c r="L770" i="13"/>
  <c r="M770" i="13" s="1"/>
  <c r="Q769" i="13"/>
  <c r="R769" i="13" s="1"/>
  <c r="O769" i="13"/>
  <c r="L769" i="13"/>
  <c r="M769" i="13" s="1"/>
  <c r="Q768" i="13"/>
  <c r="R768" i="13" s="1"/>
  <c r="O768" i="13"/>
  <c r="L768" i="13"/>
  <c r="M768" i="13" s="1"/>
  <c r="Q767" i="13"/>
  <c r="R767" i="13" s="1"/>
  <c r="O767" i="13"/>
  <c r="L767" i="13"/>
  <c r="M767" i="13" s="1"/>
  <c r="Q766" i="13"/>
  <c r="R766" i="13" s="1"/>
  <c r="O766" i="13"/>
  <c r="L766" i="13"/>
  <c r="M766" i="13" s="1"/>
  <c r="Q765" i="13"/>
  <c r="R765" i="13" s="1"/>
  <c r="O765" i="13"/>
  <c r="L765" i="13"/>
  <c r="M765" i="13" s="1"/>
  <c r="Q764" i="13"/>
  <c r="R764" i="13" s="1"/>
  <c r="O764" i="13"/>
  <c r="L764" i="13"/>
  <c r="M764" i="13" s="1"/>
  <c r="Q763" i="13"/>
  <c r="R763" i="13" s="1"/>
  <c r="O763" i="13"/>
  <c r="L763" i="13"/>
  <c r="M763" i="13" s="1"/>
  <c r="Q762" i="13"/>
  <c r="R762" i="13" s="1"/>
  <c r="O762" i="13"/>
  <c r="L762" i="13"/>
  <c r="M762" i="13" s="1"/>
  <c r="Q761" i="13"/>
  <c r="R761" i="13" s="1"/>
  <c r="O761" i="13"/>
  <c r="L761" i="13"/>
  <c r="M761" i="13" s="1"/>
  <c r="Q760" i="13"/>
  <c r="R760" i="13" s="1"/>
  <c r="O760" i="13"/>
  <c r="L760" i="13"/>
  <c r="M760" i="13" s="1"/>
  <c r="Q759" i="13"/>
  <c r="R759" i="13" s="1"/>
  <c r="O759" i="13"/>
  <c r="L759" i="13"/>
  <c r="M759" i="13" s="1"/>
  <c r="Q758" i="13"/>
  <c r="R758" i="13" s="1"/>
  <c r="O758" i="13"/>
  <c r="L758" i="13"/>
  <c r="M758" i="13" s="1"/>
  <c r="Q757" i="13"/>
  <c r="R757" i="13" s="1"/>
  <c r="O757" i="13"/>
  <c r="L757" i="13"/>
  <c r="M757" i="13" s="1"/>
  <c r="Q756" i="13"/>
  <c r="R756" i="13" s="1"/>
  <c r="O756" i="13"/>
  <c r="L756" i="13"/>
  <c r="M756" i="13" s="1"/>
  <c r="Q755" i="13"/>
  <c r="R755" i="13" s="1"/>
  <c r="O755" i="13"/>
  <c r="L755" i="13"/>
  <c r="M755" i="13" s="1"/>
  <c r="Q754" i="13"/>
  <c r="R754" i="13" s="1"/>
  <c r="O754" i="13"/>
  <c r="L754" i="13"/>
  <c r="M754" i="13" s="1"/>
  <c r="Q753" i="13"/>
  <c r="R753" i="13" s="1"/>
  <c r="O753" i="13"/>
  <c r="L753" i="13"/>
  <c r="M753" i="13" s="1"/>
  <c r="Q752" i="13"/>
  <c r="R752" i="13" s="1"/>
  <c r="O752" i="13"/>
  <c r="L752" i="13"/>
  <c r="M752" i="13" s="1"/>
  <c r="Q751" i="13"/>
  <c r="R751" i="13" s="1"/>
  <c r="O751" i="13"/>
  <c r="L751" i="13"/>
  <c r="M751" i="13" s="1"/>
  <c r="Q750" i="13"/>
  <c r="R750" i="13" s="1"/>
  <c r="O750" i="13"/>
  <c r="L750" i="13"/>
  <c r="M750" i="13" s="1"/>
  <c r="Q749" i="13"/>
  <c r="R749" i="13" s="1"/>
  <c r="O749" i="13"/>
  <c r="L749" i="13"/>
  <c r="M749" i="13" s="1"/>
  <c r="Q748" i="13"/>
  <c r="R748" i="13" s="1"/>
  <c r="O748" i="13"/>
  <c r="L748" i="13"/>
  <c r="M748" i="13" s="1"/>
  <c r="Q747" i="13"/>
  <c r="R747" i="13" s="1"/>
  <c r="O747" i="13"/>
  <c r="L747" i="13"/>
  <c r="M747" i="13" s="1"/>
  <c r="Q746" i="13"/>
  <c r="R746" i="13" s="1"/>
  <c r="O746" i="13"/>
  <c r="L746" i="13"/>
  <c r="M746" i="13" s="1"/>
  <c r="Q745" i="13"/>
  <c r="R745" i="13" s="1"/>
  <c r="O745" i="13"/>
  <c r="L745" i="13"/>
  <c r="M745" i="13" s="1"/>
  <c r="Q744" i="13"/>
  <c r="R744" i="13" s="1"/>
  <c r="O744" i="13"/>
  <c r="L744" i="13"/>
  <c r="M744" i="13" s="1"/>
  <c r="Q743" i="13"/>
  <c r="R743" i="13" s="1"/>
  <c r="O743" i="13"/>
  <c r="L743" i="13"/>
  <c r="M743" i="13" s="1"/>
  <c r="Q742" i="13"/>
  <c r="R742" i="13" s="1"/>
  <c r="O742" i="13"/>
  <c r="L742" i="13"/>
  <c r="M742" i="13" s="1"/>
  <c r="Q741" i="13"/>
  <c r="R741" i="13" s="1"/>
  <c r="O741" i="13"/>
  <c r="L741" i="13"/>
  <c r="M741" i="13" s="1"/>
  <c r="Q740" i="13"/>
  <c r="R740" i="13" s="1"/>
  <c r="O740" i="13"/>
  <c r="L740" i="13"/>
  <c r="M740" i="13" s="1"/>
  <c r="Q739" i="13"/>
  <c r="R739" i="13" s="1"/>
  <c r="O739" i="13"/>
  <c r="L739" i="13"/>
  <c r="M739" i="13" s="1"/>
  <c r="Q738" i="13"/>
  <c r="R738" i="13" s="1"/>
  <c r="O738" i="13"/>
  <c r="L738" i="13"/>
  <c r="M738" i="13" s="1"/>
  <c r="Q737" i="13"/>
  <c r="R737" i="13" s="1"/>
  <c r="O737" i="13"/>
  <c r="L737" i="13"/>
  <c r="M737" i="13" s="1"/>
  <c r="Q736" i="13"/>
  <c r="R736" i="13" s="1"/>
  <c r="O736" i="13"/>
  <c r="L736" i="13"/>
  <c r="M736" i="13" s="1"/>
  <c r="Q735" i="13"/>
  <c r="R735" i="13" s="1"/>
  <c r="O735" i="13"/>
  <c r="L735" i="13"/>
  <c r="M735" i="13" s="1"/>
  <c r="Q734" i="13"/>
  <c r="R734" i="13" s="1"/>
  <c r="O734" i="13"/>
  <c r="L734" i="13"/>
  <c r="M734" i="13" s="1"/>
  <c r="Q733" i="13"/>
  <c r="R733" i="13" s="1"/>
  <c r="O733" i="13"/>
  <c r="L733" i="13"/>
  <c r="M733" i="13" s="1"/>
  <c r="Q732" i="13"/>
  <c r="R732" i="13" s="1"/>
  <c r="O732" i="13"/>
  <c r="L732" i="13"/>
  <c r="M732" i="13" s="1"/>
  <c r="Q731" i="13"/>
  <c r="R731" i="13" s="1"/>
  <c r="O731" i="13"/>
  <c r="L731" i="13"/>
  <c r="M731" i="13" s="1"/>
  <c r="Q730" i="13"/>
  <c r="R730" i="13" s="1"/>
  <c r="O730" i="13"/>
  <c r="L730" i="13"/>
  <c r="M730" i="13" s="1"/>
  <c r="Q729" i="13"/>
  <c r="R729" i="13" s="1"/>
  <c r="O729" i="13"/>
  <c r="L729" i="13"/>
  <c r="M729" i="13" s="1"/>
  <c r="Q728" i="13"/>
  <c r="R728" i="13" s="1"/>
  <c r="O728" i="13"/>
  <c r="L728" i="13"/>
  <c r="M728" i="13" s="1"/>
  <c r="Q727" i="13"/>
  <c r="R727" i="13" s="1"/>
  <c r="O727" i="13"/>
  <c r="L727" i="13"/>
  <c r="M727" i="13" s="1"/>
  <c r="Q726" i="13"/>
  <c r="R726" i="13" s="1"/>
  <c r="O726" i="13"/>
  <c r="L726" i="13"/>
  <c r="M726" i="13" s="1"/>
  <c r="Q725" i="13"/>
  <c r="R725" i="13" s="1"/>
  <c r="O725" i="13"/>
  <c r="L725" i="13"/>
  <c r="M725" i="13" s="1"/>
  <c r="Q724" i="13"/>
  <c r="R724" i="13" s="1"/>
  <c r="O724" i="13"/>
  <c r="L724" i="13"/>
  <c r="M724" i="13" s="1"/>
  <c r="Q723" i="13"/>
  <c r="R723" i="13" s="1"/>
  <c r="O723" i="13"/>
  <c r="L723" i="13"/>
  <c r="M723" i="13" s="1"/>
  <c r="Q722" i="13"/>
  <c r="R722" i="13" s="1"/>
  <c r="O722" i="13"/>
  <c r="L722" i="13"/>
  <c r="M722" i="13" s="1"/>
  <c r="Q721" i="13"/>
  <c r="R721" i="13" s="1"/>
  <c r="O721" i="13"/>
  <c r="L721" i="13"/>
  <c r="M721" i="13" s="1"/>
  <c r="Q720" i="13"/>
  <c r="R720" i="13" s="1"/>
  <c r="O720" i="13"/>
  <c r="L720" i="13"/>
  <c r="M720" i="13" s="1"/>
  <c r="Q719" i="13"/>
  <c r="R719" i="13" s="1"/>
  <c r="O719" i="13"/>
  <c r="L719" i="13"/>
  <c r="M719" i="13" s="1"/>
  <c r="Q718" i="13"/>
  <c r="R718" i="13" s="1"/>
  <c r="O718" i="13"/>
  <c r="L718" i="13"/>
  <c r="M718" i="13" s="1"/>
  <c r="Q717" i="13"/>
  <c r="R717" i="13" s="1"/>
  <c r="O717" i="13"/>
  <c r="L717" i="13"/>
  <c r="M717" i="13" s="1"/>
  <c r="Q716" i="13"/>
  <c r="R716" i="13" s="1"/>
  <c r="O716" i="13"/>
  <c r="L716" i="13"/>
  <c r="M716" i="13" s="1"/>
  <c r="Q715" i="13"/>
  <c r="R715" i="13" s="1"/>
  <c r="O715" i="13"/>
  <c r="L715" i="13"/>
  <c r="M715" i="13" s="1"/>
  <c r="Q714" i="13"/>
  <c r="R714" i="13" s="1"/>
  <c r="O714" i="13"/>
  <c r="L714" i="13"/>
  <c r="M714" i="13" s="1"/>
  <c r="Q713" i="13"/>
  <c r="R713" i="13" s="1"/>
  <c r="O713" i="13"/>
  <c r="L713" i="13"/>
  <c r="M713" i="13" s="1"/>
  <c r="Q712" i="13"/>
  <c r="R712" i="13" s="1"/>
  <c r="O712" i="13"/>
  <c r="L712" i="13"/>
  <c r="M712" i="13" s="1"/>
  <c r="Q711" i="13"/>
  <c r="R711" i="13" s="1"/>
  <c r="O711" i="13"/>
  <c r="L711" i="13"/>
  <c r="M711" i="13" s="1"/>
  <c r="Q710" i="13"/>
  <c r="R710" i="13" s="1"/>
  <c r="O710" i="13"/>
  <c r="L710" i="13"/>
  <c r="M710" i="13" s="1"/>
  <c r="Q709" i="13"/>
  <c r="R709" i="13" s="1"/>
  <c r="O709" i="13"/>
  <c r="L709" i="13"/>
  <c r="M709" i="13" s="1"/>
  <c r="Q708" i="13"/>
  <c r="R708" i="13" s="1"/>
  <c r="O708" i="13"/>
  <c r="L708" i="13"/>
  <c r="M708" i="13" s="1"/>
  <c r="Q707" i="13"/>
  <c r="R707" i="13" s="1"/>
  <c r="O707" i="13"/>
  <c r="L707" i="13"/>
  <c r="M707" i="13" s="1"/>
  <c r="Q706" i="13"/>
  <c r="R706" i="13" s="1"/>
  <c r="O706" i="13"/>
  <c r="L706" i="13"/>
  <c r="M706" i="13" s="1"/>
  <c r="Q705" i="13"/>
  <c r="R705" i="13" s="1"/>
  <c r="O705" i="13"/>
  <c r="L705" i="13"/>
  <c r="M705" i="13" s="1"/>
  <c r="Q704" i="13"/>
  <c r="R704" i="13" s="1"/>
  <c r="O704" i="13"/>
  <c r="L704" i="13"/>
  <c r="M704" i="13" s="1"/>
  <c r="Q703" i="13"/>
  <c r="R703" i="13" s="1"/>
  <c r="O703" i="13"/>
  <c r="L703" i="13"/>
  <c r="M703" i="13" s="1"/>
  <c r="Q702" i="13"/>
  <c r="R702" i="13" s="1"/>
  <c r="O702" i="13"/>
  <c r="L702" i="13"/>
  <c r="M702" i="13" s="1"/>
  <c r="Q701" i="13"/>
  <c r="R701" i="13" s="1"/>
  <c r="O701" i="13"/>
  <c r="L701" i="13"/>
  <c r="M701" i="13" s="1"/>
  <c r="Q700" i="13"/>
  <c r="R700" i="13" s="1"/>
  <c r="O700" i="13"/>
  <c r="L700" i="13"/>
  <c r="M700" i="13" s="1"/>
  <c r="Q699" i="13"/>
  <c r="R699" i="13" s="1"/>
  <c r="O699" i="13"/>
  <c r="L699" i="13"/>
  <c r="M699" i="13" s="1"/>
  <c r="Q698" i="13"/>
  <c r="R698" i="13" s="1"/>
  <c r="O698" i="13"/>
  <c r="L698" i="13"/>
  <c r="M698" i="13" s="1"/>
  <c r="Q697" i="13"/>
  <c r="R697" i="13" s="1"/>
  <c r="O697" i="13"/>
  <c r="L697" i="13"/>
  <c r="M697" i="13" s="1"/>
  <c r="Q696" i="13"/>
  <c r="R696" i="13" s="1"/>
  <c r="O696" i="13"/>
  <c r="L696" i="13"/>
  <c r="M696" i="13" s="1"/>
  <c r="Q695" i="13"/>
  <c r="R695" i="13" s="1"/>
  <c r="O695" i="13"/>
  <c r="L695" i="13"/>
  <c r="M695" i="13" s="1"/>
  <c r="Q694" i="13"/>
  <c r="R694" i="13" s="1"/>
  <c r="O694" i="13"/>
  <c r="L694" i="13"/>
  <c r="M694" i="13" s="1"/>
  <c r="Q693" i="13"/>
  <c r="R693" i="13" s="1"/>
  <c r="O693" i="13"/>
  <c r="L693" i="13"/>
  <c r="M693" i="13" s="1"/>
  <c r="Q692" i="13"/>
  <c r="R692" i="13" s="1"/>
  <c r="O692" i="13"/>
  <c r="L692" i="13"/>
  <c r="M692" i="13" s="1"/>
  <c r="Q691" i="13"/>
  <c r="R691" i="13" s="1"/>
  <c r="O691" i="13"/>
  <c r="L691" i="13"/>
  <c r="M691" i="13" s="1"/>
  <c r="Q690" i="13"/>
  <c r="R690" i="13" s="1"/>
  <c r="O690" i="13"/>
  <c r="L690" i="13"/>
  <c r="M690" i="13" s="1"/>
  <c r="Q689" i="13"/>
  <c r="R689" i="13" s="1"/>
  <c r="O689" i="13"/>
  <c r="L689" i="13"/>
  <c r="M689" i="13" s="1"/>
  <c r="Q688" i="13"/>
  <c r="R688" i="13" s="1"/>
  <c r="O688" i="13"/>
  <c r="L688" i="13"/>
  <c r="M688" i="13" s="1"/>
  <c r="Q687" i="13"/>
  <c r="R687" i="13" s="1"/>
  <c r="O687" i="13"/>
  <c r="L687" i="13"/>
  <c r="M687" i="13" s="1"/>
  <c r="Q686" i="13"/>
  <c r="R686" i="13" s="1"/>
  <c r="O686" i="13"/>
  <c r="L686" i="13"/>
  <c r="M686" i="13" s="1"/>
  <c r="Q685" i="13"/>
  <c r="R685" i="13" s="1"/>
  <c r="O685" i="13"/>
  <c r="L685" i="13"/>
  <c r="M685" i="13" s="1"/>
  <c r="Q684" i="13"/>
  <c r="R684" i="13" s="1"/>
  <c r="O684" i="13"/>
  <c r="L684" i="13"/>
  <c r="M684" i="13" s="1"/>
  <c r="Q683" i="13"/>
  <c r="R683" i="13" s="1"/>
  <c r="O683" i="13"/>
  <c r="L683" i="13"/>
  <c r="M683" i="13" s="1"/>
  <c r="Q682" i="13"/>
  <c r="R682" i="13" s="1"/>
  <c r="O682" i="13"/>
  <c r="L682" i="13"/>
  <c r="M682" i="13" s="1"/>
  <c r="Q681" i="13"/>
  <c r="R681" i="13" s="1"/>
  <c r="O681" i="13"/>
  <c r="L681" i="13"/>
  <c r="M681" i="13" s="1"/>
  <c r="Q680" i="13"/>
  <c r="R680" i="13" s="1"/>
  <c r="O680" i="13"/>
  <c r="L680" i="13"/>
  <c r="M680" i="13" s="1"/>
  <c r="Q679" i="13"/>
  <c r="R679" i="13" s="1"/>
  <c r="O679" i="13"/>
  <c r="L679" i="13"/>
  <c r="M679" i="13" s="1"/>
  <c r="Q678" i="13"/>
  <c r="R678" i="13" s="1"/>
  <c r="O678" i="13"/>
  <c r="L678" i="13"/>
  <c r="M678" i="13" s="1"/>
  <c r="Q677" i="13"/>
  <c r="R677" i="13" s="1"/>
  <c r="O677" i="13"/>
  <c r="L677" i="13"/>
  <c r="M677" i="13" s="1"/>
  <c r="Q676" i="13"/>
  <c r="R676" i="13" s="1"/>
  <c r="O676" i="13"/>
  <c r="L676" i="13"/>
  <c r="M676" i="13" s="1"/>
  <c r="Q675" i="13"/>
  <c r="R675" i="13" s="1"/>
  <c r="O675" i="13"/>
  <c r="L675" i="13"/>
  <c r="M675" i="13" s="1"/>
  <c r="Q674" i="13"/>
  <c r="R674" i="13" s="1"/>
  <c r="O674" i="13"/>
  <c r="L674" i="13"/>
  <c r="M674" i="13" s="1"/>
  <c r="Q673" i="13"/>
  <c r="R673" i="13" s="1"/>
  <c r="O673" i="13"/>
  <c r="L673" i="13"/>
  <c r="M673" i="13" s="1"/>
  <c r="Q672" i="13"/>
  <c r="R672" i="13" s="1"/>
  <c r="O672" i="13"/>
  <c r="L672" i="13"/>
  <c r="M672" i="13" s="1"/>
  <c r="Q671" i="13"/>
  <c r="R671" i="13" s="1"/>
  <c r="O671" i="13"/>
  <c r="L671" i="13"/>
  <c r="M671" i="13" s="1"/>
  <c r="Q670" i="13"/>
  <c r="R670" i="13" s="1"/>
  <c r="O670" i="13"/>
  <c r="L670" i="13"/>
  <c r="M670" i="13" s="1"/>
  <c r="Q669" i="13"/>
  <c r="R669" i="13" s="1"/>
  <c r="O669" i="13"/>
  <c r="L669" i="13"/>
  <c r="M669" i="13" s="1"/>
  <c r="Q668" i="13"/>
  <c r="R668" i="13" s="1"/>
  <c r="O668" i="13"/>
  <c r="L668" i="13"/>
  <c r="M668" i="13" s="1"/>
  <c r="Q667" i="13"/>
  <c r="R667" i="13" s="1"/>
  <c r="O667" i="13"/>
  <c r="L667" i="13"/>
  <c r="M667" i="13" s="1"/>
  <c r="Q666" i="13"/>
  <c r="R666" i="13" s="1"/>
  <c r="O666" i="13"/>
  <c r="L666" i="13"/>
  <c r="M666" i="13" s="1"/>
  <c r="Q665" i="13"/>
  <c r="R665" i="13" s="1"/>
  <c r="O665" i="13"/>
  <c r="L665" i="13"/>
  <c r="M665" i="13" s="1"/>
  <c r="Q664" i="13"/>
  <c r="R664" i="13" s="1"/>
  <c r="O664" i="13"/>
  <c r="L664" i="13"/>
  <c r="M664" i="13" s="1"/>
  <c r="Q663" i="13"/>
  <c r="R663" i="13" s="1"/>
  <c r="O663" i="13"/>
  <c r="L663" i="13"/>
  <c r="M663" i="13" s="1"/>
  <c r="Q662" i="13"/>
  <c r="R662" i="13" s="1"/>
  <c r="O662" i="13"/>
  <c r="L662" i="13"/>
  <c r="M662" i="13" s="1"/>
  <c r="Q661" i="13"/>
  <c r="R661" i="13" s="1"/>
  <c r="O661" i="13"/>
  <c r="L661" i="13"/>
  <c r="M661" i="13" s="1"/>
  <c r="Q660" i="13"/>
  <c r="R660" i="13" s="1"/>
  <c r="O660" i="13"/>
  <c r="L660" i="13"/>
  <c r="M660" i="13" s="1"/>
  <c r="Q659" i="13"/>
  <c r="R659" i="13" s="1"/>
  <c r="O659" i="13"/>
  <c r="L659" i="13"/>
  <c r="M659" i="13" s="1"/>
  <c r="Q658" i="13"/>
  <c r="R658" i="13" s="1"/>
  <c r="O658" i="13"/>
  <c r="L658" i="13"/>
  <c r="M658" i="13" s="1"/>
  <c r="Q657" i="13"/>
  <c r="R657" i="13" s="1"/>
  <c r="O657" i="13"/>
  <c r="L657" i="13"/>
  <c r="M657" i="13" s="1"/>
  <c r="Q656" i="13"/>
  <c r="R656" i="13" s="1"/>
  <c r="O656" i="13"/>
  <c r="L656" i="13"/>
  <c r="M656" i="13" s="1"/>
  <c r="Q655" i="13"/>
  <c r="R655" i="13" s="1"/>
  <c r="O655" i="13"/>
  <c r="L655" i="13"/>
  <c r="M655" i="13" s="1"/>
  <c r="Q654" i="13"/>
  <c r="R654" i="13" s="1"/>
  <c r="O654" i="13"/>
  <c r="L654" i="13"/>
  <c r="M654" i="13" s="1"/>
  <c r="Q653" i="13"/>
  <c r="R653" i="13" s="1"/>
  <c r="O653" i="13"/>
  <c r="L653" i="13"/>
  <c r="M653" i="13" s="1"/>
  <c r="Q652" i="13"/>
  <c r="R652" i="13" s="1"/>
  <c r="O652" i="13"/>
  <c r="L652" i="13"/>
  <c r="M652" i="13" s="1"/>
  <c r="Q651" i="13"/>
  <c r="R651" i="13" s="1"/>
  <c r="O651" i="13"/>
  <c r="L651" i="13"/>
  <c r="M651" i="13" s="1"/>
  <c r="Q650" i="13"/>
  <c r="R650" i="13" s="1"/>
  <c r="O650" i="13"/>
  <c r="L650" i="13"/>
  <c r="M650" i="13" s="1"/>
  <c r="Q649" i="13"/>
  <c r="R649" i="13" s="1"/>
  <c r="O649" i="13"/>
  <c r="L649" i="13"/>
  <c r="M649" i="13" s="1"/>
  <c r="Q648" i="13"/>
  <c r="R648" i="13" s="1"/>
  <c r="O648" i="13"/>
  <c r="L648" i="13"/>
  <c r="M648" i="13" s="1"/>
  <c r="Q647" i="13"/>
  <c r="R647" i="13" s="1"/>
  <c r="O647" i="13"/>
  <c r="L647" i="13"/>
  <c r="M647" i="13" s="1"/>
  <c r="Q646" i="13"/>
  <c r="R646" i="13" s="1"/>
  <c r="O646" i="13"/>
  <c r="L646" i="13"/>
  <c r="M646" i="13" s="1"/>
  <c r="Q645" i="13"/>
  <c r="R645" i="13" s="1"/>
  <c r="O645" i="13"/>
  <c r="L645" i="13"/>
  <c r="M645" i="13" s="1"/>
  <c r="Q644" i="13"/>
  <c r="R644" i="13" s="1"/>
  <c r="O644" i="13"/>
  <c r="L644" i="13"/>
  <c r="M644" i="13" s="1"/>
  <c r="Q643" i="13"/>
  <c r="R643" i="13" s="1"/>
  <c r="O643" i="13"/>
  <c r="L643" i="13"/>
  <c r="M643" i="13" s="1"/>
  <c r="Q642" i="13"/>
  <c r="R642" i="13" s="1"/>
  <c r="O642" i="13"/>
  <c r="L642" i="13"/>
  <c r="M642" i="13" s="1"/>
  <c r="Q641" i="13"/>
  <c r="R641" i="13" s="1"/>
  <c r="O641" i="13"/>
  <c r="L641" i="13"/>
  <c r="M641" i="13" s="1"/>
  <c r="Q640" i="13"/>
  <c r="R640" i="13" s="1"/>
  <c r="O640" i="13"/>
  <c r="L640" i="13"/>
  <c r="M640" i="13" s="1"/>
  <c r="Q639" i="13"/>
  <c r="R639" i="13" s="1"/>
  <c r="O639" i="13"/>
  <c r="L639" i="13"/>
  <c r="M639" i="13" s="1"/>
  <c r="Q638" i="13"/>
  <c r="R638" i="13" s="1"/>
  <c r="O638" i="13"/>
  <c r="L638" i="13"/>
  <c r="M638" i="13" s="1"/>
  <c r="Q637" i="13"/>
  <c r="R637" i="13" s="1"/>
  <c r="O637" i="13"/>
  <c r="L637" i="13"/>
  <c r="M637" i="13" s="1"/>
  <c r="Q636" i="13"/>
  <c r="R636" i="13" s="1"/>
  <c r="O636" i="13"/>
  <c r="L636" i="13"/>
  <c r="M636" i="13" s="1"/>
  <c r="Q635" i="13"/>
  <c r="R635" i="13" s="1"/>
  <c r="O635" i="13"/>
  <c r="L635" i="13"/>
  <c r="M635" i="13" s="1"/>
  <c r="Q634" i="13"/>
  <c r="R634" i="13" s="1"/>
  <c r="O634" i="13"/>
  <c r="L634" i="13"/>
  <c r="M634" i="13" s="1"/>
  <c r="Q633" i="13"/>
  <c r="R633" i="13" s="1"/>
  <c r="O633" i="13"/>
  <c r="L633" i="13"/>
  <c r="M633" i="13" s="1"/>
  <c r="Q632" i="13"/>
  <c r="R632" i="13" s="1"/>
  <c r="O632" i="13"/>
  <c r="L632" i="13"/>
  <c r="M632" i="13" s="1"/>
  <c r="Q631" i="13"/>
  <c r="R631" i="13" s="1"/>
  <c r="O631" i="13"/>
  <c r="L631" i="13"/>
  <c r="M631" i="13" s="1"/>
  <c r="Q630" i="13"/>
  <c r="R630" i="13" s="1"/>
  <c r="O630" i="13"/>
  <c r="L630" i="13"/>
  <c r="M630" i="13" s="1"/>
  <c r="Q629" i="13"/>
  <c r="R629" i="13" s="1"/>
  <c r="O629" i="13"/>
  <c r="L629" i="13"/>
  <c r="M629" i="13" s="1"/>
  <c r="Q628" i="13"/>
  <c r="R628" i="13" s="1"/>
  <c r="O628" i="13"/>
  <c r="L628" i="13"/>
  <c r="M628" i="13" s="1"/>
  <c r="Q627" i="13"/>
  <c r="R627" i="13" s="1"/>
  <c r="O627" i="13"/>
  <c r="L627" i="13"/>
  <c r="M627" i="13" s="1"/>
  <c r="Q626" i="13"/>
  <c r="R626" i="13" s="1"/>
  <c r="O626" i="13"/>
  <c r="L626" i="13"/>
  <c r="M626" i="13" s="1"/>
  <c r="Q625" i="13"/>
  <c r="R625" i="13" s="1"/>
  <c r="O625" i="13"/>
  <c r="L625" i="13"/>
  <c r="M625" i="13" s="1"/>
  <c r="Q624" i="13"/>
  <c r="R624" i="13" s="1"/>
  <c r="O624" i="13"/>
  <c r="L624" i="13"/>
  <c r="M624" i="13" s="1"/>
  <c r="Q623" i="13"/>
  <c r="R623" i="13" s="1"/>
  <c r="O623" i="13"/>
  <c r="L623" i="13"/>
  <c r="M623" i="13" s="1"/>
  <c r="Q622" i="13"/>
  <c r="R622" i="13" s="1"/>
  <c r="O622" i="13"/>
  <c r="L622" i="13"/>
  <c r="M622" i="13" s="1"/>
  <c r="Q621" i="13"/>
  <c r="R621" i="13" s="1"/>
  <c r="O621" i="13"/>
  <c r="L621" i="13"/>
  <c r="M621" i="13" s="1"/>
  <c r="Q620" i="13"/>
  <c r="R620" i="13" s="1"/>
  <c r="O620" i="13"/>
  <c r="L620" i="13"/>
  <c r="M620" i="13" s="1"/>
  <c r="Q619" i="13"/>
  <c r="R619" i="13" s="1"/>
  <c r="O619" i="13"/>
  <c r="L619" i="13"/>
  <c r="M619" i="13" s="1"/>
  <c r="Q618" i="13"/>
  <c r="R618" i="13" s="1"/>
  <c r="O618" i="13"/>
  <c r="L618" i="13"/>
  <c r="M618" i="13" s="1"/>
  <c r="Q617" i="13"/>
  <c r="R617" i="13" s="1"/>
  <c r="O617" i="13"/>
  <c r="L617" i="13"/>
  <c r="M617" i="13" s="1"/>
  <c r="Q616" i="13"/>
  <c r="R616" i="13" s="1"/>
  <c r="O616" i="13"/>
  <c r="L616" i="13"/>
  <c r="M616" i="13" s="1"/>
  <c r="Q615" i="13"/>
  <c r="R615" i="13" s="1"/>
  <c r="O615" i="13"/>
  <c r="L615" i="13"/>
  <c r="M615" i="13" s="1"/>
  <c r="Q614" i="13"/>
  <c r="R614" i="13" s="1"/>
  <c r="O614" i="13"/>
  <c r="L614" i="13"/>
  <c r="M614" i="13" s="1"/>
  <c r="Q613" i="13"/>
  <c r="R613" i="13" s="1"/>
  <c r="O613" i="13"/>
  <c r="L613" i="13"/>
  <c r="M613" i="13" s="1"/>
  <c r="Q612" i="13"/>
  <c r="R612" i="13" s="1"/>
  <c r="O612" i="13"/>
  <c r="L612" i="13"/>
  <c r="M612" i="13" s="1"/>
  <c r="Q611" i="13"/>
  <c r="R611" i="13" s="1"/>
  <c r="O611" i="13"/>
  <c r="L611" i="13"/>
  <c r="M611" i="13" s="1"/>
  <c r="Q610" i="13"/>
  <c r="R610" i="13" s="1"/>
  <c r="O610" i="13"/>
  <c r="L610" i="13"/>
  <c r="M610" i="13" s="1"/>
  <c r="Q609" i="13"/>
  <c r="R609" i="13" s="1"/>
  <c r="O609" i="13"/>
  <c r="L609" i="13"/>
  <c r="M609" i="13" s="1"/>
  <c r="Q608" i="13"/>
  <c r="R608" i="13" s="1"/>
  <c r="O608" i="13"/>
  <c r="L608" i="13"/>
  <c r="M608" i="13" s="1"/>
  <c r="Q607" i="13"/>
  <c r="R607" i="13" s="1"/>
  <c r="O607" i="13"/>
  <c r="L607" i="13"/>
  <c r="M607" i="13" s="1"/>
  <c r="Q606" i="13"/>
  <c r="R606" i="13" s="1"/>
  <c r="O606" i="13"/>
  <c r="L606" i="13"/>
  <c r="M606" i="13" s="1"/>
  <c r="Q605" i="13"/>
  <c r="R605" i="13" s="1"/>
  <c r="O605" i="13"/>
  <c r="L605" i="13"/>
  <c r="M605" i="13" s="1"/>
  <c r="Q604" i="13"/>
  <c r="R604" i="13" s="1"/>
  <c r="O604" i="13"/>
  <c r="L604" i="13"/>
  <c r="M604" i="13" s="1"/>
  <c r="Q603" i="13"/>
  <c r="R603" i="13" s="1"/>
  <c r="O603" i="13"/>
  <c r="L603" i="13"/>
  <c r="M603" i="13" s="1"/>
  <c r="Q602" i="13"/>
  <c r="R602" i="13" s="1"/>
  <c r="O602" i="13"/>
  <c r="L602" i="13"/>
  <c r="M602" i="13" s="1"/>
  <c r="Q601" i="13"/>
  <c r="R601" i="13" s="1"/>
  <c r="O601" i="13"/>
  <c r="L601" i="13"/>
  <c r="M601" i="13" s="1"/>
  <c r="Q600" i="13"/>
  <c r="R600" i="13" s="1"/>
  <c r="O600" i="13"/>
  <c r="L600" i="13"/>
  <c r="M600" i="13" s="1"/>
  <c r="Q599" i="13"/>
  <c r="R599" i="13" s="1"/>
  <c r="O599" i="13"/>
  <c r="L599" i="13"/>
  <c r="M599" i="13" s="1"/>
  <c r="Q598" i="13"/>
  <c r="R598" i="13" s="1"/>
  <c r="O598" i="13"/>
  <c r="L598" i="13"/>
  <c r="M598" i="13" s="1"/>
  <c r="Q597" i="13"/>
  <c r="R597" i="13" s="1"/>
  <c r="O597" i="13"/>
  <c r="L597" i="13"/>
  <c r="M597" i="13" s="1"/>
  <c r="Q596" i="13"/>
  <c r="R596" i="13" s="1"/>
  <c r="O596" i="13"/>
  <c r="L596" i="13"/>
  <c r="M596" i="13" s="1"/>
  <c r="Q595" i="13"/>
  <c r="R595" i="13" s="1"/>
  <c r="O595" i="13"/>
  <c r="L595" i="13"/>
  <c r="M595" i="13" s="1"/>
  <c r="Q594" i="13"/>
  <c r="R594" i="13" s="1"/>
  <c r="O594" i="13"/>
  <c r="L594" i="13"/>
  <c r="M594" i="13" s="1"/>
  <c r="Q593" i="13"/>
  <c r="R593" i="13" s="1"/>
  <c r="O593" i="13"/>
  <c r="L593" i="13"/>
  <c r="M593" i="13" s="1"/>
  <c r="Q592" i="13"/>
  <c r="R592" i="13" s="1"/>
  <c r="O592" i="13"/>
  <c r="L592" i="13"/>
  <c r="M592" i="13" s="1"/>
  <c r="Q591" i="13"/>
  <c r="R591" i="13" s="1"/>
  <c r="O591" i="13"/>
  <c r="L591" i="13"/>
  <c r="M591" i="13" s="1"/>
  <c r="Q590" i="13"/>
  <c r="R590" i="13" s="1"/>
  <c r="O590" i="13"/>
  <c r="L590" i="13"/>
  <c r="M590" i="13" s="1"/>
  <c r="Q589" i="13"/>
  <c r="R589" i="13" s="1"/>
  <c r="O589" i="13"/>
  <c r="L589" i="13"/>
  <c r="M589" i="13" s="1"/>
  <c r="Q588" i="13"/>
  <c r="R588" i="13" s="1"/>
  <c r="O588" i="13"/>
  <c r="L588" i="13"/>
  <c r="M588" i="13" s="1"/>
  <c r="Q587" i="13"/>
  <c r="R587" i="13" s="1"/>
  <c r="O587" i="13"/>
  <c r="L587" i="13"/>
  <c r="M587" i="13" s="1"/>
  <c r="Q586" i="13"/>
  <c r="R586" i="13" s="1"/>
  <c r="O586" i="13"/>
  <c r="L586" i="13"/>
  <c r="M586" i="13" s="1"/>
  <c r="Q585" i="13"/>
  <c r="R585" i="13" s="1"/>
  <c r="O585" i="13"/>
  <c r="L585" i="13"/>
  <c r="M585" i="13" s="1"/>
  <c r="Q584" i="13"/>
  <c r="R584" i="13" s="1"/>
  <c r="O584" i="13"/>
  <c r="L584" i="13"/>
  <c r="M584" i="13" s="1"/>
  <c r="Q583" i="13"/>
  <c r="R583" i="13" s="1"/>
  <c r="O583" i="13"/>
  <c r="L583" i="13"/>
  <c r="M583" i="13" s="1"/>
  <c r="Q582" i="13"/>
  <c r="R582" i="13" s="1"/>
  <c r="O582" i="13"/>
  <c r="L582" i="13"/>
  <c r="M582" i="13" s="1"/>
  <c r="Q581" i="13"/>
  <c r="R581" i="13" s="1"/>
  <c r="O581" i="13"/>
  <c r="L581" i="13"/>
  <c r="M581" i="13" s="1"/>
  <c r="Q580" i="13"/>
  <c r="R580" i="13" s="1"/>
  <c r="O580" i="13"/>
  <c r="L580" i="13"/>
  <c r="M580" i="13" s="1"/>
  <c r="Q579" i="13"/>
  <c r="R579" i="13" s="1"/>
  <c r="O579" i="13"/>
  <c r="L579" i="13"/>
  <c r="M579" i="13" s="1"/>
  <c r="Q578" i="13"/>
  <c r="R578" i="13" s="1"/>
  <c r="O578" i="13"/>
  <c r="L578" i="13"/>
  <c r="M578" i="13" s="1"/>
  <c r="Q577" i="13"/>
  <c r="R577" i="13" s="1"/>
  <c r="O577" i="13"/>
  <c r="L577" i="13"/>
  <c r="M577" i="13" s="1"/>
  <c r="Q576" i="13"/>
  <c r="R576" i="13" s="1"/>
  <c r="O576" i="13"/>
  <c r="L576" i="13"/>
  <c r="M576" i="13" s="1"/>
  <c r="Q575" i="13"/>
  <c r="R575" i="13" s="1"/>
  <c r="O575" i="13"/>
  <c r="L575" i="13"/>
  <c r="M575" i="13" s="1"/>
  <c r="Q574" i="13"/>
  <c r="R574" i="13" s="1"/>
  <c r="O574" i="13"/>
  <c r="L574" i="13"/>
  <c r="M574" i="13" s="1"/>
  <c r="Q573" i="13"/>
  <c r="R573" i="13" s="1"/>
  <c r="O573" i="13"/>
  <c r="L573" i="13"/>
  <c r="M573" i="13" s="1"/>
  <c r="Q572" i="13"/>
  <c r="R572" i="13" s="1"/>
  <c r="O572" i="13"/>
  <c r="L572" i="13"/>
  <c r="M572" i="13" s="1"/>
  <c r="Q571" i="13"/>
  <c r="R571" i="13" s="1"/>
  <c r="O571" i="13"/>
  <c r="L571" i="13"/>
  <c r="M571" i="13" s="1"/>
  <c r="Q570" i="13"/>
  <c r="R570" i="13" s="1"/>
  <c r="O570" i="13"/>
  <c r="L570" i="13"/>
  <c r="M570" i="13" s="1"/>
  <c r="Q569" i="13"/>
  <c r="R569" i="13" s="1"/>
  <c r="O569" i="13"/>
  <c r="L569" i="13"/>
  <c r="M569" i="13" s="1"/>
  <c r="Q568" i="13"/>
  <c r="R568" i="13" s="1"/>
  <c r="O568" i="13"/>
  <c r="L568" i="13"/>
  <c r="M568" i="13" s="1"/>
  <c r="Q567" i="13"/>
  <c r="R567" i="13" s="1"/>
  <c r="O567" i="13"/>
  <c r="L567" i="13"/>
  <c r="M567" i="13" s="1"/>
  <c r="Q566" i="13"/>
  <c r="R566" i="13" s="1"/>
  <c r="O566" i="13"/>
  <c r="L566" i="13"/>
  <c r="M566" i="13" s="1"/>
  <c r="Q565" i="13"/>
  <c r="R565" i="13" s="1"/>
  <c r="O565" i="13"/>
  <c r="L565" i="13"/>
  <c r="M565" i="13" s="1"/>
  <c r="Q564" i="13"/>
  <c r="R564" i="13" s="1"/>
  <c r="O564" i="13"/>
  <c r="L564" i="13"/>
  <c r="M564" i="13" s="1"/>
  <c r="Q563" i="13"/>
  <c r="R563" i="13" s="1"/>
  <c r="O563" i="13"/>
  <c r="L563" i="13"/>
  <c r="M563" i="13" s="1"/>
  <c r="Q562" i="13"/>
  <c r="R562" i="13" s="1"/>
  <c r="O562" i="13"/>
  <c r="L562" i="13"/>
  <c r="M562" i="13" s="1"/>
  <c r="Q561" i="13"/>
  <c r="R561" i="13" s="1"/>
  <c r="O561" i="13"/>
  <c r="L561" i="13"/>
  <c r="M561" i="13" s="1"/>
  <c r="Q560" i="13"/>
  <c r="R560" i="13" s="1"/>
  <c r="O560" i="13"/>
  <c r="L560" i="13"/>
  <c r="M560" i="13" s="1"/>
  <c r="Q559" i="13"/>
  <c r="R559" i="13" s="1"/>
  <c r="O559" i="13"/>
  <c r="L559" i="13"/>
  <c r="M559" i="13" s="1"/>
  <c r="Q558" i="13"/>
  <c r="R558" i="13" s="1"/>
  <c r="O558" i="13"/>
  <c r="L558" i="13"/>
  <c r="M558" i="13" s="1"/>
  <c r="Q557" i="13"/>
  <c r="R557" i="13" s="1"/>
  <c r="O557" i="13"/>
  <c r="L557" i="13"/>
  <c r="M557" i="13" s="1"/>
  <c r="Q556" i="13"/>
  <c r="R556" i="13" s="1"/>
  <c r="O556" i="13"/>
  <c r="L556" i="13"/>
  <c r="M556" i="13" s="1"/>
  <c r="Q555" i="13"/>
  <c r="R555" i="13" s="1"/>
  <c r="O555" i="13"/>
  <c r="L555" i="13"/>
  <c r="M555" i="13" s="1"/>
  <c r="Q554" i="13"/>
  <c r="R554" i="13" s="1"/>
  <c r="O554" i="13"/>
  <c r="L554" i="13"/>
  <c r="M554" i="13" s="1"/>
  <c r="Q553" i="13"/>
  <c r="R553" i="13" s="1"/>
  <c r="O553" i="13"/>
  <c r="L553" i="13"/>
  <c r="M553" i="13" s="1"/>
  <c r="Q552" i="13"/>
  <c r="R552" i="13" s="1"/>
  <c r="O552" i="13"/>
  <c r="L552" i="13"/>
  <c r="M552" i="13" s="1"/>
  <c r="Q551" i="13"/>
  <c r="R551" i="13" s="1"/>
  <c r="O551" i="13"/>
  <c r="L551" i="13"/>
  <c r="M551" i="13" s="1"/>
  <c r="Q550" i="13"/>
  <c r="R550" i="13" s="1"/>
  <c r="O550" i="13"/>
  <c r="L550" i="13"/>
  <c r="M550" i="13" s="1"/>
  <c r="Q549" i="13"/>
  <c r="R549" i="13" s="1"/>
  <c r="O549" i="13"/>
  <c r="L549" i="13"/>
  <c r="M549" i="13" s="1"/>
  <c r="Q548" i="13"/>
  <c r="R548" i="13" s="1"/>
  <c r="O548" i="13"/>
  <c r="L548" i="13"/>
  <c r="M548" i="13" s="1"/>
  <c r="Q547" i="13"/>
  <c r="R547" i="13" s="1"/>
  <c r="O547" i="13"/>
  <c r="L547" i="13"/>
  <c r="M547" i="13" s="1"/>
  <c r="Q546" i="13"/>
  <c r="R546" i="13" s="1"/>
  <c r="O546" i="13"/>
  <c r="L546" i="13"/>
  <c r="M546" i="13" s="1"/>
  <c r="Q545" i="13"/>
  <c r="R545" i="13" s="1"/>
  <c r="O545" i="13"/>
  <c r="L545" i="13"/>
  <c r="M545" i="13" s="1"/>
  <c r="Q544" i="13"/>
  <c r="R544" i="13" s="1"/>
  <c r="O544" i="13"/>
  <c r="L544" i="13"/>
  <c r="M544" i="13" s="1"/>
  <c r="Q543" i="13"/>
  <c r="R543" i="13" s="1"/>
  <c r="O543" i="13"/>
  <c r="L543" i="13"/>
  <c r="M543" i="13" s="1"/>
  <c r="Q542" i="13"/>
  <c r="R542" i="13" s="1"/>
  <c r="O542" i="13"/>
  <c r="L542" i="13"/>
  <c r="M542" i="13" s="1"/>
  <c r="Q541" i="13"/>
  <c r="R541" i="13" s="1"/>
  <c r="O541" i="13"/>
  <c r="L541" i="13"/>
  <c r="M541" i="13" s="1"/>
  <c r="Q540" i="13"/>
  <c r="R540" i="13" s="1"/>
  <c r="O540" i="13"/>
  <c r="L540" i="13"/>
  <c r="M540" i="13" s="1"/>
  <c r="Q539" i="13"/>
  <c r="R539" i="13" s="1"/>
  <c r="O539" i="13"/>
  <c r="L539" i="13"/>
  <c r="M539" i="13" s="1"/>
  <c r="Q538" i="13"/>
  <c r="R538" i="13" s="1"/>
  <c r="O538" i="13"/>
  <c r="L538" i="13"/>
  <c r="M538" i="13" s="1"/>
  <c r="Q537" i="13"/>
  <c r="R537" i="13" s="1"/>
  <c r="O537" i="13"/>
  <c r="L537" i="13"/>
  <c r="M537" i="13" s="1"/>
  <c r="Q536" i="13"/>
  <c r="R536" i="13" s="1"/>
  <c r="O536" i="13"/>
  <c r="L536" i="13"/>
  <c r="M536" i="13" s="1"/>
  <c r="Q535" i="13"/>
  <c r="R535" i="13" s="1"/>
  <c r="O535" i="13"/>
  <c r="L535" i="13"/>
  <c r="M535" i="13" s="1"/>
  <c r="Q534" i="13"/>
  <c r="R534" i="13" s="1"/>
  <c r="O534" i="13"/>
  <c r="L534" i="13"/>
  <c r="M534" i="13" s="1"/>
  <c r="Q533" i="13"/>
  <c r="R533" i="13" s="1"/>
  <c r="O533" i="13"/>
  <c r="L533" i="13"/>
  <c r="M533" i="13" s="1"/>
  <c r="Q532" i="13"/>
  <c r="R532" i="13" s="1"/>
  <c r="O532" i="13"/>
  <c r="L532" i="13"/>
  <c r="M532" i="13" s="1"/>
  <c r="Q531" i="13"/>
  <c r="R531" i="13" s="1"/>
  <c r="O531" i="13"/>
  <c r="L531" i="13"/>
  <c r="M531" i="13" s="1"/>
  <c r="Q530" i="13"/>
  <c r="R530" i="13" s="1"/>
  <c r="O530" i="13"/>
  <c r="L530" i="13"/>
  <c r="M530" i="13" s="1"/>
  <c r="Q529" i="13"/>
  <c r="R529" i="13" s="1"/>
  <c r="O529" i="13"/>
  <c r="L529" i="13"/>
  <c r="M529" i="13" s="1"/>
  <c r="Q528" i="13"/>
  <c r="R528" i="13" s="1"/>
  <c r="O528" i="13"/>
  <c r="L528" i="13"/>
  <c r="M528" i="13" s="1"/>
  <c r="Q527" i="13"/>
  <c r="R527" i="13" s="1"/>
  <c r="O527" i="13"/>
  <c r="L527" i="13"/>
  <c r="M527" i="13" s="1"/>
  <c r="Q526" i="13"/>
  <c r="R526" i="13" s="1"/>
  <c r="O526" i="13"/>
  <c r="L526" i="13"/>
  <c r="M526" i="13" s="1"/>
  <c r="Q525" i="13"/>
  <c r="R525" i="13" s="1"/>
  <c r="O525" i="13"/>
  <c r="L525" i="13"/>
  <c r="M525" i="13" s="1"/>
  <c r="Q524" i="13"/>
  <c r="R524" i="13" s="1"/>
  <c r="O524" i="13"/>
  <c r="L524" i="13"/>
  <c r="M524" i="13" s="1"/>
  <c r="Q523" i="13"/>
  <c r="R523" i="13" s="1"/>
  <c r="O523" i="13"/>
  <c r="L523" i="13"/>
  <c r="M523" i="13" s="1"/>
  <c r="Q522" i="13"/>
  <c r="R522" i="13" s="1"/>
  <c r="O522" i="13"/>
  <c r="L522" i="13"/>
  <c r="M522" i="13" s="1"/>
  <c r="Q521" i="13"/>
  <c r="R521" i="13" s="1"/>
  <c r="O521" i="13"/>
  <c r="L521" i="13"/>
  <c r="M521" i="13" s="1"/>
  <c r="Q520" i="13"/>
  <c r="R520" i="13" s="1"/>
  <c r="O520" i="13"/>
  <c r="L520" i="13"/>
  <c r="M520" i="13" s="1"/>
  <c r="Q519" i="13"/>
  <c r="R519" i="13" s="1"/>
  <c r="O519" i="13"/>
  <c r="L519" i="13"/>
  <c r="M519" i="13" s="1"/>
  <c r="Q518" i="13"/>
  <c r="R518" i="13" s="1"/>
  <c r="O518" i="13"/>
  <c r="L518" i="13"/>
  <c r="M518" i="13" s="1"/>
  <c r="Q517" i="13"/>
  <c r="R517" i="13" s="1"/>
  <c r="O517" i="13"/>
  <c r="L517" i="13"/>
  <c r="M517" i="13" s="1"/>
  <c r="Q516" i="13"/>
  <c r="R516" i="13" s="1"/>
  <c r="O516" i="13"/>
  <c r="L516" i="13"/>
  <c r="M516" i="13" s="1"/>
  <c r="Q515" i="13"/>
  <c r="R515" i="13" s="1"/>
  <c r="O515" i="13"/>
  <c r="L515" i="13"/>
  <c r="M515" i="13" s="1"/>
  <c r="Q514" i="13"/>
  <c r="R514" i="13" s="1"/>
  <c r="O514" i="13"/>
  <c r="L514" i="13"/>
  <c r="M514" i="13" s="1"/>
  <c r="Q513" i="13"/>
  <c r="R513" i="13" s="1"/>
  <c r="O513" i="13"/>
  <c r="L513" i="13"/>
  <c r="M513" i="13" s="1"/>
  <c r="Q512" i="13"/>
  <c r="R512" i="13" s="1"/>
  <c r="O512" i="13"/>
  <c r="L512" i="13"/>
  <c r="M512" i="13" s="1"/>
  <c r="Q511" i="13"/>
  <c r="R511" i="13" s="1"/>
  <c r="O511" i="13"/>
  <c r="L511" i="13"/>
  <c r="M511" i="13" s="1"/>
  <c r="Q510" i="13"/>
  <c r="R510" i="13" s="1"/>
  <c r="O510" i="13"/>
  <c r="L510" i="13"/>
  <c r="M510" i="13" s="1"/>
  <c r="Q509" i="13"/>
  <c r="R509" i="13" s="1"/>
  <c r="O509" i="13"/>
  <c r="L509" i="13"/>
  <c r="M509" i="13" s="1"/>
  <c r="Q508" i="13"/>
  <c r="R508" i="13" s="1"/>
  <c r="O508" i="13"/>
  <c r="L508" i="13"/>
  <c r="M508" i="13" s="1"/>
  <c r="Q507" i="13"/>
  <c r="R507" i="13" s="1"/>
  <c r="O507" i="13"/>
  <c r="L507" i="13"/>
  <c r="M507" i="13" s="1"/>
  <c r="Q506" i="13"/>
  <c r="R506" i="13" s="1"/>
  <c r="O506" i="13"/>
  <c r="L506" i="13"/>
  <c r="M506" i="13" s="1"/>
  <c r="Q505" i="13"/>
  <c r="R505" i="13" s="1"/>
  <c r="O505" i="13"/>
  <c r="L505" i="13"/>
  <c r="M505" i="13" s="1"/>
  <c r="Q504" i="13"/>
  <c r="R504" i="13" s="1"/>
  <c r="O504" i="13"/>
  <c r="L504" i="13"/>
  <c r="M504" i="13" s="1"/>
  <c r="Q503" i="13"/>
  <c r="R503" i="13" s="1"/>
  <c r="O503" i="13"/>
  <c r="L503" i="13"/>
  <c r="M503" i="13" s="1"/>
  <c r="Q502" i="13"/>
  <c r="R502" i="13" s="1"/>
  <c r="O502" i="13"/>
  <c r="L502" i="13"/>
  <c r="M502" i="13" s="1"/>
  <c r="Q501" i="13"/>
  <c r="R501" i="13" s="1"/>
  <c r="O501" i="13"/>
  <c r="L501" i="13"/>
  <c r="M501" i="13" s="1"/>
  <c r="Q500" i="13"/>
  <c r="R500" i="13" s="1"/>
  <c r="O500" i="13"/>
  <c r="L500" i="13"/>
  <c r="M500" i="13" s="1"/>
  <c r="Q499" i="13"/>
  <c r="R499" i="13" s="1"/>
  <c r="O499" i="13"/>
  <c r="L499" i="13"/>
  <c r="M499" i="13" s="1"/>
  <c r="Q498" i="13"/>
  <c r="R498" i="13" s="1"/>
  <c r="O498" i="13"/>
  <c r="L498" i="13"/>
  <c r="M498" i="13" s="1"/>
  <c r="Q497" i="13"/>
  <c r="R497" i="13" s="1"/>
  <c r="O497" i="13"/>
  <c r="L497" i="13"/>
  <c r="M497" i="13" s="1"/>
  <c r="Q496" i="13"/>
  <c r="R496" i="13" s="1"/>
  <c r="O496" i="13"/>
  <c r="L496" i="13"/>
  <c r="M496" i="13" s="1"/>
  <c r="Q495" i="13"/>
  <c r="R495" i="13" s="1"/>
  <c r="O495" i="13"/>
  <c r="L495" i="13"/>
  <c r="M495" i="13" s="1"/>
  <c r="Q494" i="13"/>
  <c r="R494" i="13" s="1"/>
  <c r="O494" i="13"/>
  <c r="L494" i="13"/>
  <c r="M494" i="13" s="1"/>
  <c r="Q493" i="13"/>
  <c r="R493" i="13" s="1"/>
  <c r="O493" i="13"/>
  <c r="L493" i="13"/>
  <c r="M493" i="13" s="1"/>
  <c r="Q492" i="13"/>
  <c r="R492" i="13" s="1"/>
  <c r="O492" i="13"/>
  <c r="L492" i="13"/>
  <c r="M492" i="13" s="1"/>
  <c r="Q491" i="13"/>
  <c r="R491" i="13" s="1"/>
  <c r="O491" i="13"/>
  <c r="L491" i="13"/>
  <c r="M491" i="13" s="1"/>
  <c r="Q490" i="13"/>
  <c r="R490" i="13" s="1"/>
  <c r="O490" i="13"/>
  <c r="L490" i="13"/>
  <c r="M490" i="13" s="1"/>
  <c r="Q489" i="13"/>
  <c r="R489" i="13" s="1"/>
  <c r="O489" i="13"/>
  <c r="L489" i="13"/>
  <c r="M489" i="13" s="1"/>
  <c r="Q488" i="13"/>
  <c r="R488" i="13" s="1"/>
  <c r="O488" i="13"/>
  <c r="L488" i="13"/>
  <c r="M488" i="13" s="1"/>
  <c r="Q487" i="13"/>
  <c r="R487" i="13" s="1"/>
  <c r="O487" i="13"/>
  <c r="L487" i="13"/>
  <c r="M487" i="13" s="1"/>
  <c r="Q486" i="13"/>
  <c r="R486" i="13" s="1"/>
  <c r="O486" i="13"/>
  <c r="L486" i="13"/>
  <c r="M486" i="13" s="1"/>
  <c r="Q485" i="13"/>
  <c r="R485" i="13" s="1"/>
  <c r="O485" i="13"/>
  <c r="L485" i="13"/>
  <c r="M485" i="13" s="1"/>
  <c r="Q484" i="13"/>
  <c r="R484" i="13" s="1"/>
  <c r="O484" i="13"/>
  <c r="L484" i="13"/>
  <c r="M484" i="13" s="1"/>
  <c r="Q483" i="13"/>
  <c r="R483" i="13" s="1"/>
  <c r="O483" i="13"/>
  <c r="L483" i="13"/>
  <c r="M483" i="13" s="1"/>
  <c r="Q482" i="13"/>
  <c r="R482" i="13" s="1"/>
  <c r="O482" i="13"/>
  <c r="L482" i="13"/>
  <c r="M482" i="13" s="1"/>
  <c r="Q481" i="13"/>
  <c r="R481" i="13" s="1"/>
  <c r="O481" i="13"/>
  <c r="L481" i="13"/>
  <c r="M481" i="13" s="1"/>
  <c r="Q480" i="13"/>
  <c r="R480" i="13" s="1"/>
  <c r="O480" i="13"/>
  <c r="L480" i="13"/>
  <c r="M480" i="13" s="1"/>
  <c r="Q479" i="13"/>
  <c r="R479" i="13" s="1"/>
  <c r="O479" i="13"/>
  <c r="L479" i="13"/>
  <c r="M479" i="13" s="1"/>
  <c r="Q478" i="13"/>
  <c r="R478" i="13" s="1"/>
  <c r="O478" i="13"/>
  <c r="L478" i="13"/>
  <c r="M478" i="13" s="1"/>
  <c r="Q477" i="13"/>
  <c r="R477" i="13" s="1"/>
  <c r="O477" i="13"/>
  <c r="L477" i="13"/>
  <c r="M477" i="13" s="1"/>
  <c r="Q476" i="13"/>
  <c r="R476" i="13" s="1"/>
  <c r="O476" i="13"/>
  <c r="L476" i="13"/>
  <c r="M476" i="13" s="1"/>
  <c r="Q475" i="13"/>
  <c r="R475" i="13" s="1"/>
  <c r="O475" i="13"/>
  <c r="L475" i="13"/>
  <c r="M475" i="13" s="1"/>
  <c r="Q474" i="13"/>
  <c r="R474" i="13" s="1"/>
  <c r="O474" i="13"/>
  <c r="L474" i="13"/>
  <c r="M474" i="13" s="1"/>
  <c r="Q473" i="13"/>
  <c r="R473" i="13" s="1"/>
  <c r="O473" i="13"/>
  <c r="L473" i="13"/>
  <c r="M473" i="13" s="1"/>
  <c r="Q472" i="13"/>
  <c r="R472" i="13" s="1"/>
  <c r="O472" i="13"/>
  <c r="L472" i="13"/>
  <c r="M472" i="13" s="1"/>
  <c r="Q471" i="13"/>
  <c r="R471" i="13" s="1"/>
  <c r="O471" i="13"/>
  <c r="L471" i="13"/>
  <c r="M471" i="13" s="1"/>
  <c r="Q470" i="13"/>
  <c r="R470" i="13" s="1"/>
  <c r="O470" i="13"/>
  <c r="L470" i="13"/>
  <c r="M470" i="13" s="1"/>
  <c r="Q469" i="13"/>
  <c r="R469" i="13" s="1"/>
  <c r="O469" i="13"/>
  <c r="L469" i="13"/>
  <c r="M469" i="13" s="1"/>
  <c r="Q468" i="13"/>
  <c r="R468" i="13" s="1"/>
  <c r="O468" i="13"/>
  <c r="L468" i="13"/>
  <c r="M468" i="13" s="1"/>
  <c r="Q467" i="13"/>
  <c r="R467" i="13" s="1"/>
  <c r="O467" i="13"/>
  <c r="L467" i="13"/>
  <c r="M467" i="13" s="1"/>
  <c r="Q466" i="13"/>
  <c r="R466" i="13" s="1"/>
  <c r="O466" i="13"/>
  <c r="L466" i="13"/>
  <c r="M466" i="13" s="1"/>
  <c r="Q465" i="13"/>
  <c r="R465" i="13" s="1"/>
  <c r="O465" i="13"/>
  <c r="L465" i="13"/>
  <c r="M465" i="13" s="1"/>
  <c r="Q464" i="13"/>
  <c r="R464" i="13" s="1"/>
  <c r="O464" i="13"/>
  <c r="L464" i="13"/>
  <c r="M464" i="13" s="1"/>
  <c r="Q463" i="13"/>
  <c r="R463" i="13" s="1"/>
  <c r="O463" i="13"/>
  <c r="L463" i="13"/>
  <c r="M463" i="13" s="1"/>
  <c r="Q462" i="13"/>
  <c r="R462" i="13" s="1"/>
  <c r="O462" i="13"/>
  <c r="L462" i="13"/>
  <c r="M462" i="13" s="1"/>
  <c r="Q461" i="13"/>
  <c r="R461" i="13" s="1"/>
  <c r="O461" i="13"/>
  <c r="L461" i="13"/>
  <c r="M461" i="13" s="1"/>
  <c r="Q460" i="13"/>
  <c r="R460" i="13" s="1"/>
  <c r="O460" i="13"/>
  <c r="L460" i="13"/>
  <c r="M460" i="13" s="1"/>
  <c r="Q459" i="13"/>
  <c r="R459" i="13" s="1"/>
  <c r="O459" i="13"/>
  <c r="L459" i="13"/>
  <c r="M459" i="13" s="1"/>
  <c r="Q458" i="13"/>
  <c r="R458" i="13" s="1"/>
  <c r="O458" i="13"/>
  <c r="L458" i="13"/>
  <c r="M458" i="13" s="1"/>
  <c r="Q457" i="13"/>
  <c r="R457" i="13" s="1"/>
  <c r="O457" i="13"/>
  <c r="L457" i="13"/>
  <c r="M457" i="13" s="1"/>
  <c r="Q456" i="13"/>
  <c r="R456" i="13" s="1"/>
  <c r="O456" i="13"/>
  <c r="L456" i="13"/>
  <c r="M456" i="13" s="1"/>
  <c r="Q455" i="13"/>
  <c r="R455" i="13" s="1"/>
  <c r="O455" i="13"/>
  <c r="L455" i="13"/>
  <c r="M455" i="13" s="1"/>
  <c r="Q454" i="13"/>
  <c r="R454" i="13" s="1"/>
  <c r="O454" i="13"/>
  <c r="L454" i="13"/>
  <c r="M454" i="13" s="1"/>
  <c r="Q453" i="13"/>
  <c r="R453" i="13" s="1"/>
  <c r="O453" i="13"/>
  <c r="L453" i="13"/>
  <c r="M453" i="13" s="1"/>
  <c r="Q452" i="13"/>
  <c r="R452" i="13" s="1"/>
  <c r="O452" i="13"/>
  <c r="L452" i="13"/>
  <c r="M452" i="13" s="1"/>
  <c r="Q451" i="13"/>
  <c r="R451" i="13" s="1"/>
  <c r="O451" i="13"/>
  <c r="L451" i="13"/>
  <c r="M451" i="13" s="1"/>
  <c r="Q450" i="13"/>
  <c r="R450" i="13" s="1"/>
  <c r="O450" i="13"/>
  <c r="L450" i="13"/>
  <c r="M450" i="13" s="1"/>
  <c r="Q449" i="13"/>
  <c r="R449" i="13" s="1"/>
  <c r="O449" i="13"/>
  <c r="L449" i="13"/>
  <c r="M449" i="13" s="1"/>
  <c r="Q448" i="13"/>
  <c r="R448" i="13" s="1"/>
  <c r="O448" i="13"/>
  <c r="L448" i="13"/>
  <c r="M448" i="13" s="1"/>
  <c r="Q447" i="13"/>
  <c r="R447" i="13" s="1"/>
  <c r="O447" i="13"/>
  <c r="L447" i="13"/>
  <c r="M447" i="13" s="1"/>
  <c r="Q446" i="13"/>
  <c r="R446" i="13" s="1"/>
  <c r="O446" i="13"/>
  <c r="L446" i="13"/>
  <c r="M446" i="13" s="1"/>
  <c r="Q445" i="13"/>
  <c r="R445" i="13" s="1"/>
  <c r="O445" i="13"/>
  <c r="L445" i="13"/>
  <c r="M445" i="13" s="1"/>
  <c r="Q444" i="13"/>
  <c r="R444" i="13" s="1"/>
  <c r="O444" i="13"/>
  <c r="L444" i="13"/>
  <c r="M444" i="13" s="1"/>
  <c r="Q443" i="13"/>
  <c r="R443" i="13" s="1"/>
  <c r="O443" i="13"/>
  <c r="L443" i="13"/>
  <c r="M443" i="13" s="1"/>
  <c r="Q442" i="13"/>
  <c r="R442" i="13" s="1"/>
  <c r="O442" i="13"/>
  <c r="L442" i="13"/>
  <c r="M442" i="13" s="1"/>
  <c r="Q441" i="13"/>
  <c r="R441" i="13" s="1"/>
  <c r="O441" i="13"/>
  <c r="L441" i="13"/>
  <c r="M441" i="13" s="1"/>
  <c r="Q440" i="13"/>
  <c r="R440" i="13" s="1"/>
  <c r="O440" i="13"/>
  <c r="L440" i="13"/>
  <c r="M440" i="13" s="1"/>
  <c r="Q439" i="13"/>
  <c r="R439" i="13" s="1"/>
  <c r="O439" i="13"/>
  <c r="L439" i="13"/>
  <c r="M439" i="13" s="1"/>
  <c r="Q438" i="13"/>
  <c r="R438" i="13" s="1"/>
  <c r="O438" i="13"/>
  <c r="L438" i="13"/>
  <c r="M438" i="13" s="1"/>
  <c r="Q437" i="13"/>
  <c r="R437" i="13" s="1"/>
  <c r="O437" i="13"/>
  <c r="L437" i="13"/>
  <c r="M437" i="13" s="1"/>
  <c r="Q436" i="13"/>
  <c r="R436" i="13" s="1"/>
  <c r="O436" i="13"/>
  <c r="L436" i="13"/>
  <c r="M436" i="13" s="1"/>
  <c r="Q435" i="13"/>
  <c r="R435" i="13" s="1"/>
  <c r="O435" i="13"/>
  <c r="L435" i="13"/>
  <c r="M435" i="13" s="1"/>
  <c r="Q434" i="13"/>
  <c r="R434" i="13" s="1"/>
  <c r="O434" i="13"/>
  <c r="L434" i="13"/>
  <c r="M434" i="13" s="1"/>
  <c r="Q433" i="13"/>
  <c r="R433" i="13" s="1"/>
  <c r="O433" i="13"/>
  <c r="L433" i="13"/>
  <c r="M433" i="13" s="1"/>
  <c r="Q432" i="13"/>
  <c r="R432" i="13" s="1"/>
  <c r="O432" i="13"/>
  <c r="L432" i="13"/>
  <c r="M432" i="13" s="1"/>
  <c r="Q431" i="13"/>
  <c r="R431" i="13" s="1"/>
  <c r="O431" i="13"/>
  <c r="L431" i="13"/>
  <c r="M431" i="13" s="1"/>
  <c r="Q430" i="13"/>
  <c r="R430" i="13" s="1"/>
  <c r="O430" i="13"/>
  <c r="L430" i="13"/>
  <c r="M430" i="13" s="1"/>
  <c r="Q429" i="13"/>
  <c r="R429" i="13" s="1"/>
  <c r="O429" i="13"/>
  <c r="L429" i="13"/>
  <c r="M429" i="13" s="1"/>
  <c r="Q428" i="13"/>
  <c r="R428" i="13" s="1"/>
  <c r="O428" i="13"/>
  <c r="L428" i="13"/>
  <c r="M428" i="13" s="1"/>
  <c r="Q427" i="13"/>
  <c r="R427" i="13" s="1"/>
  <c r="O427" i="13"/>
  <c r="L427" i="13"/>
  <c r="M427" i="13" s="1"/>
  <c r="Q426" i="13"/>
  <c r="R426" i="13" s="1"/>
  <c r="O426" i="13"/>
  <c r="L426" i="13"/>
  <c r="M426" i="13" s="1"/>
  <c r="Q425" i="13"/>
  <c r="R425" i="13" s="1"/>
  <c r="O425" i="13"/>
  <c r="L425" i="13"/>
  <c r="M425" i="13" s="1"/>
  <c r="Q424" i="13"/>
  <c r="R424" i="13" s="1"/>
  <c r="O424" i="13"/>
  <c r="L424" i="13"/>
  <c r="M424" i="13" s="1"/>
  <c r="Q423" i="13"/>
  <c r="R423" i="13" s="1"/>
  <c r="O423" i="13"/>
  <c r="L423" i="13"/>
  <c r="M423" i="13" s="1"/>
  <c r="Q422" i="13"/>
  <c r="R422" i="13" s="1"/>
  <c r="O422" i="13"/>
  <c r="L422" i="13"/>
  <c r="M422" i="13" s="1"/>
  <c r="Q421" i="13"/>
  <c r="R421" i="13" s="1"/>
  <c r="O421" i="13"/>
  <c r="L421" i="13"/>
  <c r="M421" i="13" s="1"/>
  <c r="Q420" i="13"/>
  <c r="R420" i="13" s="1"/>
  <c r="O420" i="13"/>
  <c r="L420" i="13"/>
  <c r="M420" i="13" s="1"/>
  <c r="Q419" i="13"/>
  <c r="R419" i="13" s="1"/>
  <c r="O419" i="13"/>
  <c r="L419" i="13"/>
  <c r="M419" i="13" s="1"/>
  <c r="Q418" i="13"/>
  <c r="R418" i="13" s="1"/>
  <c r="O418" i="13"/>
  <c r="L418" i="13"/>
  <c r="M418" i="13" s="1"/>
  <c r="Q417" i="13"/>
  <c r="R417" i="13" s="1"/>
  <c r="O417" i="13"/>
  <c r="L417" i="13"/>
  <c r="M417" i="13" s="1"/>
  <c r="Q416" i="13"/>
  <c r="R416" i="13" s="1"/>
  <c r="O416" i="13"/>
  <c r="L416" i="13"/>
  <c r="M416" i="13" s="1"/>
  <c r="Q415" i="13"/>
  <c r="R415" i="13" s="1"/>
  <c r="O415" i="13"/>
  <c r="L415" i="13"/>
  <c r="M415" i="13" s="1"/>
  <c r="Q414" i="13"/>
  <c r="R414" i="13" s="1"/>
  <c r="O414" i="13"/>
  <c r="L414" i="13"/>
  <c r="M414" i="13" s="1"/>
  <c r="Q413" i="13"/>
  <c r="R413" i="13" s="1"/>
  <c r="O413" i="13"/>
  <c r="L413" i="13"/>
  <c r="M413" i="13" s="1"/>
  <c r="Q412" i="13"/>
  <c r="R412" i="13" s="1"/>
  <c r="O412" i="13"/>
  <c r="L412" i="13"/>
  <c r="M412" i="13" s="1"/>
  <c r="Q411" i="13"/>
  <c r="R411" i="13" s="1"/>
  <c r="O411" i="13"/>
  <c r="L411" i="13"/>
  <c r="M411" i="13" s="1"/>
  <c r="Q410" i="13"/>
  <c r="R410" i="13" s="1"/>
  <c r="O410" i="13"/>
  <c r="L410" i="13"/>
  <c r="M410" i="13" s="1"/>
  <c r="Q409" i="13"/>
  <c r="R409" i="13" s="1"/>
  <c r="O409" i="13"/>
  <c r="L409" i="13"/>
  <c r="M409" i="13" s="1"/>
  <c r="Q408" i="13"/>
  <c r="R408" i="13" s="1"/>
  <c r="O408" i="13"/>
  <c r="L408" i="13"/>
  <c r="M408" i="13" s="1"/>
  <c r="Q407" i="13"/>
  <c r="R407" i="13" s="1"/>
  <c r="O407" i="13"/>
  <c r="L407" i="13"/>
  <c r="M407" i="13" s="1"/>
  <c r="Q406" i="13"/>
  <c r="R406" i="13" s="1"/>
  <c r="O406" i="13"/>
  <c r="L406" i="13"/>
  <c r="M406" i="13" s="1"/>
  <c r="Q405" i="13"/>
  <c r="R405" i="13" s="1"/>
  <c r="O405" i="13"/>
  <c r="L405" i="13"/>
  <c r="M405" i="13" s="1"/>
  <c r="Q404" i="13"/>
  <c r="R404" i="13" s="1"/>
  <c r="O404" i="13"/>
  <c r="L404" i="13"/>
  <c r="M404" i="13" s="1"/>
  <c r="Q403" i="13"/>
  <c r="R403" i="13" s="1"/>
  <c r="O403" i="13"/>
  <c r="L403" i="13"/>
  <c r="M403" i="13" s="1"/>
  <c r="Q402" i="13"/>
  <c r="R402" i="13" s="1"/>
  <c r="O402" i="13"/>
  <c r="L402" i="13"/>
  <c r="M402" i="13" s="1"/>
  <c r="Q401" i="13"/>
  <c r="R401" i="13" s="1"/>
  <c r="O401" i="13"/>
  <c r="L401" i="13"/>
  <c r="M401" i="13" s="1"/>
  <c r="Q400" i="13"/>
  <c r="R400" i="13" s="1"/>
  <c r="O400" i="13"/>
  <c r="L400" i="13"/>
  <c r="M400" i="13" s="1"/>
  <c r="Q399" i="13"/>
  <c r="R399" i="13" s="1"/>
  <c r="O399" i="13"/>
  <c r="L399" i="13"/>
  <c r="M399" i="13" s="1"/>
  <c r="Q398" i="13"/>
  <c r="R398" i="13" s="1"/>
  <c r="O398" i="13"/>
  <c r="L398" i="13"/>
  <c r="M398" i="13" s="1"/>
  <c r="Q397" i="13"/>
  <c r="R397" i="13" s="1"/>
  <c r="O397" i="13"/>
  <c r="L397" i="13"/>
  <c r="M397" i="13" s="1"/>
  <c r="Q396" i="13"/>
  <c r="R396" i="13" s="1"/>
  <c r="O396" i="13"/>
  <c r="L396" i="13"/>
  <c r="M396" i="13" s="1"/>
  <c r="Q395" i="13"/>
  <c r="R395" i="13" s="1"/>
  <c r="O395" i="13"/>
  <c r="L395" i="13"/>
  <c r="M395" i="13" s="1"/>
  <c r="Q394" i="13"/>
  <c r="R394" i="13" s="1"/>
  <c r="O394" i="13"/>
  <c r="L394" i="13"/>
  <c r="M394" i="13" s="1"/>
  <c r="Q393" i="13"/>
  <c r="R393" i="13" s="1"/>
  <c r="O393" i="13"/>
  <c r="L393" i="13"/>
  <c r="M393" i="13" s="1"/>
  <c r="Q392" i="13"/>
  <c r="R392" i="13" s="1"/>
  <c r="O392" i="13"/>
  <c r="L392" i="13"/>
  <c r="M392" i="13" s="1"/>
  <c r="Q391" i="13"/>
  <c r="R391" i="13" s="1"/>
  <c r="O391" i="13"/>
  <c r="L391" i="13"/>
  <c r="M391" i="13" s="1"/>
  <c r="Q390" i="13"/>
  <c r="R390" i="13" s="1"/>
  <c r="O390" i="13"/>
  <c r="L390" i="13"/>
  <c r="M390" i="13" s="1"/>
  <c r="Q389" i="13"/>
  <c r="R389" i="13" s="1"/>
  <c r="O389" i="13"/>
  <c r="L389" i="13"/>
  <c r="M389" i="13" s="1"/>
  <c r="Q388" i="13"/>
  <c r="R388" i="13" s="1"/>
  <c r="O388" i="13"/>
  <c r="L388" i="13"/>
  <c r="M388" i="13" s="1"/>
  <c r="Q387" i="13"/>
  <c r="R387" i="13" s="1"/>
  <c r="O387" i="13"/>
  <c r="L387" i="13"/>
  <c r="M387" i="13" s="1"/>
  <c r="Q386" i="13"/>
  <c r="R386" i="13" s="1"/>
  <c r="O386" i="13"/>
  <c r="L386" i="13"/>
  <c r="M386" i="13" s="1"/>
  <c r="Q385" i="13"/>
  <c r="R385" i="13" s="1"/>
  <c r="O385" i="13"/>
  <c r="L385" i="13"/>
  <c r="M385" i="13" s="1"/>
  <c r="Q384" i="13"/>
  <c r="R384" i="13" s="1"/>
  <c r="O384" i="13"/>
  <c r="L384" i="13"/>
  <c r="M384" i="13" s="1"/>
  <c r="Q383" i="13"/>
  <c r="R383" i="13" s="1"/>
  <c r="O383" i="13"/>
  <c r="L383" i="13"/>
  <c r="M383" i="13" s="1"/>
  <c r="Q382" i="13"/>
  <c r="R382" i="13" s="1"/>
  <c r="O382" i="13"/>
  <c r="L382" i="13"/>
  <c r="M382" i="13" s="1"/>
  <c r="Q381" i="13"/>
  <c r="R381" i="13" s="1"/>
  <c r="O381" i="13"/>
  <c r="L381" i="13"/>
  <c r="M381" i="13" s="1"/>
  <c r="Q380" i="13"/>
  <c r="R380" i="13" s="1"/>
  <c r="O380" i="13"/>
  <c r="L380" i="13"/>
  <c r="M380" i="13" s="1"/>
  <c r="Q379" i="13"/>
  <c r="R379" i="13" s="1"/>
  <c r="O379" i="13"/>
  <c r="L379" i="13"/>
  <c r="M379" i="13" s="1"/>
  <c r="Q378" i="13"/>
  <c r="R378" i="13" s="1"/>
  <c r="O378" i="13"/>
  <c r="L378" i="13"/>
  <c r="M378" i="13" s="1"/>
  <c r="Q377" i="13"/>
  <c r="R377" i="13" s="1"/>
  <c r="O377" i="13"/>
  <c r="L377" i="13"/>
  <c r="M377" i="13" s="1"/>
  <c r="Q376" i="13"/>
  <c r="R376" i="13" s="1"/>
  <c r="O376" i="13"/>
  <c r="L376" i="13"/>
  <c r="M376" i="13" s="1"/>
  <c r="Q375" i="13"/>
  <c r="R375" i="13" s="1"/>
  <c r="O375" i="13"/>
  <c r="L375" i="13"/>
  <c r="M375" i="13" s="1"/>
  <c r="Q374" i="13"/>
  <c r="R374" i="13" s="1"/>
  <c r="O374" i="13"/>
  <c r="L374" i="13"/>
  <c r="M374" i="13" s="1"/>
  <c r="Q373" i="13"/>
  <c r="R373" i="13" s="1"/>
  <c r="O373" i="13"/>
  <c r="L373" i="13"/>
  <c r="M373" i="13" s="1"/>
  <c r="Q372" i="13"/>
  <c r="R372" i="13" s="1"/>
  <c r="O372" i="13"/>
  <c r="L372" i="13"/>
  <c r="M372" i="13" s="1"/>
  <c r="Q371" i="13"/>
  <c r="R371" i="13" s="1"/>
  <c r="O371" i="13"/>
  <c r="L371" i="13"/>
  <c r="M371" i="13" s="1"/>
  <c r="Q370" i="13"/>
  <c r="R370" i="13" s="1"/>
  <c r="O370" i="13"/>
  <c r="L370" i="13"/>
  <c r="M370" i="13" s="1"/>
  <c r="Q369" i="13"/>
  <c r="R369" i="13" s="1"/>
  <c r="O369" i="13"/>
  <c r="L369" i="13"/>
  <c r="M369" i="13" s="1"/>
  <c r="Q368" i="13"/>
  <c r="R368" i="13" s="1"/>
  <c r="O368" i="13"/>
  <c r="L368" i="13"/>
  <c r="M368" i="13" s="1"/>
  <c r="Q367" i="13"/>
  <c r="R367" i="13" s="1"/>
  <c r="O367" i="13"/>
  <c r="L367" i="13"/>
  <c r="M367" i="13" s="1"/>
  <c r="Q366" i="13"/>
  <c r="R366" i="13" s="1"/>
  <c r="O366" i="13"/>
  <c r="L366" i="13"/>
  <c r="M366" i="13" s="1"/>
  <c r="Q365" i="13"/>
  <c r="R365" i="13" s="1"/>
  <c r="O365" i="13"/>
  <c r="L365" i="13"/>
  <c r="M365" i="13" s="1"/>
  <c r="Q364" i="13"/>
  <c r="R364" i="13" s="1"/>
  <c r="O364" i="13"/>
  <c r="L364" i="13"/>
  <c r="M364" i="13" s="1"/>
  <c r="Q363" i="13"/>
  <c r="R363" i="13" s="1"/>
  <c r="O363" i="13"/>
  <c r="L363" i="13"/>
  <c r="M363" i="13" s="1"/>
  <c r="Q362" i="13"/>
  <c r="R362" i="13" s="1"/>
  <c r="O362" i="13"/>
  <c r="L362" i="13"/>
  <c r="M362" i="13" s="1"/>
  <c r="Q361" i="13"/>
  <c r="R361" i="13" s="1"/>
  <c r="O361" i="13"/>
  <c r="L361" i="13"/>
  <c r="M361" i="13" s="1"/>
  <c r="Q360" i="13"/>
  <c r="R360" i="13" s="1"/>
  <c r="O360" i="13"/>
  <c r="L360" i="13"/>
  <c r="M360" i="13" s="1"/>
  <c r="Q359" i="13"/>
  <c r="R359" i="13" s="1"/>
  <c r="O359" i="13"/>
  <c r="L359" i="13"/>
  <c r="M359" i="13" s="1"/>
  <c r="Q358" i="13"/>
  <c r="R358" i="13" s="1"/>
  <c r="O358" i="13"/>
  <c r="L358" i="13"/>
  <c r="M358" i="13" s="1"/>
  <c r="Q357" i="13"/>
  <c r="R357" i="13" s="1"/>
  <c r="O357" i="13"/>
  <c r="L357" i="13"/>
  <c r="M357" i="13" s="1"/>
  <c r="Q356" i="13"/>
  <c r="R356" i="13" s="1"/>
  <c r="O356" i="13"/>
  <c r="L356" i="13"/>
  <c r="M356" i="13" s="1"/>
  <c r="Q355" i="13"/>
  <c r="R355" i="13" s="1"/>
  <c r="O355" i="13"/>
  <c r="L355" i="13"/>
  <c r="M355" i="13" s="1"/>
  <c r="Q354" i="13"/>
  <c r="R354" i="13" s="1"/>
  <c r="O354" i="13"/>
  <c r="L354" i="13"/>
  <c r="M354" i="13" s="1"/>
  <c r="Q353" i="13"/>
  <c r="R353" i="13" s="1"/>
  <c r="O353" i="13"/>
  <c r="L353" i="13"/>
  <c r="M353" i="13" s="1"/>
  <c r="Q352" i="13"/>
  <c r="R352" i="13" s="1"/>
  <c r="O352" i="13"/>
  <c r="L352" i="13"/>
  <c r="M352" i="13" s="1"/>
  <c r="Q351" i="13"/>
  <c r="R351" i="13" s="1"/>
  <c r="O351" i="13"/>
  <c r="L351" i="13"/>
  <c r="M351" i="13" s="1"/>
  <c r="Q350" i="13"/>
  <c r="R350" i="13" s="1"/>
  <c r="O350" i="13"/>
  <c r="L350" i="13"/>
  <c r="M350" i="13" s="1"/>
  <c r="Q349" i="13"/>
  <c r="R349" i="13" s="1"/>
  <c r="O349" i="13"/>
  <c r="L349" i="13"/>
  <c r="M349" i="13" s="1"/>
  <c r="Q348" i="13"/>
  <c r="R348" i="13" s="1"/>
  <c r="O348" i="13"/>
  <c r="L348" i="13"/>
  <c r="M348" i="13" s="1"/>
  <c r="Q347" i="13"/>
  <c r="R347" i="13" s="1"/>
  <c r="O347" i="13"/>
  <c r="L347" i="13"/>
  <c r="M347" i="13" s="1"/>
  <c r="Q346" i="13"/>
  <c r="R346" i="13" s="1"/>
  <c r="O346" i="13"/>
  <c r="L346" i="13"/>
  <c r="M346" i="13" s="1"/>
  <c r="Q345" i="13"/>
  <c r="R345" i="13" s="1"/>
  <c r="O345" i="13"/>
  <c r="L345" i="13"/>
  <c r="M345" i="13" s="1"/>
  <c r="Q344" i="13"/>
  <c r="R344" i="13" s="1"/>
  <c r="O344" i="13"/>
  <c r="L344" i="13"/>
  <c r="M344" i="13" s="1"/>
  <c r="Q343" i="13"/>
  <c r="R343" i="13" s="1"/>
  <c r="O343" i="13"/>
  <c r="L343" i="13"/>
  <c r="M343" i="13" s="1"/>
  <c r="Q342" i="13"/>
  <c r="R342" i="13" s="1"/>
  <c r="O342" i="13"/>
  <c r="L342" i="13"/>
  <c r="M342" i="13" s="1"/>
  <c r="Q341" i="13"/>
  <c r="R341" i="13" s="1"/>
  <c r="O341" i="13"/>
  <c r="L341" i="13"/>
  <c r="M341" i="13" s="1"/>
  <c r="Q340" i="13"/>
  <c r="R340" i="13" s="1"/>
  <c r="O340" i="13"/>
  <c r="L340" i="13"/>
  <c r="M340" i="13" s="1"/>
  <c r="Q339" i="13"/>
  <c r="R339" i="13" s="1"/>
  <c r="O339" i="13"/>
  <c r="L339" i="13"/>
  <c r="M339" i="13" s="1"/>
  <c r="Q338" i="13"/>
  <c r="R338" i="13" s="1"/>
  <c r="O338" i="13"/>
  <c r="L338" i="13"/>
  <c r="M338" i="13" s="1"/>
  <c r="Q337" i="13"/>
  <c r="R337" i="13" s="1"/>
  <c r="O337" i="13"/>
  <c r="L337" i="13"/>
  <c r="M337" i="13" s="1"/>
  <c r="Q336" i="13"/>
  <c r="R336" i="13" s="1"/>
  <c r="O336" i="13"/>
  <c r="L336" i="13"/>
  <c r="M336" i="13" s="1"/>
  <c r="Q335" i="13"/>
  <c r="R335" i="13" s="1"/>
  <c r="O335" i="13"/>
  <c r="L335" i="13"/>
  <c r="M335" i="13" s="1"/>
  <c r="Q334" i="13"/>
  <c r="R334" i="13" s="1"/>
  <c r="O334" i="13"/>
  <c r="L334" i="13"/>
  <c r="M334" i="13" s="1"/>
  <c r="Q333" i="13"/>
  <c r="R333" i="13" s="1"/>
  <c r="O333" i="13"/>
  <c r="L333" i="13"/>
  <c r="M333" i="13" s="1"/>
  <c r="Q332" i="13"/>
  <c r="R332" i="13" s="1"/>
  <c r="O332" i="13"/>
  <c r="L332" i="13"/>
  <c r="M332" i="13" s="1"/>
  <c r="Q331" i="13"/>
  <c r="R331" i="13" s="1"/>
  <c r="O331" i="13"/>
  <c r="L331" i="13"/>
  <c r="M331" i="13" s="1"/>
  <c r="Q330" i="13"/>
  <c r="R330" i="13" s="1"/>
  <c r="O330" i="13"/>
  <c r="L330" i="13"/>
  <c r="M330" i="13" s="1"/>
  <c r="Q329" i="13"/>
  <c r="R329" i="13" s="1"/>
  <c r="O329" i="13"/>
  <c r="L329" i="13"/>
  <c r="M329" i="13" s="1"/>
  <c r="Q328" i="13"/>
  <c r="R328" i="13" s="1"/>
  <c r="O328" i="13"/>
  <c r="L328" i="13"/>
  <c r="M328" i="13" s="1"/>
  <c r="Q327" i="13"/>
  <c r="R327" i="13" s="1"/>
  <c r="O327" i="13"/>
  <c r="L327" i="13"/>
  <c r="M327" i="13" s="1"/>
  <c r="Q326" i="13"/>
  <c r="R326" i="13" s="1"/>
  <c r="O326" i="13"/>
  <c r="L326" i="13"/>
  <c r="M326" i="13" s="1"/>
  <c r="Q325" i="13"/>
  <c r="R325" i="13" s="1"/>
  <c r="O325" i="13"/>
  <c r="L325" i="13"/>
  <c r="M325" i="13" s="1"/>
  <c r="Q324" i="13"/>
  <c r="R324" i="13" s="1"/>
  <c r="O324" i="13"/>
  <c r="L324" i="13"/>
  <c r="M324" i="13" s="1"/>
  <c r="Q323" i="13"/>
  <c r="R323" i="13" s="1"/>
  <c r="O323" i="13"/>
  <c r="L323" i="13"/>
  <c r="M323" i="13" s="1"/>
  <c r="Q322" i="13"/>
  <c r="R322" i="13" s="1"/>
  <c r="O322" i="13"/>
  <c r="L322" i="13"/>
  <c r="M322" i="13" s="1"/>
  <c r="Q321" i="13"/>
  <c r="R321" i="13" s="1"/>
  <c r="O321" i="13"/>
  <c r="L321" i="13"/>
  <c r="M321" i="13" s="1"/>
  <c r="Q320" i="13"/>
  <c r="R320" i="13" s="1"/>
  <c r="O320" i="13"/>
  <c r="L320" i="13"/>
  <c r="M320" i="13" s="1"/>
  <c r="Q319" i="13"/>
  <c r="R319" i="13" s="1"/>
  <c r="O319" i="13"/>
  <c r="L319" i="13"/>
  <c r="M319" i="13" s="1"/>
  <c r="Q318" i="13"/>
  <c r="R318" i="13" s="1"/>
  <c r="O318" i="13"/>
  <c r="L318" i="13"/>
  <c r="M318" i="13" s="1"/>
  <c r="Q317" i="13"/>
  <c r="R317" i="13" s="1"/>
  <c r="O317" i="13"/>
  <c r="L317" i="13"/>
  <c r="M317" i="13" s="1"/>
  <c r="Q316" i="13"/>
  <c r="R316" i="13" s="1"/>
  <c r="O316" i="13"/>
  <c r="L316" i="13"/>
  <c r="M316" i="13" s="1"/>
  <c r="Q315" i="13"/>
  <c r="R315" i="13" s="1"/>
  <c r="O315" i="13"/>
  <c r="L315" i="13"/>
  <c r="M315" i="13" s="1"/>
  <c r="Q314" i="13"/>
  <c r="R314" i="13" s="1"/>
  <c r="O314" i="13"/>
  <c r="L314" i="13"/>
  <c r="M314" i="13" s="1"/>
  <c r="Q313" i="13"/>
  <c r="R313" i="13" s="1"/>
  <c r="O313" i="13"/>
  <c r="L313" i="13"/>
  <c r="M313" i="13" s="1"/>
  <c r="Q312" i="13"/>
  <c r="R312" i="13" s="1"/>
  <c r="O312" i="13"/>
  <c r="L312" i="13"/>
  <c r="M312" i="13" s="1"/>
  <c r="Q311" i="13"/>
  <c r="R311" i="13" s="1"/>
  <c r="O311" i="13"/>
  <c r="L311" i="13"/>
  <c r="M311" i="13" s="1"/>
  <c r="Q310" i="13"/>
  <c r="R310" i="13" s="1"/>
  <c r="O310" i="13"/>
  <c r="L310" i="13"/>
  <c r="M310" i="13" s="1"/>
  <c r="Q309" i="13"/>
  <c r="R309" i="13" s="1"/>
  <c r="O309" i="13"/>
  <c r="L309" i="13"/>
  <c r="M309" i="13" s="1"/>
  <c r="Q308" i="13"/>
  <c r="R308" i="13" s="1"/>
  <c r="O308" i="13"/>
  <c r="L308" i="13"/>
  <c r="M308" i="13" s="1"/>
  <c r="Q307" i="13"/>
  <c r="R307" i="13" s="1"/>
  <c r="O307" i="13"/>
  <c r="L307" i="13"/>
  <c r="M307" i="13" s="1"/>
  <c r="Q306" i="13"/>
  <c r="R306" i="13" s="1"/>
  <c r="O306" i="13"/>
  <c r="L306" i="13"/>
  <c r="M306" i="13" s="1"/>
  <c r="Q305" i="13"/>
  <c r="R305" i="13" s="1"/>
  <c r="O305" i="13"/>
  <c r="L305" i="13"/>
  <c r="M305" i="13" s="1"/>
  <c r="Q304" i="13"/>
  <c r="R304" i="13" s="1"/>
  <c r="O304" i="13"/>
  <c r="L304" i="13"/>
  <c r="M304" i="13" s="1"/>
  <c r="Q303" i="13"/>
  <c r="R303" i="13" s="1"/>
  <c r="O303" i="13"/>
  <c r="L303" i="13"/>
  <c r="M303" i="13" s="1"/>
  <c r="Q302" i="13"/>
  <c r="R302" i="13" s="1"/>
  <c r="O302" i="13"/>
  <c r="L302" i="13"/>
  <c r="M302" i="13" s="1"/>
  <c r="Q301" i="13"/>
  <c r="R301" i="13" s="1"/>
  <c r="O301" i="13"/>
  <c r="L301" i="13"/>
  <c r="M301" i="13" s="1"/>
  <c r="Q300" i="13"/>
  <c r="R300" i="13" s="1"/>
  <c r="O300" i="13"/>
  <c r="L300" i="13"/>
  <c r="M300" i="13" s="1"/>
  <c r="Q299" i="13"/>
  <c r="R299" i="13" s="1"/>
  <c r="O299" i="13"/>
  <c r="L299" i="13"/>
  <c r="M299" i="13" s="1"/>
  <c r="Q298" i="13"/>
  <c r="R298" i="13" s="1"/>
  <c r="O298" i="13"/>
  <c r="L298" i="13"/>
  <c r="M298" i="13" s="1"/>
  <c r="Q297" i="13"/>
  <c r="R297" i="13" s="1"/>
  <c r="O297" i="13"/>
  <c r="L297" i="13"/>
  <c r="M297" i="13" s="1"/>
  <c r="Q296" i="13"/>
  <c r="R296" i="13" s="1"/>
  <c r="O296" i="13"/>
  <c r="L296" i="13"/>
  <c r="M296" i="13" s="1"/>
  <c r="Q295" i="13"/>
  <c r="R295" i="13" s="1"/>
  <c r="O295" i="13"/>
  <c r="L295" i="13"/>
  <c r="M295" i="13" s="1"/>
  <c r="Q294" i="13"/>
  <c r="R294" i="13" s="1"/>
  <c r="O294" i="13"/>
  <c r="L294" i="13"/>
  <c r="M294" i="13" s="1"/>
  <c r="Q293" i="13"/>
  <c r="R293" i="13" s="1"/>
  <c r="O293" i="13"/>
  <c r="L293" i="13"/>
  <c r="M293" i="13" s="1"/>
  <c r="Q292" i="13"/>
  <c r="R292" i="13" s="1"/>
  <c r="O292" i="13"/>
  <c r="L292" i="13"/>
  <c r="M292" i="13" s="1"/>
  <c r="Q291" i="13"/>
  <c r="R291" i="13" s="1"/>
  <c r="O291" i="13"/>
  <c r="L291" i="13"/>
  <c r="M291" i="13" s="1"/>
  <c r="Q290" i="13"/>
  <c r="R290" i="13" s="1"/>
  <c r="O290" i="13"/>
  <c r="L290" i="13"/>
  <c r="M290" i="13" s="1"/>
  <c r="Q289" i="13"/>
  <c r="R289" i="13" s="1"/>
  <c r="O289" i="13"/>
  <c r="L289" i="13"/>
  <c r="M289" i="13" s="1"/>
  <c r="Q288" i="13"/>
  <c r="R288" i="13" s="1"/>
  <c r="O288" i="13"/>
  <c r="L288" i="13"/>
  <c r="M288" i="13" s="1"/>
  <c r="Q287" i="13"/>
  <c r="R287" i="13" s="1"/>
  <c r="O287" i="13"/>
  <c r="L287" i="13"/>
  <c r="M287" i="13" s="1"/>
  <c r="Q286" i="13"/>
  <c r="R286" i="13" s="1"/>
  <c r="O286" i="13"/>
  <c r="L286" i="13"/>
  <c r="M286" i="13" s="1"/>
  <c r="Q285" i="13"/>
  <c r="R285" i="13" s="1"/>
  <c r="O285" i="13"/>
  <c r="L285" i="13"/>
  <c r="M285" i="13" s="1"/>
  <c r="Q284" i="13"/>
  <c r="R284" i="13" s="1"/>
  <c r="O284" i="13"/>
  <c r="L284" i="13"/>
  <c r="M284" i="13" s="1"/>
  <c r="Q283" i="13"/>
  <c r="R283" i="13" s="1"/>
  <c r="O283" i="13"/>
  <c r="L283" i="13"/>
  <c r="M283" i="13" s="1"/>
  <c r="Q282" i="13"/>
  <c r="R282" i="13" s="1"/>
  <c r="O282" i="13"/>
  <c r="L282" i="13"/>
  <c r="M282" i="13" s="1"/>
  <c r="Q281" i="13"/>
  <c r="R281" i="13" s="1"/>
  <c r="O281" i="13"/>
  <c r="L281" i="13"/>
  <c r="M281" i="13" s="1"/>
  <c r="Q280" i="13"/>
  <c r="R280" i="13" s="1"/>
  <c r="O280" i="13"/>
  <c r="L280" i="13"/>
  <c r="M280" i="13" s="1"/>
  <c r="Q279" i="13"/>
  <c r="R279" i="13" s="1"/>
  <c r="O279" i="13"/>
  <c r="L279" i="13"/>
  <c r="M279" i="13" s="1"/>
  <c r="Q278" i="13"/>
  <c r="R278" i="13" s="1"/>
  <c r="O278" i="13"/>
  <c r="L278" i="13"/>
  <c r="M278" i="13" s="1"/>
  <c r="Q277" i="13"/>
  <c r="R277" i="13" s="1"/>
  <c r="O277" i="13"/>
  <c r="L277" i="13"/>
  <c r="M277" i="13" s="1"/>
  <c r="Q276" i="13"/>
  <c r="R276" i="13" s="1"/>
  <c r="O276" i="13"/>
  <c r="L276" i="13"/>
  <c r="M276" i="13" s="1"/>
  <c r="Q275" i="13"/>
  <c r="R275" i="13" s="1"/>
  <c r="O275" i="13"/>
  <c r="L275" i="13"/>
  <c r="M275" i="13" s="1"/>
  <c r="Q274" i="13"/>
  <c r="R274" i="13" s="1"/>
  <c r="O274" i="13"/>
  <c r="L274" i="13"/>
  <c r="M274" i="13" s="1"/>
  <c r="Q273" i="13"/>
  <c r="R273" i="13" s="1"/>
  <c r="O273" i="13"/>
  <c r="L273" i="13"/>
  <c r="M273" i="13" s="1"/>
  <c r="Q272" i="13"/>
  <c r="R272" i="13" s="1"/>
  <c r="O272" i="13"/>
  <c r="L272" i="13"/>
  <c r="M272" i="13" s="1"/>
  <c r="Q271" i="13"/>
  <c r="R271" i="13" s="1"/>
  <c r="O271" i="13"/>
  <c r="L271" i="13"/>
  <c r="M271" i="13" s="1"/>
  <c r="Q270" i="13"/>
  <c r="R270" i="13" s="1"/>
  <c r="O270" i="13"/>
  <c r="L270" i="13"/>
  <c r="M270" i="13" s="1"/>
  <c r="Q269" i="13"/>
  <c r="R269" i="13" s="1"/>
  <c r="O269" i="13"/>
  <c r="L269" i="13"/>
  <c r="M269" i="13" s="1"/>
  <c r="Q268" i="13"/>
  <c r="R268" i="13" s="1"/>
  <c r="O268" i="13"/>
  <c r="L268" i="13"/>
  <c r="M268" i="13" s="1"/>
  <c r="Q267" i="13"/>
  <c r="R267" i="13" s="1"/>
  <c r="O267" i="13"/>
  <c r="L267" i="13"/>
  <c r="M267" i="13" s="1"/>
  <c r="Q266" i="13"/>
  <c r="R266" i="13" s="1"/>
  <c r="O266" i="13"/>
  <c r="L266" i="13"/>
  <c r="M266" i="13" s="1"/>
  <c r="Q265" i="13"/>
  <c r="R265" i="13" s="1"/>
  <c r="O265" i="13"/>
  <c r="L265" i="13"/>
  <c r="M265" i="13" s="1"/>
  <c r="Q264" i="13"/>
  <c r="R264" i="13" s="1"/>
  <c r="O264" i="13"/>
  <c r="L264" i="13"/>
  <c r="M264" i="13" s="1"/>
  <c r="Q263" i="13"/>
  <c r="R263" i="13" s="1"/>
  <c r="O263" i="13"/>
  <c r="L263" i="13"/>
  <c r="M263" i="13" s="1"/>
  <c r="Q262" i="13"/>
  <c r="R262" i="13" s="1"/>
  <c r="O262" i="13"/>
  <c r="L262" i="13"/>
  <c r="M262" i="13" s="1"/>
  <c r="Q261" i="13"/>
  <c r="R261" i="13" s="1"/>
  <c r="O261" i="13"/>
  <c r="L261" i="13"/>
  <c r="M261" i="13" s="1"/>
  <c r="Q260" i="13"/>
  <c r="R260" i="13" s="1"/>
  <c r="O260" i="13"/>
  <c r="L260" i="13"/>
  <c r="M260" i="13" s="1"/>
  <c r="Q259" i="13"/>
  <c r="R259" i="13" s="1"/>
  <c r="O259" i="13"/>
  <c r="L259" i="13"/>
  <c r="M259" i="13" s="1"/>
  <c r="Q258" i="13"/>
  <c r="R258" i="13" s="1"/>
  <c r="O258" i="13"/>
  <c r="L258" i="13"/>
  <c r="M258" i="13" s="1"/>
  <c r="Q257" i="13"/>
  <c r="R257" i="13" s="1"/>
  <c r="O257" i="13"/>
  <c r="L257" i="13"/>
  <c r="M257" i="13" s="1"/>
  <c r="Q256" i="13"/>
  <c r="R256" i="13" s="1"/>
  <c r="O256" i="13"/>
  <c r="L256" i="13"/>
  <c r="M256" i="13" s="1"/>
  <c r="Q255" i="13"/>
  <c r="R255" i="13" s="1"/>
  <c r="O255" i="13"/>
  <c r="L255" i="13"/>
  <c r="M255" i="13" s="1"/>
  <c r="Q254" i="13"/>
  <c r="R254" i="13" s="1"/>
  <c r="O254" i="13"/>
  <c r="L254" i="13"/>
  <c r="M254" i="13" s="1"/>
  <c r="Q253" i="13"/>
  <c r="R253" i="13" s="1"/>
  <c r="O253" i="13"/>
  <c r="L253" i="13"/>
  <c r="M253" i="13" s="1"/>
  <c r="Q252" i="13"/>
  <c r="R252" i="13" s="1"/>
  <c r="O252" i="13"/>
  <c r="L252" i="13"/>
  <c r="M252" i="13" s="1"/>
  <c r="Q251" i="13"/>
  <c r="R251" i="13" s="1"/>
  <c r="O251" i="13"/>
  <c r="L251" i="13"/>
  <c r="M251" i="13" s="1"/>
  <c r="Q250" i="13"/>
  <c r="R250" i="13" s="1"/>
  <c r="O250" i="13"/>
  <c r="L250" i="13"/>
  <c r="M250" i="13" s="1"/>
  <c r="Q249" i="13"/>
  <c r="R249" i="13" s="1"/>
  <c r="O249" i="13"/>
  <c r="L249" i="13"/>
  <c r="M249" i="13" s="1"/>
  <c r="Q248" i="13"/>
  <c r="R248" i="13" s="1"/>
  <c r="O248" i="13"/>
  <c r="L248" i="13"/>
  <c r="M248" i="13" s="1"/>
  <c r="Q247" i="13"/>
  <c r="R247" i="13" s="1"/>
  <c r="O247" i="13"/>
  <c r="L247" i="13"/>
  <c r="M247" i="13" s="1"/>
  <c r="Q246" i="13"/>
  <c r="R246" i="13" s="1"/>
  <c r="O246" i="13"/>
  <c r="L246" i="13"/>
  <c r="M246" i="13" s="1"/>
  <c r="Q245" i="13"/>
  <c r="R245" i="13" s="1"/>
  <c r="O245" i="13"/>
  <c r="L245" i="13"/>
  <c r="M245" i="13" s="1"/>
  <c r="Q244" i="13"/>
  <c r="R244" i="13" s="1"/>
  <c r="O244" i="13"/>
  <c r="L244" i="13"/>
  <c r="M244" i="13" s="1"/>
  <c r="Q243" i="13"/>
  <c r="R243" i="13" s="1"/>
  <c r="O243" i="13"/>
  <c r="L243" i="13"/>
  <c r="M243" i="13" s="1"/>
  <c r="Q242" i="13"/>
  <c r="R242" i="13" s="1"/>
  <c r="O242" i="13"/>
  <c r="L242" i="13"/>
  <c r="M242" i="13" s="1"/>
  <c r="Q241" i="13"/>
  <c r="R241" i="13" s="1"/>
  <c r="O241" i="13"/>
  <c r="L241" i="13"/>
  <c r="M241" i="13" s="1"/>
  <c r="Q240" i="13"/>
  <c r="R240" i="13" s="1"/>
  <c r="O240" i="13"/>
  <c r="L240" i="13"/>
  <c r="M240" i="13" s="1"/>
  <c r="Q239" i="13"/>
  <c r="R239" i="13" s="1"/>
  <c r="O239" i="13"/>
  <c r="L239" i="13"/>
  <c r="M239" i="13" s="1"/>
  <c r="Q238" i="13"/>
  <c r="R238" i="13" s="1"/>
  <c r="O238" i="13"/>
  <c r="L238" i="13"/>
  <c r="M238" i="13" s="1"/>
  <c r="Q237" i="13"/>
  <c r="R237" i="13" s="1"/>
  <c r="O237" i="13"/>
  <c r="L237" i="13"/>
  <c r="M237" i="13" s="1"/>
  <c r="Q236" i="13"/>
  <c r="R236" i="13" s="1"/>
  <c r="O236" i="13"/>
  <c r="L236" i="13"/>
  <c r="M236" i="13" s="1"/>
  <c r="Q235" i="13"/>
  <c r="R235" i="13" s="1"/>
  <c r="O235" i="13"/>
  <c r="L235" i="13"/>
  <c r="M235" i="13" s="1"/>
  <c r="Q234" i="13"/>
  <c r="R234" i="13" s="1"/>
  <c r="O234" i="13"/>
  <c r="L234" i="13"/>
  <c r="M234" i="13" s="1"/>
  <c r="Q233" i="13"/>
  <c r="R233" i="13" s="1"/>
  <c r="O233" i="13"/>
  <c r="L233" i="13"/>
  <c r="M233" i="13" s="1"/>
  <c r="Q232" i="13"/>
  <c r="R232" i="13" s="1"/>
  <c r="O232" i="13"/>
  <c r="L232" i="13"/>
  <c r="M232" i="13" s="1"/>
  <c r="Q231" i="13"/>
  <c r="R231" i="13" s="1"/>
  <c r="O231" i="13"/>
  <c r="L231" i="13"/>
  <c r="M231" i="13" s="1"/>
  <c r="Q230" i="13"/>
  <c r="R230" i="13" s="1"/>
  <c r="O230" i="13"/>
  <c r="L230" i="13"/>
  <c r="M230" i="13" s="1"/>
  <c r="Q229" i="13"/>
  <c r="R229" i="13" s="1"/>
  <c r="O229" i="13"/>
  <c r="L229" i="13"/>
  <c r="M229" i="13" s="1"/>
  <c r="Q228" i="13"/>
  <c r="R228" i="13" s="1"/>
  <c r="O228" i="13"/>
  <c r="L228" i="13"/>
  <c r="M228" i="13" s="1"/>
  <c r="Q227" i="13"/>
  <c r="R227" i="13" s="1"/>
  <c r="O227" i="13"/>
  <c r="L227" i="13"/>
  <c r="M227" i="13" s="1"/>
  <c r="Q226" i="13"/>
  <c r="R226" i="13" s="1"/>
  <c r="O226" i="13"/>
  <c r="L226" i="13"/>
  <c r="M226" i="13" s="1"/>
  <c r="Q225" i="13"/>
  <c r="R225" i="13" s="1"/>
  <c r="O225" i="13"/>
  <c r="L225" i="13"/>
  <c r="M225" i="13" s="1"/>
  <c r="Q224" i="13"/>
  <c r="R224" i="13" s="1"/>
  <c r="O224" i="13"/>
  <c r="L224" i="13"/>
  <c r="M224" i="13" s="1"/>
  <c r="Q223" i="13"/>
  <c r="R223" i="13" s="1"/>
  <c r="O223" i="13"/>
  <c r="L223" i="13"/>
  <c r="M223" i="13" s="1"/>
  <c r="Q222" i="13"/>
  <c r="R222" i="13" s="1"/>
  <c r="O222" i="13"/>
  <c r="L222" i="13"/>
  <c r="M222" i="13" s="1"/>
  <c r="Q221" i="13"/>
  <c r="R221" i="13" s="1"/>
  <c r="O221" i="13"/>
  <c r="L221" i="13"/>
  <c r="M221" i="13" s="1"/>
  <c r="Q220" i="13"/>
  <c r="R220" i="13" s="1"/>
  <c r="O220" i="13"/>
  <c r="L220" i="13"/>
  <c r="M220" i="13" s="1"/>
  <c r="Q219" i="13"/>
  <c r="R219" i="13" s="1"/>
  <c r="O219" i="13"/>
  <c r="L219" i="13"/>
  <c r="M219" i="13" s="1"/>
  <c r="Q218" i="13"/>
  <c r="R218" i="13" s="1"/>
  <c r="O218" i="13"/>
  <c r="L218" i="13"/>
  <c r="M218" i="13" s="1"/>
  <c r="Q217" i="13"/>
  <c r="R217" i="13" s="1"/>
  <c r="O217" i="13"/>
  <c r="L217" i="13"/>
  <c r="M217" i="13" s="1"/>
  <c r="Q216" i="13"/>
  <c r="R216" i="13" s="1"/>
  <c r="O216" i="13"/>
  <c r="L216" i="13"/>
  <c r="M216" i="13" s="1"/>
  <c r="Q215" i="13"/>
  <c r="R215" i="13" s="1"/>
  <c r="O215" i="13"/>
  <c r="L215" i="13"/>
  <c r="M215" i="13" s="1"/>
  <c r="Q214" i="13"/>
  <c r="R214" i="13" s="1"/>
  <c r="O214" i="13"/>
  <c r="L214" i="13"/>
  <c r="M214" i="13" s="1"/>
  <c r="Q213" i="13"/>
  <c r="R213" i="13" s="1"/>
  <c r="O213" i="13"/>
  <c r="L213" i="13"/>
  <c r="M213" i="13" s="1"/>
  <c r="Q212" i="13"/>
  <c r="R212" i="13" s="1"/>
  <c r="O212" i="13"/>
  <c r="L212" i="13"/>
  <c r="M212" i="13" s="1"/>
  <c r="Q211" i="13"/>
  <c r="R211" i="13" s="1"/>
  <c r="O211" i="13"/>
  <c r="L211" i="13"/>
  <c r="M211" i="13" s="1"/>
  <c r="Q210" i="13"/>
  <c r="R210" i="13" s="1"/>
  <c r="O210" i="13"/>
  <c r="L210" i="13"/>
  <c r="M210" i="13" s="1"/>
  <c r="Q209" i="13"/>
  <c r="R209" i="13" s="1"/>
  <c r="O209" i="13"/>
  <c r="L209" i="13"/>
  <c r="M209" i="13" s="1"/>
  <c r="Q208" i="13"/>
  <c r="R208" i="13" s="1"/>
  <c r="O208" i="13"/>
  <c r="L208" i="13"/>
  <c r="M208" i="13" s="1"/>
  <c r="Q207" i="13"/>
  <c r="R207" i="13" s="1"/>
  <c r="O207" i="13"/>
  <c r="L207" i="13"/>
  <c r="M207" i="13" s="1"/>
  <c r="Q206" i="13"/>
  <c r="R206" i="13" s="1"/>
  <c r="O206" i="13"/>
  <c r="L206" i="13"/>
  <c r="M206" i="13" s="1"/>
  <c r="Q205" i="13"/>
  <c r="R205" i="13" s="1"/>
  <c r="O205" i="13"/>
  <c r="L205" i="13"/>
  <c r="M205" i="13" s="1"/>
  <c r="Q204" i="13"/>
  <c r="R204" i="13" s="1"/>
  <c r="O204" i="13"/>
  <c r="L204" i="13"/>
  <c r="M204" i="13" s="1"/>
  <c r="Q203" i="13"/>
  <c r="R203" i="13" s="1"/>
  <c r="O203" i="13"/>
  <c r="L203" i="13"/>
  <c r="M203" i="13" s="1"/>
  <c r="Q202" i="13"/>
  <c r="R202" i="13" s="1"/>
  <c r="O202" i="13"/>
  <c r="L202" i="13"/>
  <c r="M202" i="13" s="1"/>
  <c r="Q201" i="13"/>
  <c r="R201" i="13" s="1"/>
  <c r="O201" i="13"/>
  <c r="L201" i="13"/>
  <c r="M201" i="13" s="1"/>
  <c r="Q200" i="13"/>
  <c r="R200" i="13" s="1"/>
  <c r="O200" i="13"/>
  <c r="L200" i="13"/>
  <c r="M200" i="13" s="1"/>
  <c r="Q199" i="13"/>
  <c r="R199" i="13" s="1"/>
  <c r="O199" i="13"/>
  <c r="L199" i="13"/>
  <c r="M199" i="13" s="1"/>
  <c r="Q198" i="13"/>
  <c r="R198" i="13" s="1"/>
  <c r="O198" i="13"/>
  <c r="L198" i="13"/>
  <c r="M198" i="13" s="1"/>
  <c r="Q197" i="13"/>
  <c r="R197" i="13" s="1"/>
  <c r="O197" i="13"/>
  <c r="L197" i="13"/>
  <c r="M197" i="13" s="1"/>
  <c r="Q196" i="13"/>
  <c r="R196" i="13" s="1"/>
  <c r="O196" i="13"/>
  <c r="L196" i="13"/>
  <c r="M196" i="13" s="1"/>
  <c r="Q195" i="13"/>
  <c r="R195" i="13" s="1"/>
  <c r="O195" i="13"/>
  <c r="L195" i="13"/>
  <c r="M195" i="13" s="1"/>
  <c r="Q194" i="13"/>
  <c r="R194" i="13" s="1"/>
  <c r="O194" i="13"/>
  <c r="L194" i="13"/>
  <c r="M194" i="13" s="1"/>
  <c r="Q193" i="13"/>
  <c r="R193" i="13" s="1"/>
  <c r="O193" i="13"/>
  <c r="L193" i="13"/>
  <c r="M193" i="13" s="1"/>
  <c r="Q192" i="13"/>
  <c r="R192" i="13" s="1"/>
  <c r="O192" i="13"/>
  <c r="L192" i="13"/>
  <c r="M192" i="13" s="1"/>
  <c r="Q191" i="13"/>
  <c r="R191" i="13" s="1"/>
  <c r="O191" i="13"/>
  <c r="L191" i="13"/>
  <c r="M191" i="13" s="1"/>
  <c r="Q190" i="13"/>
  <c r="R190" i="13" s="1"/>
  <c r="O190" i="13"/>
  <c r="L190" i="13"/>
  <c r="M190" i="13" s="1"/>
  <c r="Q189" i="13"/>
  <c r="R189" i="13" s="1"/>
  <c r="O189" i="13"/>
  <c r="L189" i="13"/>
  <c r="M189" i="13" s="1"/>
  <c r="Q188" i="13"/>
  <c r="R188" i="13" s="1"/>
  <c r="O188" i="13"/>
  <c r="L188" i="13"/>
  <c r="M188" i="13" s="1"/>
  <c r="Q187" i="13"/>
  <c r="R187" i="13" s="1"/>
  <c r="O187" i="13"/>
  <c r="L187" i="13"/>
  <c r="M187" i="13" s="1"/>
  <c r="Q186" i="13"/>
  <c r="R186" i="13" s="1"/>
  <c r="O186" i="13"/>
  <c r="L186" i="13"/>
  <c r="M186" i="13" s="1"/>
  <c r="Q185" i="13"/>
  <c r="R185" i="13" s="1"/>
  <c r="O185" i="13"/>
  <c r="L185" i="13"/>
  <c r="M185" i="13" s="1"/>
  <c r="Q184" i="13"/>
  <c r="R184" i="13" s="1"/>
  <c r="O184" i="13"/>
  <c r="L184" i="13"/>
  <c r="M184" i="13" s="1"/>
  <c r="Q183" i="13"/>
  <c r="R183" i="13" s="1"/>
  <c r="O183" i="13"/>
  <c r="L183" i="13"/>
  <c r="M183" i="13" s="1"/>
  <c r="Q182" i="13"/>
  <c r="R182" i="13" s="1"/>
  <c r="O182" i="13"/>
  <c r="L182" i="13"/>
  <c r="M182" i="13" s="1"/>
  <c r="Q181" i="13"/>
  <c r="R181" i="13" s="1"/>
  <c r="O181" i="13"/>
  <c r="L181" i="13"/>
  <c r="M181" i="13" s="1"/>
  <c r="Q180" i="13"/>
  <c r="R180" i="13" s="1"/>
  <c r="O180" i="13"/>
  <c r="L180" i="13"/>
  <c r="M180" i="13" s="1"/>
  <c r="Q179" i="13"/>
  <c r="R179" i="13" s="1"/>
  <c r="O179" i="13"/>
  <c r="L179" i="13"/>
  <c r="M179" i="13" s="1"/>
  <c r="Q178" i="13"/>
  <c r="R178" i="13" s="1"/>
  <c r="O178" i="13"/>
  <c r="L178" i="13"/>
  <c r="M178" i="13" s="1"/>
  <c r="Q177" i="13"/>
  <c r="R177" i="13" s="1"/>
  <c r="O177" i="13"/>
  <c r="L177" i="13"/>
  <c r="M177" i="13" s="1"/>
  <c r="Q176" i="13"/>
  <c r="R176" i="13" s="1"/>
  <c r="O176" i="13"/>
  <c r="L176" i="13"/>
  <c r="M176" i="13" s="1"/>
  <c r="Q175" i="13"/>
  <c r="R175" i="13" s="1"/>
  <c r="O175" i="13"/>
  <c r="L175" i="13"/>
  <c r="M175" i="13" s="1"/>
  <c r="Q174" i="13"/>
  <c r="R174" i="13" s="1"/>
  <c r="O174" i="13"/>
  <c r="L174" i="13"/>
  <c r="M174" i="13" s="1"/>
  <c r="Q173" i="13"/>
  <c r="R173" i="13" s="1"/>
  <c r="O173" i="13"/>
  <c r="L173" i="13"/>
  <c r="M173" i="13" s="1"/>
  <c r="Q172" i="13"/>
  <c r="R172" i="13" s="1"/>
  <c r="O172" i="13"/>
  <c r="L172" i="13"/>
  <c r="M172" i="13" s="1"/>
  <c r="Q171" i="13"/>
  <c r="R171" i="13" s="1"/>
  <c r="O171" i="13"/>
  <c r="L171" i="13"/>
  <c r="M171" i="13" s="1"/>
  <c r="Q170" i="13"/>
  <c r="R170" i="13" s="1"/>
  <c r="O170" i="13"/>
  <c r="L170" i="13"/>
  <c r="M170" i="13" s="1"/>
  <c r="Q169" i="13"/>
  <c r="R169" i="13" s="1"/>
  <c r="O169" i="13"/>
  <c r="L169" i="13"/>
  <c r="M169" i="13" s="1"/>
  <c r="Q168" i="13"/>
  <c r="R168" i="13" s="1"/>
  <c r="O168" i="13"/>
  <c r="L168" i="13"/>
  <c r="M168" i="13" s="1"/>
  <c r="Q167" i="13"/>
  <c r="R167" i="13" s="1"/>
  <c r="O167" i="13"/>
  <c r="L167" i="13"/>
  <c r="M167" i="13" s="1"/>
  <c r="Q166" i="13"/>
  <c r="R166" i="13" s="1"/>
  <c r="O166" i="13"/>
  <c r="L166" i="13"/>
  <c r="M166" i="13" s="1"/>
  <c r="Q165" i="13"/>
  <c r="R165" i="13" s="1"/>
  <c r="O165" i="13"/>
  <c r="L165" i="13"/>
  <c r="M165" i="13" s="1"/>
  <c r="Q164" i="13"/>
  <c r="R164" i="13" s="1"/>
  <c r="O164" i="13"/>
  <c r="L164" i="13"/>
  <c r="M164" i="13" s="1"/>
  <c r="Q163" i="13"/>
  <c r="R163" i="13" s="1"/>
  <c r="O163" i="13"/>
  <c r="L163" i="13"/>
  <c r="M163" i="13" s="1"/>
  <c r="Q162" i="13"/>
  <c r="R162" i="13" s="1"/>
  <c r="O162" i="13"/>
  <c r="L162" i="13"/>
  <c r="M162" i="13" s="1"/>
  <c r="Q161" i="13"/>
  <c r="R161" i="13" s="1"/>
  <c r="O161" i="13"/>
  <c r="L161" i="13"/>
  <c r="M161" i="13" s="1"/>
  <c r="Q160" i="13"/>
  <c r="R160" i="13" s="1"/>
  <c r="O160" i="13"/>
  <c r="L160" i="13"/>
  <c r="M160" i="13" s="1"/>
  <c r="Q159" i="13"/>
  <c r="R159" i="13" s="1"/>
  <c r="O159" i="13"/>
  <c r="L159" i="13"/>
  <c r="M159" i="13" s="1"/>
  <c r="Q158" i="13"/>
  <c r="R158" i="13" s="1"/>
  <c r="O158" i="13"/>
  <c r="L158" i="13"/>
  <c r="M158" i="13" s="1"/>
  <c r="Q157" i="13"/>
  <c r="R157" i="13" s="1"/>
  <c r="O157" i="13"/>
  <c r="L157" i="13"/>
  <c r="M157" i="13" s="1"/>
  <c r="Q156" i="13"/>
  <c r="R156" i="13" s="1"/>
  <c r="O156" i="13"/>
  <c r="L156" i="13"/>
  <c r="M156" i="13" s="1"/>
  <c r="Q155" i="13"/>
  <c r="R155" i="13" s="1"/>
  <c r="O155" i="13"/>
  <c r="L155" i="13"/>
  <c r="M155" i="13" s="1"/>
  <c r="Q154" i="13"/>
  <c r="R154" i="13" s="1"/>
  <c r="O154" i="13"/>
  <c r="L154" i="13"/>
  <c r="M154" i="13" s="1"/>
  <c r="Q153" i="13"/>
  <c r="R153" i="13" s="1"/>
  <c r="O153" i="13"/>
  <c r="L153" i="13"/>
  <c r="M153" i="13" s="1"/>
  <c r="Q152" i="13"/>
  <c r="R152" i="13" s="1"/>
  <c r="O152" i="13"/>
  <c r="L152" i="13"/>
  <c r="M152" i="13" s="1"/>
  <c r="Q151" i="13"/>
  <c r="R151" i="13" s="1"/>
  <c r="O151" i="13"/>
  <c r="L151" i="13"/>
  <c r="M151" i="13" s="1"/>
  <c r="Q150" i="13"/>
  <c r="R150" i="13" s="1"/>
  <c r="O150" i="13"/>
  <c r="L150" i="13"/>
  <c r="M150" i="13" s="1"/>
  <c r="Q149" i="13"/>
  <c r="R149" i="13" s="1"/>
  <c r="O149" i="13"/>
  <c r="L149" i="13"/>
  <c r="M149" i="13" s="1"/>
  <c r="Q148" i="13"/>
  <c r="R148" i="13" s="1"/>
  <c r="O148" i="13"/>
  <c r="L148" i="13"/>
  <c r="M148" i="13" s="1"/>
  <c r="Q147" i="13"/>
  <c r="R147" i="13" s="1"/>
  <c r="O147" i="13"/>
  <c r="L147" i="13"/>
  <c r="M147" i="13" s="1"/>
  <c r="Q146" i="13"/>
  <c r="R146" i="13" s="1"/>
  <c r="O146" i="13"/>
  <c r="L146" i="13"/>
  <c r="M146" i="13" s="1"/>
  <c r="Q145" i="13"/>
  <c r="R145" i="13" s="1"/>
  <c r="O145" i="13"/>
  <c r="L145" i="13"/>
  <c r="M145" i="13" s="1"/>
  <c r="Q144" i="13"/>
  <c r="R144" i="13" s="1"/>
  <c r="O144" i="13"/>
  <c r="L144" i="13"/>
  <c r="M144" i="13" s="1"/>
  <c r="Q143" i="13"/>
  <c r="R143" i="13" s="1"/>
  <c r="O143" i="13"/>
  <c r="L143" i="13"/>
  <c r="M143" i="13" s="1"/>
  <c r="Q142" i="13"/>
  <c r="R142" i="13" s="1"/>
  <c r="O142" i="13"/>
  <c r="L142" i="13"/>
  <c r="M142" i="13" s="1"/>
  <c r="Q141" i="13"/>
  <c r="R141" i="13" s="1"/>
  <c r="O141" i="13"/>
  <c r="L141" i="13"/>
  <c r="M141" i="13" s="1"/>
  <c r="Q140" i="13"/>
  <c r="R140" i="13" s="1"/>
  <c r="O140" i="13"/>
  <c r="L140" i="13"/>
  <c r="M140" i="13" s="1"/>
  <c r="Q139" i="13"/>
  <c r="R139" i="13" s="1"/>
  <c r="O139" i="13"/>
  <c r="L139" i="13"/>
  <c r="M139" i="13" s="1"/>
  <c r="Q138" i="13"/>
  <c r="R138" i="13" s="1"/>
  <c r="O138" i="13"/>
  <c r="L138" i="13"/>
  <c r="M138" i="13" s="1"/>
  <c r="Q137" i="13"/>
  <c r="R137" i="13" s="1"/>
  <c r="O137" i="13"/>
  <c r="L137" i="13"/>
  <c r="M137" i="13" s="1"/>
  <c r="Q136" i="13"/>
  <c r="R136" i="13" s="1"/>
  <c r="O136" i="13"/>
  <c r="L136" i="13"/>
  <c r="M136" i="13" s="1"/>
  <c r="Q135" i="13"/>
  <c r="R135" i="13" s="1"/>
  <c r="O135" i="13"/>
  <c r="L135" i="13"/>
  <c r="M135" i="13" s="1"/>
  <c r="Q134" i="13"/>
  <c r="R134" i="13" s="1"/>
  <c r="O134" i="13"/>
  <c r="L134" i="13"/>
  <c r="M134" i="13" s="1"/>
  <c r="Q133" i="13"/>
  <c r="R133" i="13" s="1"/>
  <c r="O133" i="13"/>
  <c r="L133" i="13"/>
  <c r="M133" i="13" s="1"/>
  <c r="Q132" i="13"/>
  <c r="R132" i="13" s="1"/>
  <c r="O132" i="13"/>
  <c r="L132" i="13"/>
  <c r="M132" i="13" s="1"/>
  <c r="Q131" i="13"/>
  <c r="R131" i="13" s="1"/>
  <c r="O131" i="13"/>
  <c r="L131" i="13"/>
  <c r="M131" i="13" s="1"/>
  <c r="Q130" i="13"/>
  <c r="R130" i="13" s="1"/>
  <c r="O130" i="13"/>
  <c r="L130" i="13"/>
  <c r="M130" i="13" s="1"/>
  <c r="Q129" i="13"/>
  <c r="R129" i="13" s="1"/>
  <c r="O129" i="13"/>
  <c r="L129" i="13"/>
  <c r="M129" i="13" s="1"/>
  <c r="Q128" i="13"/>
  <c r="R128" i="13" s="1"/>
  <c r="O128" i="13"/>
  <c r="L128" i="13"/>
  <c r="M128" i="13" s="1"/>
  <c r="Q127" i="13"/>
  <c r="R127" i="13" s="1"/>
  <c r="O127" i="13"/>
  <c r="L127" i="13"/>
  <c r="M127" i="13" s="1"/>
  <c r="Q126" i="13"/>
  <c r="R126" i="13" s="1"/>
  <c r="O126" i="13"/>
  <c r="L126" i="13"/>
  <c r="M126" i="13" s="1"/>
  <c r="Q125" i="13"/>
  <c r="R125" i="13" s="1"/>
  <c r="O125" i="13"/>
  <c r="L125" i="13"/>
  <c r="M125" i="13" s="1"/>
  <c r="Q124" i="13"/>
  <c r="R124" i="13" s="1"/>
  <c r="O124" i="13"/>
  <c r="L124" i="13"/>
  <c r="M124" i="13" s="1"/>
  <c r="Q123" i="13"/>
  <c r="R123" i="13" s="1"/>
  <c r="O123" i="13"/>
  <c r="L123" i="13"/>
  <c r="M123" i="13" s="1"/>
  <c r="Q122" i="13"/>
  <c r="R122" i="13" s="1"/>
  <c r="O122" i="13"/>
  <c r="L122" i="13"/>
  <c r="M122" i="13" s="1"/>
  <c r="Q121" i="13"/>
  <c r="R121" i="13" s="1"/>
  <c r="O121" i="13"/>
  <c r="L121" i="13"/>
  <c r="M121" i="13" s="1"/>
  <c r="Q120" i="13"/>
  <c r="R120" i="13" s="1"/>
  <c r="O120" i="13"/>
  <c r="L120" i="13"/>
  <c r="M120" i="13" s="1"/>
  <c r="Q119" i="13"/>
  <c r="R119" i="13" s="1"/>
  <c r="O119" i="13"/>
  <c r="L119" i="13"/>
  <c r="M119" i="13" s="1"/>
  <c r="Q118" i="13"/>
  <c r="R118" i="13" s="1"/>
  <c r="O118" i="13"/>
  <c r="L118" i="13"/>
  <c r="M118" i="13" s="1"/>
  <c r="Q117" i="13"/>
  <c r="R117" i="13" s="1"/>
  <c r="O117" i="13"/>
  <c r="L117" i="13"/>
  <c r="M117" i="13" s="1"/>
  <c r="Q116" i="13"/>
  <c r="R116" i="13" s="1"/>
  <c r="O116" i="13"/>
  <c r="L116" i="13"/>
  <c r="M116" i="13" s="1"/>
  <c r="Q115" i="13"/>
  <c r="R115" i="13" s="1"/>
  <c r="O115" i="13"/>
  <c r="L115" i="13"/>
  <c r="M115" i="13" s="1"/>
  <c r="Q114" i="13"/>
  <c r="R114" i="13" s="1"/>
  <c r="O114" i="13"/>
  <c r="L114" i="13"/>
  <c r="M114" i="13" s="1"/>
  <c r="Q113" i="13"/>
  <c r="R113" i="13" s="1"/>
  <c r="O113" i="13"/>
  <c r="L113" i="13"/>
  <c r="M113" i="13" s="1"/>
  <c r="Q112" i="13"/>
  <c r="R112" i="13" s="1"/>
  <c r="O112" i="13"/>
  <c r="L112" i="13"/>
  <c r="M112" i="13" s="1"/>
  <c r="Q111" i="13"/>
  <c r="R111" i="13" s="1"/>
  <c r="O111" i="13"/>
  <c r="L111" i="13"/>
  <c r="M111" i="13" s="1"/>
  <c r="Q110" i="13"/>
  <c r="R110" i="13" s="1"/>
  <c r="O110" i="13"/>
  <c r="L110" i="13"/>
  <c r="M110" i="13" s="1"/>
  <c r="Q109" i="13"/>
  <c r="R109" i="13" s="1"/>
  <c r="O109" i="13"/>
  <c r="L109" i="13"/>
  <c r="M109" i="13" s="1"/>
  <c r="Q108" i="13"/>
  <c r="R108" i="13" s="1"/>
  <c r="O108" i="13"/>
  <c r="L108" i="13"/>
  <c r="M108" i="13" s="1"/>
  <c r="Q107" i="13"/>
  <c r="R107" i="13" s="1"/>
  <c r="O107" i="13"/>
  <c r="L107" i="13"/>
  <c r="M107" i="13" s="1"/>
  <c r="Q106" i="13"/>
  <c r="R106" i="13" s="1"/>
  <c r="O106" i="13"/>
  <c r="L106" i="13"/>
  <c r="M106" i="13" s="1"/>
  <c r="Q105" i="13"/>
  <c r="R105" i="13" s="1"/>
  <c r="O105" i="13"/>
  <c r="L105" i="13"/>
  <c r="M105" i="13" s="1"/>
  <c r="Q104" i="13"/>
  <c r="R104" i="13" s="1"/>
  <c r="O104" i="13"/>
  <c r="L104" i="13"/>
  <c r="M104" i="13" s="1"/>
  <c r="Q103" i="13"/>
  <c r="R103" i="13" s="1"/>
  <c r="O103" i="13"/>
  <c r="L103" i="13"/>
  <c r="M103" i="13" s="1"/>
  <c r="Q102" i="13"/>
  <c r="R102" i="13" s="1"/>
  <c r="O102" i="13"/>
  <c r="L102" i="13"/>
  <c r="M102" i="13" s="1"/>
  <c r="Q101" i="13"/>
  <c r="R101" i="13" s="1"/>
  <c r="O101" i="13"/>
  <c r="L101" i="13"/>
  <c r="M101" i="13" s="1"/>
  <c r="Q100" i="13"/>
  <c r="R100" i="13" s="1"/>
  <c r="O100" i="13"/>
  <c r="L100" i="13"/>
  <c r="M100" i="13" s="1"/>
  <c r="Q99" i="13"/>
  <c r="R99" i="13" s="1"/>
  <c r="O99" i="13"/>
  <c r="L99" i="13"/>
  <c r="M99" i="13" s="1"/>
  <c r="Q98" i="13"/>
  <c r="R98" i="13" s="1"/>
  <c r="O98" i="13"/>
  <c r="L98" i="13"/>
  <c r="M98" i="13" s="1"/>
  <c r="Q97" i="13"/>
  <c r="R97" i="13" s="1"/>
  <c r="O97" i="13"/>
  <c r="L97" i="13"/>
  <c r="M97" i="13" s="1"/>
  <c r="Q96" i="13"/>
  <c r="R96" i="13" s="1"/>
  <c r="O96" i="13"/>
  <c r="L96" i="13"/>
  <c r="M96" i="13" s="1"/>
  <c r="Q95" i="13"/>
  <c r="R95" i="13" s="1"/>
  <c r="O95" i="13"/>
  <c r="L95" i="13"/>
  <c r="M95" i="13" s="1"/>
  <c r="Q94" i="13"/>
  <c r="R94" i="13" s="1"/>
  <c r="O94" i="13"/>
  <c r="L94" i="13"/>
  <c r="M94" i="13" s="1"/>
  <c r="Q93" i="13"/>
  <c r="R93" i="13" s="1"/>
  <c r="O93" i="13"/>
  <c r="L93" i="13"/>
  <c r="M93" i="13" s="1"/>
  <c r="Q92" i="13"/>
  <c r="R92" i="13" s="1"/>
  <c r="O92" i="13"/>
  <c r="L92" i="13"/>
  <c r="M92" i="13" s="1"/>
  <c r="Q91" i="13"/>
  <c r="R91" i="13" s="1"/>
  <c r="O91" i="13"/>
  <c r="L91" i="13"/>
  <c r="M91" i="13" s="1"/>
  <c r="Q90" i="13"/>
  <c r="R90" i="13" s="1"/>
  <c r="O90" i="13"/>
  <c r="L90" i="13"/>
  <c r="M90" i="13" s="1"/>
  <c r="Q89" i="13"/>
  <c r="R89" i="13" s="1"/>
  <c r="O89" i="13"/>
  <c r="L89" i="13"/>
  <c r="M89" i="13" s="1"/>
  <c r="Q88" i="13"/>
  <c r="R88" i="13" s="1"/>
  <c r="O88" i="13"/>
  <c r="L88" i="13"/>
  <c r="M88" i="13" s="1"/>
  <c r="Q87" i="13"/>
  <c r="R87" i="13" s="1"/>
  <c r="O87" i="13"/>
  <c r="L87" i="13"/>
  <c r="M87" i="13" s="1"/>
  <c r="Q86" i="13"/>
  <c r="R86" i="13" s="1"/>
  <c r="O86" i="13"/>
  <c r="L86" i="13"/>
  <c r="M86" i="13" s="1"/>
  <c r="Q85" i="13"/>
  <c r="R85" i="13" s="1"/>
  <c r="O85" i="13"/>
  <c r="L85" i="13"/>
  <c r="M85" i="13" s="1"/>
  <c r="Q84" i="13"/>
  <c r="R84" i="13" s="1"/>
  <c r="O84" i="13"/>
  <c r="L84" i="13"/>
  <c r="M84" i="13" s="1"/>
  <c r="Q83" i="13"/>
  <c r="R83" i="13" s="1"/>
  <c r="O83" i="13"/>
  <c r="L83" i="13"/>
  <c r="M83" i="13" s="1"/>
  <c r="Q82" i="13"/>
  <c r="R82" i="13" s="1"/>
  <c r="O82" i="13"/>
  <c r="L82" i="13"/>
  <c r="M82" i="13" s="1"/>
  <c r="Q81" i="13"/>
  <c r="R81" i="13" s="1"/>
  <c r="O81" i="13"/>
  <c r="L81" i="13"/>
  <c r="M81" i="13" s="1"/>
  <c r="Q80" i="13"/>
  <c r="R80" i="13" s="1"/>
  <c r="O80" i="13"/>
  <c r="L80" i="13"/>
  <c r="M80" i="13" s="1"/>
  <c r="Q79" i="13"/>
  <c r="R79" i="13" s="1"/>
  <c r="O79" i="13"/>
  <c r="L79" i="13"/>
  <c r="M79" i="13" s="1"/>
  <c r="Q78" i="13"/>
  <c r="R78" i="13" s="1"/>
  <c r="O78" i="13"/>
  <c r="L78" i="13"/>
  <c r="M78" i="13" s="1"/>
  <c r="Q77" i="13"/>
  <c r="R77" i="13" s="1"/>
  <c r="O77" i="13"/>
  <c r="L77" i="13"/>
  <c r="M77" i="13" s="1"/>
  <c r="Q76" i="13"/>
  <c r="R76" i="13" s="1"/>
  <c r="O76" i="13"/>
  <c r="L76" i="13"/>
  <c r="M76" i="13" s="1"/>
  <c r="Q75" i="13"/>
  <c r="R75" i="13" s="1"/>
  <c r="O75" i="13"/>
  <c r="L75" i="13"/>
  <c r="M75" i="13" s="1"/>
  <c r="Q74" i="13"/>
  <c r="R74" i="13" s="1"/>
  <c r="O74" i="13"/>
  <c r="L74" i="13"/>
  <c r="M74" i="13" s="1"/>
  <c r="Q73" i="13"/>
  <c r="R73" i="13" s="1"/>
  <c r="O73" i="13"/>
  <c r="L73" i="13"/>
  <c r="M73" i="13" s="1"/>
  <c r="Q72" i="13"/>
  <c r="R72" i="13" s="1"/>
  <c r="O72" i="13"/>
  <c r="L72" i="13"/>
  <c r="M72" i="13" s="1"/>
  <c r="Q71" i="13"/>
  <c r="R71" i="13" s="1"/>
  <c r="O71" i="13"/>
  <c r="L71" i="13"/>
  <c r="M71" i="13" s="1"/>
  <c r="Q70" i="13"/>
  <c r="R70" i="13" s="1"/>
  <c r="O70" i="13"/>
  <c r="L70" i="13"/>
  <c r="M70" i="13" s="1"/>
  <c r="Q69" i="13"/>
  <c r="R69" i="13" s="1"/>
  <c r="O69" i="13"/>
  <c r="L69" i="13"/>
  <c r="M69" i="13" s="1"/>
  <c r="Q68" i="13"/>
  <c r="R68" i="13" s="1"/>
  <c r="O68" i="13"/>
  <c r="L68" i="13"/>
  <c r="M68" i="13" s="1"/>
  <c r="Q67" i="13"/>
  <c r="R67" i="13" s="1"/>
  <c r="O67" i="13"/>
  <c r="L67" i="13"/>
  <c r="M67" i="13" s="1"/>
  <c r="Q66" i="13"/>
  <c r="R66" i="13" s="1"/>
  <c r="O66" i="13"/>
  <c r="L66" i="13"/>
  <c r="M66" i="13" s="1"/>
  <c r="Q65" i="13"/>
  <c r="R65" i="13" s="1"/>
  <c r="O65" i="13"/>
  <c r="L65" i="13"/>
  <c r="M65" i="13" s="1"/>
  <c r="Q64" i="13"/>
  <c r="R64" i="13" s="1"/>
  <c r="O64" i="13"/>
  <c r="L64" i="13"/>
  <c r="M64" i="13" s="1"/>
  <c r="Q63" i="13"/>
  <c r="R63" i="13" s="1"/>
  <c r="O63" i="13"/>
  <c r="L63" i="13"/>
  <c r="M63" i="13" s="1"/>
  <c r="Q62" i="13"/>
  <c r="R62" i="13" s="1"/>
  <c r="O62" i="13"/>
  <c r="L62" i="13"/>
  <c r="M62" i="13" s="1"/>
  <c r="Q61" i="13"/>
  <c r="R61" i="13" s="1"/>
  <c r="O61" i="13"/>
  <c r="L61" i="13"/>
  <c r="M61" i="13" s="1"/>
  <c r="Q60" i="13"/>
  <c r="R60" i="13" s="1"/>
  <c r="O60" i="13"/>
  <c r="L60" i="13"/>
  <c r="M60" i="13" s="1"/>
  <c r="Q59" i="13"/>
  <c r="R59" i="13" s="1"/>
  <c r="O59" i="13"/>
  <c r="L59" i="13"/>
  <c r="M59" i="13" s="1"/>
  <c r="Q58" i="13"/>
  <c r="R58" i="13" s="1"/>
  <c r="O58" i="13"/>
  <c r="L58" i="13"/>
  <c r="M58" i="13" s="1"/>
  <c r="Q57" i="13"/>
  <c r="R57" i="13" s="1"/>
  <c r="O57" i="13"/>
  <c r="L57" i="13"/>
  <c r="M57" i="13" s="1"/>
  <c r="Q56" i="13"/>
  <c r="R56" i="13" s="1"/>
  <c r="O56" i="13"/>
  <c r="L56" i="13"/>
  <c r="M56" i="13" s="1"/>
  <c r="Q55" i="13"/>
  <c r="R55" i="13" s="1"/>
  <c r="O55" i="13"/>
  <c r="L55" i="13"/>
  <c r="M55" i="13" s="1"/>
  <c r="Q54" i="13"/>
  <c r="R54" i="13" s="1"/>
  <c r="O54" i="13"/>
  <c r="L54" i="13"/>
  <c r="M54" i="13" s="1"/>
  <c r="Q53" i="13"/>
  <c r="R53" i="13" s="1"/>
  <c r="O53" i="13"/>
  <c r="L53" i="13"/>
  <c r="M53" i="13" s="1"/>
  <c r="Q52" i="13"/>
  <c r="R52" i="13" s="1"/>
  <c r="O52" i="13"/>
  <c r="L52" i="13"/>
  <c r="M52" i="13" s="1"/>
  <c r="Q51" i="13"/>
  <c r="R51" i="13" s="1"/>
  <c r="O51" i="13"/>
  <c r="L51" i="13"/>
  <c r="M51" i="13" s="1"/>
  <c r="Q50" i="13"/>
  <c r="R50" i="13" s="1"/>
  <c r="O50" i="13"/>
  <c r="L50" i="13"/>
  <c r="M50" i="13" s="1"/>
  <c r="Q49" i="13"/>
  <c r="R49" i="13" s="1"/>
  <c r="O49" i="13"/>
  <c r="L49" i="13"/>
  <c r="M49" i="13" s="1"/>
  <c r="Q48" i="13"/>
  <c r="R48" i="13" s="1"/>
  <c r="O48" i="13"/>
  <c r="L48" i="13"/>
  <c r="M48" i="13" s="1"/>
  <c r="Q47" i="13"/>
  <c r="R47" i="13" s="1"/>
  <c r="O47" i="13"/>
  <c r="L47" i="13"/>
  <c r="M47" i="13" s="1"/>
  <c r="Q46" i="13"/>
  <c r="R46" i="13" s="1"/>
  <c r="O46" i="13"/>
  <c r="L46" i="13"/>
  <c r="M46" i="13" s="1"/>
  <c r="Q45" i="13"/>
  <c r="R45" i="13" s="1"/>
  <c r="O45" i="13"/>
  <c r="L45" i="13"/>
  <c r="M45" i="13" s="1"/>
  <c r="Q44" i="13"/>
  <c r="R44" i="13" s="1"/>
  <c r="O44" i="13"/>
  <c r="L44" i="13"/>
  <c r="M44" i="13" s="1"/>
  <c r="Q43" i="13"/>
  <c r="R43" i="13" s="1"/>
  <c r="O43" i="13"/>
  <c r="L43" i="13"/>
  <c r="M43" i="13" s="1"/>
  <c r="Q42" i="13"/>
  <c r="R42" i="13" s="1"/>
  <c r="O42" i="13"/>
  <c r="L42" i="13"/>
  <c r="M42" i="13" s="1"/>
  <c r="Q41" i="13"/>
  <c r="R41" i="13" s="1"/>
  <c r="O41" i="13"/>
  <c r="L41" i="13"/>
  <c r="M41" i="13" s="1"/>
  <c r="Q40" i="13"/>
  <c r="R40" i="13" s="1"/>
  <c r="O40" i="13"/>
  <c r="L40" i="13"/>
  <c r="M40" i="13" s="1"/>
  <c r="Q39" i="13"/>
  <c r="R39" i="13" s="1"/>
  <c r="O39" i="13"/>
  <c r="L39" i="13"/>
  <c r="M39" i="13" s="1"/>
  <c r="Q38" i="13"/>
  <c r="R38" i="13" s="1"/>
  <c r="O38" i="13"/>
  <c r="L38" i="13"/>
  <c r="M38" i="13" s="1"/>
  <c r="Q37" i="13"/>
  <c r="R37" i="13" s="1"/>
  <c r="O37" i="13"/>
  <c r="L37" i="13"/>
  <c r="M37" i="13" s="1"/>
  <c r="Q36" i="13"/>
  <c r="R36" i="13" s="1"/>
  <c r="O36" i="13"/>
  <c r="L36" i="13"/>
  <c r="M36" i="13" s="1"/>
  <c r="Q35" i="13"/>
  <c r="R35" i="13" s="1"/>
  <c r="O35" i="13"/>
  <c r="L35" i="13"/>
  <c r="M35" i="13" s="1"/>
  <c r="Q34" i="13"/>
  <c r="R34" i="13" s="1"/>
  <c r="O34" i="13"/>
  <c r="L34" i="13"/>
  <c r="M34" i="13" s="1"/>
  <c r="Q33" i="13"/>
  <c r="R33" i="13" s="1"/>
  <c r="O33" i="13"/>
  <c r="L33" i="13"/>
  <c r="M33" i="13" s="1"/>
  <c r="Q32" i="13"/>
  <c r="R32" i="13" s="1"/>
  <c r="O32" i="13"/>
  <c r="L32" i="13"/>
  <c r="M32" i="13" s="1"/>
  <c r="Q31" i="13"/>
  <c r="R31" i="13" s="1"/>
  <c r="O31" i="13"/>
  <c r="L31" i="13"/>
  <c r="M31" i="13" s="1"/>
  <c r="Q30" i="13"/>
  <c r="R30" i="13" s="1"/>
  <c r="O30" i="13"/>
  <c r="L30" i="13"/>
  <c r="M30" i="13" s="1"/>
  <c r="Q29" i="13"/>
  <c r="R29" i="13" s="1"/>
  <c r="O29" i="13"/>
  <c r="L29" i="13"/>
  <c r="M29" i="13" s="1"/>
  <c r="Q28" i="13"/>
  <c r="R28" i="13" s="1"/>
  <c r="O28" i="13"/>
  <c r="L28" i="13"/>
  <c r="M28" i="13" s="1"/>
  <c r="Q27" i="13"/>
  <c r="R27" i="13" s="1"/>
  <c r="O27" i="13"/>
  <c r="L27" i="13"/>
  <c r="M27" i="13" s="1"/>
  <c r="Q26" i="13"/>
  <c r="R26" i="13" s="1"/>
  <c r="O26" i="13"/>
  <c r="L26" i="13"/>
  <c r="M26" i="13" s="1"/>
  <c r="Q25" i="13"/>
  <c r="R25" i="13" s="1"/>
  <c r="O25" i="13"/>
  <c r="L25" i="13"/>
  <c r="M25" i="13" s="1"/>
  <c r="Q24" i="13"/>
  <c r="R24" i="13" s="1"/>
  <c r="O24" i="13"/>
  <c r="L24" i="13"/>
  <c r="M24" i="13" s="1"/>
  <c r="Q23" i="13"/>
  <c r="R23" i="13" s="1"/>
  <c r="O23" i="13"/>
  <c r="L23" i="13"/>
  <c r="M23" i="13" s="1"/>
  <c r="Q22" i="13"/>
  <c r="R22" i="13" s="1"/>
  <c r="O22" i="13"/>
  <c r="L22" i="13"/>
  <c r="M22" i="13" s="1"/>
  <c r="Q21" i="13"/>
  <c r="R21" i="13" s="1"/>
  <c r="O21" i="13"/>
  <c r="L21" i="13"/>
  <c r="M21" i="13" s="1"/>
  <c r="Q20" i="13"/>
  <c r="R20" i="13" s="1"/>
  <c r="O20" i="13"/>
  <c r="L20" i="13"/>
  <c r="M20" i="13" s="1"/>
  <c r="Q19" i="13"/>
  <c r="R19" i="13" s="1"/>
  <c r="O19" i="13"/>
  <c r="L19" i="13"/>
  <c r="M19" i="13" s="1"/>
  <c r="Q18" i="13"/>
  <c r="R18" i="13" s="1"/>
  <c r="O18" i="13"/>
  <c r="L18" i="13"/>
  <c r="M18" i="13" s="1"/>
  <c r="Q17" i="13"/>
  <c r="R17" i="13" s="1"/>
  <c r="O17" i="13"/>
  <c r="L17" i="13"/>
  <c r="M17" i="13" s="1"/>
  <c r="Q16" i="13"/>
  <c r="R16" i="13" s="1"/>
  <c r="O16" i="13"/>
  <c r="L16" i="13"/>
  <c r="M16" i="13" s="1"/>
  <c r="Q15" i="13"/>
  <c r="R15" i="13" s="1"/>
  <c r="O15" i="13"/>
  <c r="L15" i="13"/>
  <c r="M15" i="13" s="1"/>
  <c r="Q14" i="13"/>
  <c r="R14" i="13" s="1"/>
  <c r="O14" i="13"/>
  <c r="L14" i="13"/>
  <c r="M14" i="13" s="1"/>
  <c r="Q13" i="13"/>
  <c r="R13" i="13" s="1"/>
  <c r="O13" i="13"/>
  <c r="L13" i="13"/>
  <c r="M13" i="13" s="1"/>
  <c r="Q12" i="13"/>
  <c r="R12" i="13" s="1"/>
  <c r="O12" i="13"/>
  <c r="L12" i="13"/>
  <c r="M12" i="13" s="1"/>
  <c r="Q11" i="13"/>
  <c r="R11" i="13" s="1"/>
  <c r="O11" i="13"/>
  <c r="L11" i="13"/>
  <c r="M11" i="13" s="1"/>
  <c r="Q10" i="13"/>
  <c r="R10" i="13" s="1"/>
  <c r="O10" i="13"/>
  <c r="L10" i="13"/>
  <c r="M10" i="13" s="1"/>
  <c r="Q9" i="13"/>
  <c r="R9" i="13" s="1"/>
  <c r="O9" i="13"/>
  <c r="L9" i="13"/>
  <c r="M9" i="13" s="1"/>
  <c r="Q8" i="13"/>
  <c r="R8" i="13" s="1"/>
  <c r="O8" i="13"/>
  <c r="L8" i="13"/>
  <c r="M8" i="13" s="1"/>
  <c r="Q7" i="13"/>
  <c r="R7" i="13" s="1"/>
  <c r="O7" i="13"/>
  <c r="L7" i="13"/>
  <c r="M7" i="13" s="1"/>
  <c r="Q6" i="13"/>
  <c r="R6" i="13" s="1"/>
  <c r="O6" i="13"/>
  <c r="L6" i="13"/>
  <c r="M6" i="13" s="1"/>
  <c r="Q5" i="13"/>
  <c r="R5" i="13" s="1"/>
  <c r="O5" i="13"/>
  <c r="L5" i="13"/>
  <c r="M5" i="13" s="1"/>
  <c r="Q4" i="13"/>
  <c r="R4" i="13" s="1"/>
  <c r="O4" i="13"/>
  <c r="L4" i="13"/>
  <c r="M4" i="13" s="1"/>
  <c r="Q3" i="13"/>
  <c r="R3" i="13" s="1"/>
  <c r="O3" i="13"/>
  <c r="L3" i="13"/>
  <c r="M3" i="13" s="1"/>
  <c r="Q2" i="13"/>
  <c r="R2" i="13" s="1"/>
  <c r="O2" i="13"/>
  <c r="L2" i="13"/>
  <c r="M2" i="13" s="1"/>
  <c r="G9" i="12"/>
  <c r="G8" i="12"/>
  <c r="G7" i="12"/>
  <c r="G6" i="12"/>
  <c r="D9" i="12" l="1"/>
  <c r="D7" i="12"/>
  <c r="D6" i="12"/>
  <c r="C9" i="12"/>
  <c r="C7" i="12"/>
  <c r="C6" i="12"/>
  <c r="P75" i="9"/>
  <c r="P74" i="9"/>
  <c r="P73" i="9"/>
  <c r="P72" i="9"/>
  <c r="P71" i="9"/>
  <c r="P70" i="9"/>
  <c r="P69" i="9"/>
  <c r="P68" i="9"/>
  <c r="P67" i="9"/>
  <c r="P66" i="9"/>
  <c r="P65" i="9"/>
  <c r="P64" i="9"/>
  <c r="P63" i="9"/>
  <c r="P62" i="9"/>
  <c r="P61" i="9"/>
  <c r="P60" i="9"/>
  <c r="P59" i="9"/>
  <c r="P58" i="9"/>
  <c r="P57" i="9"/>
  <c r="P56" i="9"/>
  <c r="P55" i="9"/>
  <c r="P54" i="9"/>
  <c r="P53" i="9"/>
  <c r="P52" i="9"/>
  <c r="P51" i="9"/>
  <c r="P49" i="9"/>
  <c r="P48" i="9"/>
  <c r="P47" i="9"/>
  <c r="P46" i="9"/>
  <c r="P45" i="9"/>
  <c r="P44" i="9"/>
  <c r="P43" i="9"/>
  <c r="P41" i="9"/>
  <c r="P40" i="9"/>
  <c r="P38" i="9"/>
  <c r="P36" i="9"/>
  <c r="P35" i="9"/>
  <c r="P33" i="9"/>
  <c r="P32" i="9"/>
  <c r="P31" i="9"/>
  <c r="P29" i="9"/>
  <c r="P28" i="9"/>
  <c r="P26" i="9"/>
  <c r="P25" i="9"/>
  <c r="P24" i="9"/>
  <c r="P23" i="9"/>
  <c r="P22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5" i="9"/>
  <c r="P212" i="3"/>
  <c r="N212" i="3"/>
  <c r="P211" i="3"/>
  <c r="N211" i="3"/>
  <c r="P210" i="3"/>
  <c r="N210" i="3"/>
  <c r="P209" i="3"/>
  <c r="N209" i="3"/>
  <c r="P208" i="3"/>
  <c r="N208" i="3"/>
  <c r="P207" i="3"/>
  <c r="N207" i="3"/>
  <c r="P206" i="3"/>
  <c r="N206" i="3"/>
  <c r="P205" i="3"/>
  <c r="N205" i="3"/>
  <c r="P204" i="3"/>
  <c r="N204" i="3"/>
  <c r="P203" i="3"/>
  <c r="N203" i="3"/>
  <c r="P202" i="3"/>
  <c r="N202" i="3"/>
  <c r="P201" i="3"/>
  <c r="N201" i="3"/>
  <c r="P200" i="3"/>
  <c r="N200" i="3"/>
  <c r="P199" i="3"/>
  <c r="N199" i="3"/>
  <c r="P198" i="3"/>
  <c r="N198" i="3"/>
  <c r="P197" i="3"/>
  <c r="N197" i="3"/>
  <c r="P196" i="3"/>
  <c r="N196" i="3"/>
  <c r="P195" i="3"/>
  <c r="N195" i="3"/>
  <c r="P194" i="3"/>
  <c r="N194" i="3"/>
  <c r="P193" i="3"/>
  <c r="N193" i="3"/>
  <c r="P192" i="3"/>
  <c r="N192" i="3"/>
  <c r="P191" i="3"/>
  <c r="N191" i="3"/>
  <c r="P190" i="3"/>
  <c r="N190" i="3"/>
  <c r="P189" i="3"/>
  <c r="N189" i="3"/>
  <c r="P188" i="3"/>
  <c r="N188" i="3"/>
  <c r="P187" i="3"/>
  <c r="N187" i="3"/>
  <c r="P186" i="3"/>
  <c r="N186" i="3"/>
  <c r="P185" i="3"/>
  <c r="N185" i="3"/>
  <c r="P184" i="3"/>
  <c r="N184" i="3"/>
  <c r="P183" i="3"/>
  <c r="N183" i="3"/>
  <c r="P182" i="3"/>
  <c r="N182" i="3"/>
  <c r="P181" i="3"/>
  <c r="N181" i="3"/>
  <c r="P180" i="3"/>
  <c r="N180" i="3"/>
  <c r="P179" i="3"/>
  <c r="N179" i="3"/>
  <c r="P178" i="3"/>
  <c r="N178" i="3"/>
  <c r="P177" i="3"/>
  <c r="N177" i="3"/>
  <c r="P176" i="3"/>
  <c r="N176" i="3"/>
  <c r="P175" i="3"/>
  <c r="N175" i="3"/>
  <c r="P174" i="3"/>
  <c r="N174" i="3"/>
  <c r="P173" i="3"/>
  <c r="N173" i="3"/>
  <c r="P172" i="3"/>
  <c r="N172" i="3"/>
  <c r="P171" i="3"/>
  <c r="N171" i="3"/>
  <c r="P169" i="3"/>
  <c r="N169" i="3"/>
  <c r="P168" i="3"/>
  <c r="N168" i="3"/>
  <c r="P167" i="3"/>
  <c r="N167" i="3"/>
  <c r="P166" i="3"/>
  <c r="N166" i="3"/>
  <c r="P165" i="3"/>
  <c r="N165" i="3"/>
  <c r="P164" i="3"/>
  <c r="N164" i="3"/>
  <c r="P163" i="3"/>
  <c r="N163" i="3"/>
  <c r="P162" i="3"/>
  <c r="N162" i="3"/>
  <c r="P161" i="3"/>
  <c r="N161" i="3"/>
  <c r="P160" i="3"/>
  <c r="N160" i="3"/>
  <c r="P159" i="3"/>
  <c r="N159" i="3"/>
  <c r="P158" i="3"/>
  <c r="N158" i="3"/>
  <c r="P157" i="3"/>
  <c r="N157" i="3"/>
  <c r="P156" i="3"/>
  <c r="N156" i="3"/>
  <c r="P155" i="3"/>
  <c r="N155" i="3"/>
  <c r="P154" i="3"/>
  <c r="N154" i="3"/>
  <c r="P153" i="3"/>
  <c r="N153" i="3"/>
  <c r="P152" i="3"/>
  <c r="N152" i="3"/>
  <c r="P151" i="3"/>
  <c r="N151" i="3"/>
  <c r="P150" i="3"/>
  <c r="N150" i="3"/>
  <c r="P149" i="3"/>
  <c r="N149" i="3"/>
  <c r="P148" i="3"/>
  <c r="N148" i="3"/>
  <c r="P147" i="3"/>
  <c r="N147" i="3"/>
  <c r="P146" i="3"/>
  <c r="N146" i="3"/>
  <c r="P145" i="3"/>
  <c r="N145" i="3"/>
  <c r="P144" i="3"/>
  <c r="N144" i="3"/>
  <c r="P142" i="3"/>
  <c r="N142" i="3"/>
  <c r="P141" i="3"/>
  <c r="N141" i="3"/>
  <c r="P140" i="3"/>
  <c r="N140" i="3"/>
  <c r="P139" i="3"/>
  <c r="N139" i="3"/>
  <c r="P138" i="3"/>
  <c r="N138" i="3"/>
  <c r="P137" i="3"/>
  <c r="N137" i="3"/>
  <c r="P136" i="3"/>
  <c r="N136" i="3"/>
  <c r="P135" i="3"/>
  <c r="N135" i="3"/>
  <c r="P134" i="3"/>
  <c r="N134" i="3"/>
  <c r="P133" i="3"/>
  <c r="N133" i="3"/>
  <c r="P131" i="3"/>
  <c r="N131" i="3"/>
  <c r="P130" i="3"/>
  <c r="N130" i="3"/>
  <c r="P129" i="3"/>
  <c r="N129" i="3"/>
  <c r="P128" i="3"/>
  <c r="N128" i="3"/>
  <c r="P127" i="3"/>
  <c r="N127" i="3"/>
  <c r="P126" i="3"/>
  <c r="N126" i="3"/>
  <c r="P125" i="3"/>
  <c r="N125" i="3"/>
  <c r="P124" i="3"/>
  <c r="N124" i="3"/>
  <c r="P123" i="3"/>
  <c r="N123" i="3"/>
  <c r="P122" i="3"/>
  <c r="N122" i="3"/>
  <c r="P121" i="3"/>
  <c r="N121" i="3"/>
  <c r="P120" i="3"/>
  <c r="N120" i="3"/>
  <c r="P119" i="3"/>
  <c r="N119" i="3"/>
  <c r="P118" i="3"/>
  <c r="N118" i="3"/>
  <c r="P117" i="3"/>
  <c r="N117" i="3"/>
  <c r="P116" i="3"/>
  <c r="N116" i="3"/>
  <c r="P115" i="3"/>
  <c r="N115" i="3"/>
  <c r="P114" i="3"/>
  <c r="N114" i="3"/>
  <c r="P113" i="3"/>
  <c r="N113" i="3"/>
  <c r="P112" i="3"/>
  <c r="N112" i="3"/>
  <c r="P111" i="3"/>
  <c r="N111" i="3"/>
  <c r="P110" i="3"/>
  <c r="N110" i="3"/>
  <c r="P109" i="3"/>
  <c r="N109" i="3"/>
  <c r="P108" i="3"/>
  <c r="N108" i="3"/>
  <c r="P106" i="3"/>
  <c r="N106" i="3"/>
  <c r="P105" i="3"/>
  <c r="N105" i="3"/>
  <c r="P104" i="3"/>
  <c r="N104" i="3"/>
  <c r="P103" i="3"/>
  <c r="N103" i="3"/>
  <c r="P102" i="3"/>
  <c r="N102" i="3"/>
  <c r="P101" i="3"/>
  <c r="N101" i="3"/>
  <c r="P99" i="3"/>
  <c r="N99" i="3"/>
  <c r="P98" i="3"/>
  <c r="N98" i="3"/>
  <c r="P96" i="3"/>
  <c r="N96" i="3"/>
  <c r="P95" i="3"/>
  <c r="N95" i="3"/>
  <c r="P94" i="3"/>
  <c r="N94" i="3"/>
  <c r="P93" i="3"/>
  <c r="N93" i="3"/>
  <c r="P92" i="3"/>
  <c r="N92" i="3"/>
  <c r="P91" i="3"/>
  <c r="N91" i="3"/>
  <c r="P90" i="3"/>
  <c r="N90" i="3"/>
  <c r="P89" i="3"/>
  <c r="N89" i="3"/>
  <c r="P88" i="3"/>
  <c r="N88" i="3"/>
  <c r="P87" i="3"/>
  <c r="N87" i="3"/>
  <c r="P86" i="3"/>
  <c r="N86" i="3"/>
  <c r="P85" i="3"/>
  <c r="N85" i="3"/>
  <c r="P84" i="3"/>
  <c r="N84" i="3"/>
  <c r="P83" i="3"/>
  <c r="N83" i="3"/>
  <c r="P82" i="3"/>
  <c r="N82" i="3"/>
  <c r="P81" i="3"/>
  <c r="N81" i="3"/>
  <c r="P80" i="3"/>
  <c r="N80" i="3"/>
  <c r="P79" i="3"/>
  <c r="N79" i="3"/>
  <c r="P78" i="3"/>
  <c r="N78" i="3"/>
  <c r="P77" i="3"/>
  <c r="N77" i="3"/>
  <c r="P76" i="3"/>
  <c r="N76" i="3"/>
  <c r="P75" i="3"/>
  <c r="N75" i="3"/>
  <c r="P74" i="3"/>
  <c r="N74" i="3"/>
  <c r="P73" i="3"/>
  <c r="N73" i="3"/>
  <c r="P72" i="3"/>
  <c r="N72" i="3"/>
  <c r="P71" i="3"/>
  <c r="N71" i="3"/>
  <c r="P70" i="3"/>
  <c r="N70" i="3"/>
  <c r="P69" i="3"/>
  <c r="N69" i="3"/>
  <c r="P68" i="3"/>
  <c r="N68" i="3"/>
  <c r="P67" i="3"/>
  <c r="N67" i="3"/>
  <c r="P66" i="3"/>
  <c r="N66" i="3"/>
  <c r="P65" i="3"/>
  <c r="N65" i="3"/>
  <c r="P64" i="3"/>
  <c r="N64" i="3"/>
  <c r="P63" i="3"/>
  <c r="N63" i="3"/>
  <c r="P62" i="3"/>
  <c r="N62" i="3"/>
  <c r="P61" i="3"/>
  <c r="N61" i="3"/>
  <c r="P60" i="3"/>
  <c r="N60" i="3"/>
  <c r="P59" i="3"/>
  <c r="N59" i="3"/>
  <c r="P58" i="3"/>
  <c r="N58" i="3"/>
  <c r="P57" i="3"/>
  <c r="N57" i="3"/>
  <c r="P56" i="3"/>
  <c r="N56" i="3"/>
  <c r="P55" i="3"/>
  <c r="N55" i="3"/>
  <c r="P54" i="3"/>
  <c r="N54" i="3"/>
  <c r="P53" i="3"/>
  <c r="N53" i="3"/>
  <c r="P52" i="3"/>
  <c r="N52" i="3"/>
  <c r="P50" i="3"/>
  <c r="N50" i="3"/>
  <c r="P49" i="3"/>
  <c r="N49" i="3"/>
  <c r="P48" i="3"/>
  <c r="N48" i="3"/>
  <c r="P47" i="3"/>
  <c r="N47" i="3"/>
  <c r="P46" i="3"/>
  <c r="N46" i="3"/>
  <c r="P45" i="3"/>
  <c r="N45" i="3"/>
  <c r="P44" i="3"/>
  <c r="N44" i="3"/>
  <c r="P43" i="3"/>
  <c r="N43" i="3"/>
  <c r="P42" i="3"/>
  <c r="N42" i="3"/>
  <c r="P41" i="3"/>
  <c r="N41" i="3"/>
  <c r="P40" i="3"/>
  <c r="N40" i="3"/>
  <c r="P39" i="3"/>
  <c r="N39" i="3"/>
  <c r="P38" i="3"/>
  <c r="N38" i="3"/>
  <c r="P37" i="3"/>
  <c r="N37" i="3"/>
  <c r="P36" i="3"/>
  <c r="N36" i="3"/>
  <c r="P35" i="3"/>
  <c r="N35" i="3"/>
  <c r="P34" i="3"/>
  <c r="N34" i="3"/>
  <c r="P33" i="3"/>
  <c r="N33" i="3"/>
  <c r="P32" i="3"/>
  <c r="N32" i="3"/>
  <c r="P31" i="3"/>
  <c r="N31" i="3"/>
  <c r="P30" i="3"/>
  <c r="N30" i="3"/>
  <c r="P29" i="3"/>
  <c r="N29" i="3"/>
  <c r="P28" i="3"/>
  <c r="N28" i="3"/>
  <c r="P27" i="3"/>
  <c r="N27" i="3"/>
  <c r="P26" i="3"/>
  <c r="N26" i="3"/>
  <c r="P24" i="3"/>
  <c r="N24" i="3"/>
  <c r="P23" i="3"/>
  <c r="N23" i="3"/>
  <c r="P22" i="3"/>
  <c r="N22" i="3"/>
  <c r="P21" i="3"/>
  <c r="N21" i="3"/>
  <c r="P20" i="3"/>
  <c r="N20" i="3"/>
  <c r="P19" i="3"/>
  <c r="N19" i="3"/>
  <c r="P18" i="3"/>
  <c r="N18" i="3"/>
  <c r="P17" i="3"/>
  <c r="N17" i="3"/>
  <c r="P16" i="3"/>
  <c r="N16" i="3"/>
  <c r="P15" i="3"/>
  <c r="N15" i="3"/>
  <c r="P14" i="3"/>
  <c r="N14" i="3"/>
  <c r="P13" i="3"/>
  <c r="N13" i="3"/>
  <c r="P12" i="3"/>
  <c r="N12" i="3"/>
  <c r="P11" i="3"/>
  <c r="N11" i="3"/>
  <c r="P10" i="3"/>
  <c r="N10" i="3"/>
  <c r="P9" i="3"/>
  <c r="N9" i="3"/>
  <c r="P7" i="3"/>
  <c r="N7" i="3"/>
  <c r="P6" i="3"/>
  <c r="N6" i="3"/>
  <c r="P5" i="3"/>
  <c r="N5" i="3"/>
  <c r="P34" i="4"/>
  <c r="N34" i="4"/>
  <c r="P33" i="4"/>
  <c r="N33" i="4"/>
  <c r="P32" i="4"/>
  <c r="N32" i="4"/>
  <c r="P31" i="4"/>
  <c r="N31" i="4"/>
  <c r="P30" i="4"/>
  <c r="N30" i="4"/>
  <c r="P29" i="4"/>
  <c r="N29" i="4"/>
  <c r="P28" i="4"/>
  <c r="N28" i="4"/>
  <c r="P27" i="4"/>
  <c r="N27" i="4"/>
  <c r="P26" i="4"/>
  <c r="N26" i="4"/>
  <c r="P25" i="4"/>
  <c r="N25" i="4"/>
  <c r="P24" i="4"/>
  <c r="N24" i="4"/>
  <c r="P23" i="4"/>
  <c r="N23" i="4"/>
  <c r="P22" i="4"/>
  <c r="N22" i="4"/>
  <c r="P21" i="4"/>
  <c r="N21" i="4"/>
  <c r="P20" i="4"/>
  <c r="N20" i="4"/>
  <c r="P19" i="4"/>
  <c r="N19" i="4"/>
  <c r="P18" i="4"/>
  <c r="N18" i="4"/>
  <c r="P17" i="4"/>
  <c r="N17" i="4"/>
  <c r="P16" i="4"/>
  <c r="N16" i="4"/>
  <c r="P15" i="4"/>
  <c r="N15" i="4"/>
  <c r="P14" i="4"/>
  <c r="N14" i="4"/>
  <c r="P13" i="4"/>
  <c r="N13" i="4"/>
  <c r="P12" i="4"/>
  <c r="N12" i="4"/>
  <c r="P11" i="4"/>
  <c r="N11" i="4"/>
  <c r="P10" i="4"/>
  <c r="N10" i="4"/>
  <c r="P8" i="4"/>
  <c r="N8" i="4"/>
  <c r="P7" i="4"/>
  <c r="N7" i="4"/>
  <c r="P6" i="4"/>
  <c r="N6" i="4"/>
  <c r="P5" i="4"/>
  <c r="N5" i="4"/>
  <c r="P83" i="6"/>
  <c r="N83" i="6"/>
  <c r="P82" i="6"/>
  <c r="N82" i="6"/>
  <c r="P81" i="6"/>
  <c r="N81" i="6"/>
  <c r="P80" i="6"/>
  <c r="N80" i="6"/>
  <c r="P79" i="6"/>
  <c r="N79" i="6"/>
  <c r="P78" i="6"/>
  <c r="N78" i="6"/>
  <c r="P77" i="6"/>
  <c r="N77" i="6"/>
  <c r="P76" i="6"/>
  <c r="N76" i="6"/>
  <c r="P75" i="6"/>
  <c r="N75" i="6"/>
  <c r="P74" i="6"/>
  <c r="N74" i="6"/>
  <c r="P73" i="6"/>
  <c r="N73" i="6"/>
  <c r="P72" i="6"/>
  <c r="N72" i="6"/>
  <c r="P71" i="6"/>
  <c r="N71" i="6"/>
  <c r="P70" i="6"/>
  <c r="N70" i="6"/>
  <c r="P69" i="6"/>
  <c r="N69" i="6"/>
  <c r="P68" i="6"/>
  <c r="N68" i="6"/>
  <c r="P67" i="6"/>
  <c r="N67" i="6"/>
  <c r="P66" i="6"/>
  <c r="N66" i="6"/>
  <c r="P65" i="6"/>
  <c r="N65" i="6"/>
  <c r="P64" i="6"/>
  <c r="N64" i="6"/>
  <c r="P63" i="6"/>
  <c r="N63" i="6"/>
  <c r="P62" i="6"/>
  <c r="N62" i="6"/>
  <c r="P61" i="6"/>
  <c r="N61" i="6"/>
  <c r="P60" i="6"/>
  <c r="N60" i="6"/>
  <c r="P59" i="6"/>
  <c r="N59" i="6"/>
  <c r="P58" i="6"/>
  <c r="N58" i="6"/>
  <c r="P57" i="6"/>
  <c r="N57" i="6"/>
  <c r="P56" i="6"/>
  <c r="N56" i="6"/>
  <c r="P55" i="6"/>
  <c r="N55" i="6"/>
  <c r="P54" i="6"/>
  <c r="N54" i="6"/>
  <c r="P53" i="6"/>
  <c r="N53" i="6"/>
  <c r="P52" i="6"/>
  <c r="N52" i="6"/>
  <c r="P51" i="6"/>
  <c r="N51" i="6"/>
  <c r="P50" i="6"/>
  <c r="N50" i="6"/>
  <c r="P49" i="6"/>
  <c r="N49" i="6"/>
  <c r="P48" i="6"/>
  <c r="N48" i="6"/>
  <c r="P47" i="6"/>
  <c r="N47" i="6"/>
  <c r="P46" i="6"/>
  <c r="N46" i="6"/>
  <c r="P45" i="6"/>
  <c r="N45" i="6"/>
  <c r="P44" i="6"/>
  <c r="N44" i="6"/>
  <c r="P43" i="6"/>
  <c r="N43" i="6"/>
  <c r="P42" i="6"/>
  <c r="N42" i="6"/>
  <c r="P41" i="6"/>
  <c r="N41" i="6"/>
  <c r="P40" i="6"/>
  <c r="N40" i="6"/>
  <c r="P39" i="6"/>
  <c r="N39" i="6"/>
  <c r="P38" i="6"/>
  <c r="N38" i="6"/>
  <c r="P37" i="6"/>
  <c r="N37" i="6"/>
  <c r="P36" i="6"/>
  <c r="N36" i="6"/>
  <c r="P35" i="6"/>
  <c r="N35" i="6"/>
  <c r="P34" i="6"/>
  <c r="N34" i="6"/>
  <c r="P33" i="6"/>
  <c r="N33" i="6"/>
  <c r="P32" i="6"/>
  <c r="N32" i="6"/>
  <c r="P31" i="6"/>
  <c r="N31" i="6"/>
  <c r="P30" i="6"/>
  <c r="N30" i="6"/>
  <c r="P29" i="6"/>
  <c r="N29" i="6"/>
  <c r="P28" i="6"/>
  <c r="N28" i="6"/>
  <c r="P26" i="6"/>
  <c r="N26" i="6"/>
  <c r="P25" i="6"/>
  <c r="N25" i="6"/>
  <c r="P24" i="6"/>
  <c r="N24" i="6"/>
  <c r="P23" i="6"/>
  <c r="N23" i="6"/>
  <c r="P22" i="6"/>
  <c r="N22" i="6"/>
  <c r="P21" i="6"/>
  <c r="N21" i="6"/>
  <c r="P20" i="6"/>
  <c r="N20" i="6"/>
  <c r="P19" i="6"/>
  <c r="N19" i="6"/>
  <c r="P18" i="6"/>
  <c r="N18" i="6"/>
  <c r="P16" i="6"/>
  <c r="N16" i="6"/>
  <c r="P15" i="6"/>
  <c r="N15" i="6"/>
  <c r="P14" i="6"/>
  <c r="N14" i="6"/>
  <c r="P13" i="6"/>
  <c r="N13" i="6"/>
  <c r="P12" i="6"/>
  <c r="N12" i="6"/>
  <c r="P11" i="6"/>
  <c r="N11" i="6"/>
  <c r="P10" i="6"/>
  <c r="N10" i="6"/>
  <c r="P9" i="6"/>
  <c r="N9" i="6"/>
  <c r="P8" i="6"/>
  <c r="N8" i="6"/>
  <c r="P7" i="6"/>
  <c r="N7" i="6"/>
  <c r="P5" i="6"/>
  <c r="N5" i="6"/>
  <c r="P48" i="11"/>
  <c r="N48" i="11"/>
  <c r="P47" i="11"/>
  <c r="N47" i="11"/>
  <c r="P46" i="11"/>
  <c r="N46" i="11"/>
  <c r="P45" i="11"/>
  <c r="N45" i="11"/>
  <c r="P44" i="11"/>
  <c r="N44" i="11"/>
  <c r="P43" i="11"/>
  <c r="N43" i="11"/>
  <c r="P42" i="11"/>
  <c r="N42" i="11"/>
  <c r="P41" i="11"/>
  <c r="N41" i="11"/>
  <c r="P40" i="11"/>
  <c r="N40" i="11"/>
  <c r="P39" i="11"/>
  <c r="N39" i="11"/>
  <c r="P38" i="11"/>
  <c r="N38" i="11"/>
  <c r="P37" i="11"/>
  <c r="N37" i="11"/>
  <c r="P36" i="11"/>
  <c r="N36" i="11"/>
  <c r="P35" i="11"/>
  <c r="N35" i="11"/>
  <c r="P34" i="11"/>
  <c r="N34" i="11"/>
  <c r="P33" i="11"/>
  <c r="N33" i="11"/>
  <c r="P32" i="11"/>
  <c r="N32" i="11"/>
  <c r="P31" i="11"/>
  <c r="N31" i="11"/>
  <c r="P30" i="11"/>
  <c r="N30" i="11"/>
  <c r="P29" i="11"/>
  <c r="N29" i="11"/>
  <c r="P28" i="11"/>
  <c r="N28" i="11"/>
  <c r="P27" i="11"/>
  <c r="N27" i="11"/>
  <c r="P26" i="11"/>
  <c r="N26" i="11"/>
  <c r="P25" i="11"/>
  <c r="N25" i="11"/>
  <c r="P24" i="11"/>
  <c r="N24" i="11"/>
  <c r="P23" i="11"/>
  <c r="N23" i="11"/>
  <c r="P22" i="11"/>
  <c r="N22" i="11"/>
  <c r="P21" i="11"/>
  <c r="N21" i="11"/>
  <c r="P20" i="11"/>
  <c r="N20" i="11"/>
  <c r="P19" i="11"/>
  <c r="N19" i="11"/>
  <c r="P18" i="11"/>
  <c r="N18" i="11"/>
  <c r="P17" i="11"/>
  <c r="N17" i="11"/>
  <c r="P16" i="11"/>
  <c r="N16" i="11"/>
  <c r="P15" i="11"/>
  <c r="N15" i="11"/>
  <c r="P14" i="11"/>
  <c r="N14" i="11"/>
  <c r="P13" i="11"/>
  <c r="N13" i="11"/>
  <c r="P12" i="11"/>
  <c r="N12" i="11"/>
  <c r="P11" i="11"/>
  <c r="N11" i="11"/>
  <c r="P10" i="11"/>
  <c r="N10" i="11"/>
  <c r="P8" i="11"/>
  <c r="N8" i="11"/>
  <c r="P7" i="11"/>
  <c r="N7" i="11"/>
  <c r="P6" i="11"/>
  <c r="N6" i="11"/>
  <c r="P5" i="11"/>
  <c r="N5" i="11"/>
  <c r="P208" i="8"/>
  <c r="N208" i="8"/>
  <c r="P207" i="8"/>
  <c r="N207" i="8"/>
  <c r="P206" i="8"/>
  <c r="N206" i="8"/>
  <c r="P205" i="8"/>
  <c r="N205" i="8"/>
  <c r="P204" i="8"/>
  <c r="N204" i="8"/>
  <c r="P203" i="8"/>
  <c r="N203" i="8"/>
  <c r="P202" i="8"/>
  <c r="N202" i="8"/>
  <c r="P201" i="8"/>
  <c r="N201" i="8"/>
  <c r="P200" i="8"/>
  <c r="N200" i="8"/>
  <c r="P199" i="8"/>
  <c r="N199" i="8"/>
  <c r="P198" i="8"/>
  <c r="N198" i="8"/>
  <c r="P197" i="8"/>
  <c r="N197" i="8"/>
  <c r="P196" i="8"/>
  <c r="N196" i="8"/>
  <c r="P195" i="8"/>
  <c r="N195" i="8"/>
  <c r="P194" i="8"/>
  <c r="N194" i="8"/>
  <c r="P193" i="8"/>
  <c r="N193" i="8"/>
  <c r="P192" i="8"/>
  <c r="N192" i="8"/>
  <c r="P191" i="8"/>
  <c r="N191" i="8"/>
  <c r="P190" i="8"/>
  <c r="N190" i="8"/>
  <c r="P189" i="8"/>
  <c r="N189" i="8"/>
  <c r="P188" i="8"/>
  <c r="N188" i="8"/>
  <c r="P187" i="8"/>
  <c r="N187" i="8"/>
  <c r="P186" i="8"/>
  <c r="N186" i="8"/>
  <c r="P185" i="8"/>
  <c r="N185" i="8"/>
  <c r="P184" i="8"/>
  <c r="N184" i="8"/>
  <c r="P183" i="8"/>
  <c r="N183" i="8"/>
  <c r="P182" i="8"/>
  <c r="N182" i="8"/>
  <c r="P181" i="8"/>
  <c r="N181" i="8"/>
  <c r="P180" i="8"/>
  <c r="N180" i="8"/>
  <c r="P179" i="8"/>
  <c r="N179" i="8"/>
  <c r="P178" i="8"/>
  <c r="N178" i="8"/>
  <c r="P177" i="8"/>
  <c r="N177" i="8"/>
  <c r="P176" i="8"/>
  <c r="N176" i="8"/>
  <c r="P175" i="8"/>
  <c r="N175" i="8"/>
  <c r="P174" i="8"/>
  <c r="N174" i="8"/>
  <c r="P173" i="8"/>
  <c r="N173" i="8"/>
  <c r="P172" i="8"/>
  <c r="N172" i="8"/>
  <c r="P171" i="8"/>
  <c r="N171" i="8"/>
  <c r="P170" i="8"/>
  <c r="N170" i="8"/>
  <c r="P169" i="8"/>
  <c r="N169" i="8"/>
  <c r="P168" i="8"/>
  <c r="N168" i="8"/>
  <c r="P167" i="8"/>
  <c r="N167" i="8"/>
  <c r="P166" i="8"/>
  <c r="N166" i="8"/>
  <c r="P165" i="8"/>
  <c r="N165" i="8"/>
  <c r="P164" i="8"/>
  <c r="N164" i="8"/>
  <c r="P163" i="8"/>
  <c r="N163" i="8"/>
  <c r="P162" i="8"/>
  <c r="N162" i="8"/>
  <c r="P161" i="8"/>
  <c r="N161" i="8"/>
  <c r="P160" i="8"/>
  <c r="N160" i="8"/>
  <c r="P159" i="8"/>
  <c r="N159" i="8"/>
  <c r="P158" i="8"/>
  <c r="N158" i="8"/>
  <c r="P157" i="8"/>
  <c r="N157" i="8"/>
  <c r="P156" i="8"/>
  <c r="N156" i="8"/>
  <c r="P155" i="8"/>
  <c r="N155" i="8"/>
  <c r="P154" i="8"/>
  <c r="N154" i="8"/>
  <c r="P153" i="8"/>
  <c r="N153" i="8"/>
  <c r="P152" i="8"/>
  <c r="N152" i="8"/>
  <c r="P151" i="8"/>
  <c r="N151" i="8"/>
  <c r="P150" i="8"/>
  <c r="N150" i="8"/>
  <c r="P149" i="8"/>
  <c r="N149" i="8"/>
  <c r="P148" i="8"/>
  <c r="N148" i="8"/>
  <c r="P147" i="8"/>
  <c r="N147" i="8"/>
  <c r="P146" i="8"/>
  <c r="N146" i="8"/>
  <c r="P145" i="8"/>
  <c r="N145" i="8"/>
  <c r="P144" i="8"/>
  <c r="N144" i="8"/>
  <c r="P143" i="8"/>
  <c r="N143" i="8"/>
  <c r="P142" i="8"/>
  <c r="N142" i="8"/>
  <c r="P141" i="8"/>
  <c r="N141" i="8"/>
  <c r="P140" i="8"/>
  <c r="N140" i="8"/>
  <c r="P139" i="8"/>
  <c r="N139" i="8"/>
  <c r="P138" i="8"/>
  <c r="N138" i="8"/>
  <c r="P137" i="8"/>
  <c r="N137" i="8"/>
  <c r="P136" i="8"/>
  <c r="N136" i="8"/>
  <c r="P135" i="8"/>
  <c r="N135" i="8"/>
  <c r="P134" i="8"/>
  <c r="N134" i="8"/>
  <c r="P133" i="8"/>
  <c r="N133" i="8"/>
  <c r="P132" i="8"/>
  <c r="N132" i="8"/>
  <c r="P131" i="8"/>
  <c r="N131" i="8"/>
  <c r="P130" i="8"/>
  <c r="N130" i="8"/>
  <c r="P129" i="8"/>
  <c r="N129" i="8"/>
  <c r="P128" i="8"/>
  <c r="N128" i="8"/>
  <c r="P127" i="8"/>
  <c r="N127" i="8"/>
  <c r="P126" i="8"/>
  <c r="N126" i="8"/>
  <c r="P125" i="8"/>
  <c r="N125" i="8"/>
  <c r="P124" i="8"/>
  <c r="N124" i="8"/>
  <c r="P123" i="8"/>
  <c r="N123" i="8"/>
  <c r="P122" i="8"/>
  <c r="N122" i="8"/>
  <c r="P121" i="8"/>
  <c r="N121" i="8"/>
  <c r="P120" i="8"/>
  <c r="N120" i="8"/>
  <c r="P119" i="8"/>
  <c r="N119" i="8"/>
  <c r="P118" i="8"/>
  <c r="N118" i="8"/>
  <c r="P117" i="8"/>
  <c r="N117" i="8"/>
  <c r="P116" i="8"/>
  <c r="N116" i="8"/>
  <c r="P115" i="8"/>
  <c r="N115" i="8"/>
  <c r="P114" i="8"/>
  <c r="N114" i="8"/>
  <c r="P113" i="8"/>
  <c r="N113" i="8"/>
  <c r="P112" i="8"/>
  <c r="N112" i="8"/>
  <c r="P110" i="8"/>
  <c r="N110" i="8"/>
  <c r="P109" i="8"/>
  <c r="N109" i="8"/>
  <c r="P107" i="8"/>
  <c r="N107" i="8"/>
  <c r="P106" i="8"/>
  <c r="N106" i="8"/>
  <c r="P104" i="8"/>
  <c r="N104" i="8"/>
  <c r="P103" i="8"/>
  <c r="N103" i="8"/>
  <c r="P102" i="8"/>
  <c r="N102" i="8"/>
  <c r="P100" i="8"/>
  <c r="N100" i="8"/>
  <c r="P99" i="8"/>
  <c r="N99" i="8"/>
  <c r="P98" i="8"/>
  <c r="N98" i="8"/>
  <c r="P97" i="8"/>
  <c r="N97" i="8"/>
  <c r="P96" i="8"/>
  <c r="N96" i="8"/>
  <c r="P95" i="8"/>
  <c r="N95" i="8"/>
  <c r="P94" i="8"/>
  <c r="N94" i="8"/>
  <c r="P93" i="8"/>
  <c r="N93" i="8"/>
  <c r="P92" i="8"/>
  <c r="N92" i="8"/>
  <c r="P91" i="8"/>
  <c r="N91" i="8"/>
  <c r="P90" i="8"/>
  <c r="N90" i="8"/>
  <c r="P89" i="8"/>
  <c r="N89" i="8"/>
  <c r="P88" i="8"/>
  <c r="N88" i="8"/>
  <c r="P87" i="8"/>
  <c r="N87" i="8"/>
  <c r="P86" i="8"/>
  <c r="N86" i="8"/>
  <c r="P85" i="8"/>
  <c r="N85" i="8"/>
  <c r="P84" i="8"/>
  <c r="N84" i="8"/>
  <c r="P83" i="8"/>
  <c r="N83" i="8"/>
  <c r="P82" i="8"/>
  <c r="N82" i="8"/>
  <c r="P81" i="8"/>
  <c r="N81" i="8"/>
  <c r="P80" i="8"/>
  <c r="N80" i="8"/>
  <c r="P79" i="8"/>
  <c r="N79" i="8"/>
  <c r="P78" i="8"/>
  <c r="N78" i="8"/>
  <c r="P77" i="8"/>
  <c r="N77" i="8"/>
  <c r="P76" i="8"/>
  <c r="N76" i="8"/>
  <c r="P75" i="8"/>
  <c r="N75" i="8"/>
  <c r="P74" i="8"/>
  <c r="N74" i="8"/>
  <c r="P73" i="8"/>
  <c r="N73" i="8"/>
  <c r="P72" i="8"/>
  <c r="N72" i="8"/>
  <c r="P71" i="8"/>
  <c r="N71" i="8"/>
  <c r="P70" i="8"/>
  <c r="N70" i="8"/>
  <c r="P69" i="8"/>
  <c r="N69" i="8"/>
  <c r="P67" i="8"/>
  <c r="N67" i="8"/>
  <c r="P66" i="8"/>
  <c r="N66" i="8"/>
  <c r="P65" i="8"/>
  <c r="N65" i="8"/>
  <c r="P64" i="8"/>
  <c r="N64" i="8"/>
  <c r="P63" i="8"/>
  <c r="N63" i="8"/>
  <c r="P62" i="8"/>
  <c r="N62" i="8"/>
  <c r="P61" i="8"/>
  <c r="N61" i="8"/>
  <c r="P60" i="8"/>
  <c r="N60" i="8"/>
  <c r="P59" i="8"/>
  <c r="N59" i="8"/>
  <c r="P58" i="8"/>
  <c r="N58" i="8"/>
  <c r="P57" i="8"/>
  <c r="N57" i="8"/>
  <c r="P56" i="8"/>
  <c r="N56" i="8"/>
  <c r="P55" i="8"/>
  <c r="N55" i="8"/>
  <c r="P54" i="8"/>
  <c r="N54" i="8"/>
  <c r="P53" i="8"/>
  <c r="N53" i="8"/>
  <c r="P52" i="8"/>
  <c r="N52" i="8"/>
  <c r="P51" i="8"/>
  <c r="N51" i="8"/>
  <c r="P50" i="8"/>
  <c r="N50" i="8"/>
  <c r="P48" i="8"/>
  <c r="N48" i="8"/>
  <c r="P47" i="8"/>
  <c r="N47" i="8"/>
  <c r="P46" i="8"/>
  <c r="N46" i="8"/>
  <c r="P45" i="8"/>
  <c r="N45" i="8"/>
  <c r="P44" i="8"/>
  <c r="N44" i="8"/>
  <c r="P43" i="8"/>
  <c r="N43" i="8"/>
  <c r="P42" i="8"/>
  <c r="N42" i="8"/>
  <c r="P41" i="8"/>
  <c r="N41" i="8"/>
  <c r="P40" i="8"/>
  <c r="N40" i="8"/>
  <c r="P39" i="8"/>
  <c r="N39" i="8"/>
  <c r="P38" i="8"/>
  <c r="N38" i="8"/>
  <c r="P37" i="8"/>
  <c r="N37" i="8"/>
  <c r="P36" i="8"/>
  <c r="N36" i="8"/>
  <c r="P35" i="8"/>
  <c r="N35" i="8"/>
  <c r="P34" i="8"/>
  <c r="N34" i="8"/>
  <c r="P33" i="8"/>
  <c r="N33" i="8"/>
  <c r="P32" i="8"/>
  <c r="N32" i="8"/>
  <c r="P31" i="8"/>
  <c r="N31" i="8"/>
  <c r="P30" i="8"/>
  <c r="N30" i="8"/>
  <c r="P29" i="8"/>
  <c r="N29" i="8"/>
  <c r="P28" i="8"/>
  <c r="N28" i="8"/>
  <c r="P27" i="8"/>
  <c r="N27" i="8"/>
  <c r="P26" i="8"/>
  <c r="N26" i="8"/>
  <c r="P25" i="8"/>
  <c r="N25" i="8"/>
  <c r="P24" i="8"/>
  <c r="N24" i="8"/>
  <c r="P23" i="8"/>
  <c r="N23" i="8"/>
  <c r="P22" i="8"/>
  <c r="N22" i="8"/>
  <c r="P21" i="8"/>
  <c r="N21" i="8"/>
  <c r="P20" i="8"/>
  <c r="N20" i="8"/>
  <c r="P19" i="8"/>
  <c r="N19" i="8"/>
  <c r="P18" i="8"/>
  <c r="N18" i="8"/>
  <c r="P17" i="8"/>
  <c r="N17" i="8"/>
  <c r="P16" i="8"/>
  <c r="N16" i="8"/>
  <c r="P14" i="8"/>
  <c r="N14" i="8"/>
  <c r="P13" i="8"/>
  <c r="N13" i="8"/>
  <c r="P12" i="8"/>
  <c r="N12" i="8"/>
  <c r="P11" i="8"/>
  <c r="N11" i="8"/>
  <c r="P10" i="8"/>
  <c r="N10" i="8"/>
  <c r="P9" i="8"/>
  <c r="N9" i="8"/>
  <c r="P8" i="8"/>
  <c r="N8" i="8"/>
  <c r="P7" i="8"/>
  <c r="N7" i="8"/>
  <c r="P6" i="8"/>
  <c r="N6" i="8"/>
  <c r="P5" i="8"/>
  <c r="N5" i="8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P5" i="7"/>
  <c r="N5" i="7"/>
  <c r="P108" i="5"/>
  <c r="P92" i="5"/>
  <c r="P60" i="5"/>
  <c r="P44" i="5"/>
  <c r="P28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7" i="5"/>
  <c r="P26" i="5"/>
  <c r="P25" i="5"/>
  <c r="P24" i="5"/>
  <c r="P23" i="5"/>
  <c r="P21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N92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1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P5" i="5"/>
  <c r="N5" i="5"/>
  <c r="K76" i="9" l="1"/>
  <c r="K50" i="9"/>
  <c r="K42" i="9"/>
  <c r="K39" i="9"/>
  <c r="K37" i="9"/>
  <c r="K34" i="9"/>
  <c r="K30" i="9"/>
  <c r="K27" i="9"/>
  <c r="K21" i="9"/>
  <c r="K6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" i="9"/>
  <c r="L8" i="9"/>
  <c r="L9" i="9"/>
  <c r="L10" i="9"/>
  <c r="L11" i="9"/>
  <c r="L12" i="9"/>
  <c r="L13" i="9"/>
  <c r="L14" i="9"/>
  <c r="L15" i="9"/>
  <c r="L22" i="9"/>
  <c r="L23" i="9"/>
  <c r="L24" i="9"/>
  <c r="L25" i="9"/>
  <c r="L26" i="9"/>
  <c r="L43" i="9"/>
  <c r="L44" i="9"/>
  <c r="L45" i="9"/>
  <c r="L46" i="9"/>
  <c r="L47" i="9"/>
  <c r="L48" i="9"/>
  <c r="L49" i="9"/>
  <c r="L28" i="9"/>
  <c r="L31" i="9"/>
  <c r="L32" i="9"/>
  <c r="L33" i="9"/>
  <c r="L35" i="9"/>
  <c r="L36" i="9"/>
  <c r="L38" i="9"/>
  <c r="L72" i="9"/>
  <c r="L73" i="9"/>
  <c r="L74" i="9"/>
  <c r="L75" i="9"/>
  <c r="L16" i="9"/>
  <c r="L17" i="9"/>
  <c r="L18" i="9"/>
  <c r="L19" i="9"/>
  <c r="L20" i="9"/>
  <c r="L40" i="9"/>
  <c r="L41" i="9"/>
  <c r="L29" i="9"/>
  <c r="L5" i="9"/>
  <c r="P6" i="9" s="1"/>
  <c r="L51" i="9"/>
  <c r="K78" i="9" l="1"/>
  <c r="L6" i="9"/>
  <c r="K5" i="10" s="1"/>
  <c r="P50" i="9"/>
  <c r="L21" i="9"/>
  <c r="K6" i="10" s="1"/>
  <c r="L76" i="9"/>
  <c r="P34" i="9"/>
  <c r="L34" i="9"/>
  <c r="K9" i="10" s="1"/>
  <c r="L42" i="9"/>
  <c r="K20" i="10" s="1"/>
  <c r="L27" i="9"/>
  <c r="K18" i="10" s="1"/>
  <c r="P30" i="9"/>
  <c r="P39" i="9"/>
  <c r="L37" i="9"/>
  <c r="K10" i="10" s="1"/>
  <c r="L10" i="10" s="1"/>
  <c r="P42" i="9"/>
  <c r="L50" i="9"/>
  <c r="K15" i="10" s="1"/>
  <c r="P76" i="9"/>
  <c r="P37" i="9"/>
  <c r="L30" i="9"/>
  <c r="K8" i="10" s="1"/>
  <c r="P27" i="9"/>
  <c r="P21" i="9"/>
  <c r="L39" i="9"/>
  <c r="K16" i="10" s="1"/>
  <c r="N160" i="7"/>
  <c r="N64" i="7"/>
  <c r="N44" i="7"/>
  <c r="K213" i="3"/>
  <c r="K170" i="3"/>
  <c r="K143" i="3"/>
  <c r="K132" i="3"/>
  <c r="K107" i="3"/>
  <c r="K100" i="3"/>
  <c r="K97" i="3"/>
  <c r="K51" i="3"/>
  <c r="K25" i="3"/>
  <c r="K8" i="3"/>
  <c r="L108" i="3"/>
  <c r="L109" i="3"/>
  <c r="L110" i="3"/>
  <c r="L111" i="3"/>
  <c r="L112" i="3"/>
  <c r="L113" i="3"/>
  <c r="L114" i="3"/>
  <c r="L115" i="3"/>
  <c r="L116" i="3"/>
  <c r="L52" i="3"/>
  <c r="L53" i="3"/>
  <c r="L54" i="3"/>
  <c r="L171" i="3"/>
  <c r="L172" i="3"/>
  <c r="L101" i="3"/>
  <c r="L102" i="3"/>
  <c r="L26" i="3"/>
  <c r="L27" i="3"/>
  <c r="L55" i="3"/>
  <c r="L103" i="3"/>
  <c r="L104" i="3"/>
  <c r="L56" i="3"/>
  <c r="L57" i="3"/>
  <c r="L9" i="3"/>
  <c r="L10" i="3"/>
  <c r="L144" i="3"/>
  <c r="L145" i="3"/>
  <c r="L146" i="3"/>
  <c r="L147" i="3"/>
  <c r="L133" i="3"/>
  <c r="L134" i="3"/>
  <c r="L135" i="3"/>
  <c r="L136" i="3"/>
  <c r="L137" i="3"/>
  <c r="L28" i="3"/>
  <c r="L58" i="3"/>
  <c r="L59" i="3"/>
  <c r="L60" i="3"/>
  <c r="L61" i="3"/>
  <c r="L62" i="3"/>
  <c r="L29" i="3"/>
  <c r="L148" i="3"/>
  <c r="L149" i="3"/>
  <c r="L138" i="3"/>
  <c r="L139" i="3"/>
  <c r="L30" i="3"/>
  <c r="L31" i="3"/>
  <c r="L63" i="3"/>
  <c r="L64" i="3"/>
  <c r="L65" i="3"/>
  <c r="L5" i="3"/>
  <c r="L173" i="3"/>
  <c r="L174" i="3"/>
  <c r="L32" i="3"/>
  <c r="L33" i="3"/>
  <c r="L175" i="3"/>
  <c r="L176" i="3"/>
  <c r="L11" i="3"/>
  <c r="L12" i="3"/>
  <c r="L13" i="3"/>
  <c r="L14" i="3"/>
  <c r="L105" i="3"/>
  <c r="L106" i="3"/>
  <c r="L34" i="3"/>
  <c r="L177" i="3"/>
  <c r="L117" i="3"/>
  <c r="L118" i="3"/>
  <c r="L178" i="3"/>
  <c r="L66" i="3"/>
  <c r="L67" i="3"/>
  <c r="L68" i="3"/>
  <c r="L179" i="3"/>
  <c r="L69" i="3"/>
  <c r="L15" i="3"/>
  <c r="L16" i="3"/>
  <c r="L70" i="3"/>
  <c r="L71" i="3"/>
  <c r="L72" i="3"/>
  <c r="L35" i="3"/>
  <c r="L119" i="3"/>
  <c r="L120" i="3"/>
  <c r="L121" i="3"/>
  <c r="L180" i="3"/>
  <c r="L181" i="3"/>
  <c r="L182" i="3"/>
  <c r="L183" i="3"/>
  <c r="L184" i="3"/>
  <c r="L140" i="3"/>
  <c r="L36" i="3"/>
  <c r="L37" i="3"/>
  <c r="L185" i="3"/>
  <c r="L38" i="3"/>
  <c r="L39" i="3"/>
  <c r="L186" i="3"/>
  <c r="L73" i="3"/>
  <c r="L74" i="3"/>
  <c r="L99" i="3"/>
  <c r="L187" i="3"/>
  <c r="L150" i="3"/>
  <c r="L151" i="3"/>
  <c r="L141" i="3"/>
  <c r="L142" i="3"/>
  <c r="L40" i="3"/>
  <c r="L41" i="3"/>
  <c r="L42" i="3"/>
  <c r="L75" i="3"/>
  <c r="L76" i="3"/>
  <c r="L77" i="3"/>
  <c r="L78" i="3"/>
  <c r="L122" i="3"/>
  <c r="L123" i="3"/>
  <c r="L124" i="3"/>
  <c r="L125" i="3"/>
  <c r="L126" i="3"/>
  <c r="L152" i="3"/>
  <c r="L153" i="3"/>
  <c r="L79" i="3"/>
  <c r="L80" i="3"/>
  <c r="L81" i="3"/>
  <c r="L188" i="3"/>
  <c r="L189" i="3"/>
  <c r="L190" i="3"/>
  <c r="L154" i="3"/>
  <c r="L155" i="3"/>
  <c r="L156" i="3"/>
  <c r="L157" i="3"/>
  <c r="L82" i="3"/>
  <c r="L83" i="3"/>
  <c r="L84" i="3"/>
  <c r="L6" i="3"/>
  <c r="L191" i="3"/>
  <c r="L192" i="3"/>
  <c r="L158" i="3"/>
  <c r="L159" i="3"/>
  <c r="L43" i="3"/>
  <c r="L44" i="3"/>
  <c r="L17" i="3"/>
  <c r="L127" i="3"/>
  <c r="L128" i="3"/>
  <c r="L129" i="3"/>
  <c r="L7" i="3"/>
  <c r="L45" i="3"/>
  <c r="L46" i="3"/>
  <c r="L85" i="3"/>
  <c r="L193" i="3"/>
  <c r="L86" i="3"/>
  <c r="L87" i="3"/>
  <c r="L88" i="3"/>
  <c r="L47" i="3"/>
  <c r="L89" i="3"/>
  <c r="L90" i="3"/>
  <c r="L91" i="3"/>
  <c r="L92" i="3"/>
  <c r="L194" i="3"/>
  <c r="L195" i="3"/>
  <c r="L196" i="3"/>
  <c r="L197" i="3"/>
  <c r="L198" i="3"/>
  <c r="L199" i="3"/>
  <c r="L200" i="3"/>
  <c r="L48" i="3"/>
  <c r="L49" i="3"/>
  <c r="L130" i="3"/>
  <c r="L131" i="3"/>
  <c r="L18" i="3"/>
  <c r="L19" i="3"/>
  <c r="L160" i="3"/>
  <c r="L161" i="3"/>
  <c r="L20" i="3"/>
  <c r="L201" i="3"/>
  <c r="L202" i="3"/>
  <c r="L203" i="3"/>
  <c r="L93" i="3"/>
  <c r="L204" i="3"/>
  <c r="L162" i="3"/>
  <c r="L163" i="3"/>
  <c r="L164" i="3"/>
  <c r="L165" i="3"/>
  <c r="L205" i="3"/>
  <c r="L21" i="3"/>
  <c r="L206" i="3"/>
  <c r="L207" i="3"/>
  <c r="L208" i="3"/>
  <c r="L209" i="3"/>
  <c r="L94" i="3"/>
  <c r="L95" i="3"/>
  <c r="L22" i="3"/>
  <c r="L23" i="3"/>
  <c r="L24" i="3"/>
  <c r="L210" i="3"/>
  <c r="L211" i="3"/>
  <c r="L166" i="3"/>
  <c r="L167" i="3"/>
  <c r="L168" i="3"/>
  <c r="L169" i="3"/>
  <c r="L50" i="3"/>
  <c r="L212" i="3"/>
  <c r="L96" i="3"/>
  <c r="L98" i="3"/>
  <c r="K215" i="3" l="1"/>
  <c r="K24" i="10"/>
  <c r="L78" i="9"/>
  <c r="P78" i="9"/>
  <c r="D13" i="12" s="1"/>
  <c r="N162" i="7"/>
  <c r="L213" i="3"/>
  <c r="J24" i="10" s="1"/>
  <c r="L170" i="3"/>
  <c r="L143" i="3"/>
  <c r="J22" i="10" s="1"/>
  <c r="L132" i="3"/>
  <c r="J21" i="10" s="1"/>
  <c r="L107" i="3"/>
  <c r="L100" i="3"/>
  <c r="J12" i="10" s="1"/>
  <c r="L97" i="3"/>
  <c r="J8" i="10" s="1"/>
  <c r="L51" i="3"/>
  <c r="J7" i="10" s="1"/>
  <c r="L25" i="3"/>
  <c r="J18" i="10" s="1"/>
  <c r="L8" i="3"/>
  <c r="J6" i="10" s="1"/>
  <c r="K35" i="4"/>
  <c r="K9" i="4"/>
  <c r="L6" i="4"/>
  <c r="L7" i="4"/>
  <c r="L8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5" i="4"/>
  <c r="K84" i="6"/>
  <c r="K27" i="6"/>
  <c r="K17" i="6"/>
  <c r="K6" i="6"/>
  <c r="L18" i="6"/>
  <c r="L19" i="6"/>
  <c r="L20" i="6"/>
  <c r="L29" i="6"/>
  <c r="L30" i="6"/>
  <c r="L31" i="6"/>
  <c r="L7" i="6"/>
  <c r="L32" i="6"/>
  <c r="L33" i="6"/>
  <c r="L34" i="6"/>
  <c r="L35" i="6"/>
  <c r="L36" i="6"/>
  <c r="L8" i="6"/>
  <c r="L37" i="6"/>
  <c r="L38" i="6"/>
  <c r="L39" i="6"/>
  <c r="L21" i="6"/>
  <c r="L40" i="6"/>
  <c r="L41" i="6"/>
  <c r="L9" i="6"/>
  <c r="L42" i="6"/>
  <c r="L22" i="6"/>
  <c r="L43" i="6"/>
  <c r="L44" i="6"/>
  <c r="L45" i="6"/>
  <c r="L10" i="6"/>
  <c r="L46" i="6"/>
  <c r="L47" i="6"/>
  <c r="L48" i="6"/>
  <c r="L11" i="6"/>
  <c r="L49" i="6"/>
  <c r="L50" i="6"/>
  <c r="L51" i="6"/>
  <c r="L52" i="6"/>
  <c r="L53" i="6"/>
  <c r="L54" i="6"/>
  <c r="L55" i="6"/>
  <c r="L5" i="6"/>
  <c r="L56" i="6"/>
  <c r="L23" i="6"/>
  <c r="L24" i="6"/>
  <c r="L57" i="6"/>
  <c r="L58" i="6"/>
  <c r="L12" i="6"/>
  <c r="L59" i="6"/>
  <c r="L13" i="6"/>
  <c r="L60" i="6"/>
  <c r="L61" i="6"/>
  <c r="L62" i="6"/>
  <c r="L63" i="6"/>
  <c r="L25" i="6"/>
  <c r="L26" i="6"/>
  <c r="L64" i="6"/>
  <c r="L65" i="6"/>
  <c r="L66" i="6"/>
  <c r="L67" i="6"/>
  <c r="L68" i="6"/>
  <c r="L69" i="6"/>
  <c r="L70" i="6"/>
  <c r="L71" i="6"/>
  <c r="L72" i="6"/>
  <c r="L14" i="6"/>
  <c r="L73" i="6"/>
  <c r="L74" i="6"/>
  <c r="L75" i="6"/>
  <c r="L76" i="6"/>
  <c r="L77" i="6"/>
  <c r="L78" i="6"/>
  <c r="L15" i="6"/>
  <c r="L79" i="6"/>
  <c r="L80" i="6"/>
  <c r="L81" i="6"/>
  <c r="L16" i="6"/>
  <c r="L82" i="6"/>
  <c r="L83" i="6"/>
  <c r="L28" i="6"/>
  <c r="K49" i="11"/>
  <c r="K51" i="11" s="1"/>
  <c r="K9" i="11"/>
  <c r="L11" i="11"/>
  <c r="L12" i="11"/>
  <c r="L13" i="11"/>
  <c r="L5" i="11"/>
  <c r="L14" i="11"/>
  <c r="L6" i="11"/>
  <c r="L15" i="11"/>
  <c r="L16" i="11"/>
  <c r="L17" i="11"/>
  <c r="L7" i="11"/>
  <c r="L8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10" i="11"/>
  <c r="K209" i="8"/>
  <c r="K111" i="8"/>
  <c r="K108" i="8"/>
  <c r="K105" i="8"/>
  <c r="K101" i="8"/>
  <c r="K68" i="8"/>
  <c r="K49" i="8"/>
  <c r="K15" i="8"/>
  <c r="L50" i="8"/>
  <c r="L113" i="8"/>
  <c r="L114" i="8"/>
  <c r="L16" i="8"/>
  <c r="L115" i="8"/>
  <c r="L116" i="8"/>
  <c r="L17" i="8"/>
  <c r="L117" i="8"/>
  <c r="L118" i="8"/>
  <c r="L119" i="8"/>
  <c r="L18" i="8"/>
  <c r="L19" i="8"/>
  <c r="L106" i="8"/>
  <c r="L20" i="8"/>
  <c r="L120" i="8"/>
  <c r="L51" i="8"/>
  <c r="L121" i="8"/>
  <c r="L122" i="8"/>
  <c r="L123" i="8"/>
  <c r="L124" i="8"/>
  <c r="L125" i="8"/>
  <c r="L5" i="8"/>
  <c r="L21" i="8"/>
  <c r="L22" i="8"/>
  <c r="L23" i="8"/>
  <c r="L126" i="8"/>
  <c r="L52" i="8"/>
  <c r="L127" i="8"/>
  <c r="L128" i="8"/>
  <c r="L129" i="8"/>
  <c r="L130" i="8"/>
  <c r="L131" i="8"/>
  <c r="L24" i="8"/>
  <c r="L132" i="8"/>
  <c r="L53" i="8"/>
  <c r="L133" i="8"/>
  <c r="L25" i="8"/>
  <c r="L26" i="8"/>
  <c r="L54" i="8"/>
  <c r="L55" i="8"/>
  <c r="L134" i="8"/>
  <c r="L135" i="8"/>
  <c r="L136" i="8"/>
  <c r="L137" i="8"/>
  <c r="L138" i="8"/>
  <c r="L139" i="8"/>
  <c r="L56" i="8"/>
  <c r="L140" i="8"/>
  <c r="L141" i="8"/>
  <c r="L142" i="8"/>
  <c r="L143" i="8"/>
  <c r="L57" i="8"/>
  <c r="L144" i="8"/>
  <c r="L27" i="8"/>
  <c r="L28" i="8"/>
  <c r="L145" i="8"/>
  <c r="L146" i="8"/>
  <c r="L6" i="8"/>
  <c r="L147" i="8"/>
  <c r="L148" i="8"/>
  <c r="L58" i="8"/>
  <c r="L29" i="8"/>
  <c r="L149" i="8"/>
  <c r="L150" i="8"/>
  <c r="L151" i="8"/>
  <c r="L59" i="8"/>
  <c r="L7" i="8"/>
  <c r="L152" i="8"/>
  <c r="L153" i="8"/>
  <c r="L154" i="8"/>
  <c r="L155" i="8"/>
  <c r="L30" i="8"/>
  <c r="L60" i="8"/>
  <c r="L156" i="8"/>
  <c r="L69" i="8"/>
  <c r="L157" i="8"/>
  <c r="L158" i="8"/>
  <c r="L159" i="8"/>
  <c r="L160" i="8"/>
  <c r="L8" i="8"/>
  <c r="L31" i="8"/>
  <c r="L70" i="8"/>
  <c r="L71" i="8"/>
  <c r="L161" i="8"/>
  <c r="L162" i="8"/>
  <c r="L72" i="8"/>
  <c r="L61" i="8"/>
  <c r="L163" i="8"/>
  <c r="L164" i="8"/>
  <c r="L102" i="8"/>
  <c r="L103" i="8"/>
  <c r="L165" i="8"/>
  <c r="L166" i="8"/>
  <c r="L9" i="8"/>
  <c r="L167" i="8"/>
  <c r="L168" i="8"/>
  <c r="L32" i="8"/>
  <c r="L33" i="8"/>
  <c r="L169" i="8"/>
  <c r="L109" i="8"/>
  <c r="L104" i="8"/>
  <c r="L73" i="8"/>
  <c r="L170" i="8"/>
  <c r="L171" i="8"/>
  <c r="L172" i="8"/>
  <c r="L62" i="8"/>
  <c r="L110" i="8"/>
  <c r="L74" i="8"/>
  <c r="L34" i="8"/>
  <c r="L75" i="8"/>
  <c r="L10" i="8"/>
  <c r="L11" i="8"/>
  <c r="L173" i="8"/>
  <c r="L174" i="8"/>
  <c r="L175" i="8"/>
  <c r="L176" i="8"/>
  <c r="L76" i="8"/>
  <c r="L63" i="8"/>
  <c r="L35" i="8"/>
  <c r="L77" i="8"/>
  <c r="L78" i="8"/>
  <c r="L36" i="8"/>
  <c r="L177" i="8"/>
  <c r="L178" i="8"/>
  <c r="L179" i="8"/>
  <c r="L37" i="8"/>
  <c r="L180" i="8"/>
  <c r="L38" i="8"/>
  <c r="L79" i="8"/>
  <c r="L80" i="8"/>
  <c r="L181" i="8"/>
  <c r="L12" i="8"/>
  <c r="L182" i="8"/>
  <c r="L183" i="8"/>
  <c r="L184" i="8"/>
  <c r="L39" i="8"/>
  <c r="L40" i="8"/>
  <c r="L41" i="8"/>
  <c r="L42" i="8"/>
  <c r="L64" i="8"/>
  <c r="L81" i="8"/>
  <c r="L185" i="8"/>
  <c r="L186" i="8"/>
  <c r="L187" i="8"/>
  <c r="L188" i="8"/>
  <c r="L13" i="8"/>
  <c r="L43" i="8"/>
  <c r="L44" i="8"/>
  <c r="L45" i="8"/>
  <c r="L82" i="8"/>
  <c r="L65" i="8"/>
  <c r="L46" i="8"/>
  <c r="L189" i="8"/>
  <c r="L83" i="8"/>
  <c r="L190" i="8"/>
  <c r="L84" i="8"/>
  <c r="L191" i="8"/>
  <c r="L107" i="8"/>
  <c r="L85" i="8"/>
  <c r="L86" i="8"/>
  <c r="L87" i="8"/>
  <c r="L192" i="8"/>
  <c r="L193" i="8"/>
  <c r="L88" i="8"/>
  <c r="L194" i="8"/>
  <c r="L66" i="8"/>
  <c r="L89" i="8"/>
  <c r="L90" i="8"/>
  <c r="L91" i="8"/>
  <c r="L195" i="8"/>
  <c r="L92" i="8"/>
  <c r="L47" i="8"/>
  <c r="L196" i="8"/>
  <c r="L93" i="8"/>
  <c r="L197" i="8"/>
  <c r="L198" i="8"/>
  <c r="L199" i="8"/>
  <c r="L200" i="8"/>
  <c r="L94" i="8"/>
  <c r="L48" i="8"/>
  <c r="L95" i="8"/>
  <c r="L67" i="8"/>
  <c r="L201" i="8"/>
  <c r="L202" i="8"/>
  <c r="L203" i="8"/>
  <c r="L204" i="8"/>
  <c r="L205" i="8"/>
  <c r="L96" i="8"/>
  <c r="L14" i="8"/>
  <c r="L206" i="8"/>
  <c r="L97" i="8"/>
  <c r="L98" i="8"/>
  <c r="L207" i="8"/>
  <c r="L208" i="8"/>
  <c r="L99" i="8"/>
  <c r="L100" i="8"/>
  <c r="L112" i="8"/>
  <c r="K160" i="7"/>
  <c r="K64" i="7"/>
  <c r="K44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5" i="7"/>
  <c r="K22" i="5"/>
  <c r="K20" i="5"/>
  <c r="K124" i="5"/>
  <c r="K126" i="5" s="1"/>
  <c r="L24" i="5"/>
  <c r="L25" i="5"/>
  <c r="L26" i="5"/>
  <c r="L27" i="5"/>
  <c r="L5" i="5"/>
  <c r="L28" i="5"/>
  <c r="L29" i="5"/>
  <c r="L30" i="5"/>
  <c r="L31" i="5"/>
  <c r="L32" i="5"/>
  <c r="L33" i="5"/>
  <c r="L34" i="5"/>
  <c r="L35" i="5"/>
  <c r="L36" i="5"/>
  <c r="L37" i="5"/>
  <c r="L38" i="5"/>
  <c r="L39" i="5"/>
  <c r="L6" i="5"/>
  <c r="L7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8" i="5"/>
  <c r="L53" i="5"/>
  <c r="L54" i="5"/>
  <c r="L55" i="5"/>
  <c r="L56" i="5"/>
  <c r="L57" i="5"/>
  <c r="L58" i="5"/>
  <c r="L59" i="5"/>
  <c r="L60" i="5"/>
  <c r="L61" i="5"/>
  <c r="L21" i="5"/>
  <c r="L62" i="5"/>
  <c r="L9" i="5"/>
  <c r="L63" i="5"/>
  <c r="L64" i="5"/>
  <c r="L65" i="5"/>
  <c r="L66" i="5"/>
  <c r="L10" i="5"/>
  <c r="L67" i="5"/>
  <c r="L68" i="5"/>
  <c r="L69" i="5"/>
  <c r="L70" i="5"/>
  <c r="L71" i="5"/>
  <c r="L72" i="5"/>
  <c r="L73" i="5"/>
  <c r="L74" i="5"/>
  <c r="L11" i="5"/>
  <c r="L75" i="5"/>
  <c r="L76" i="5"/>
  <c r="L77" i="5"/>
  <c r="L78" i="5"/>
  <c r="L79" i="5"/>
  <c r="L80" i="5"/>
  <c r="L81" i="5"/>
  <c r="L12" i="5"/>
  <c r="L82" i="5"/>
  <c r="L83" i="5"/>
  <c r="L84" i="5"/>
  <c r="L13" i="5"/>
  <c r="L85" i="5"/>
  <c r="L86" i="5"/>
  <c r="L14" i="5"/>
  <c r="L87" i="5"/>
  <c r="L88" i="5"/>
  <c r="L15" i="5"/>
  <c r="L16" i="5"/>
  <c r="L89" i="5"/>
  <c r="L90" i="5"/>
  <c r="L91" i="5"/>
  <c r="L92" i="5"/>
  <c r="L93" i="5"/>
  <c r="L94" i="5"/>
  <c r="L95" i="5"/>
  <c r="L96" i="5"/>
  <c r="L97" i="5"/>
  <c r="L1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8" i="5"/>
  <c r="L113" i="5"/>
  <c r="L114" i="5"/>
  <c r="L115" i="5"/>
  <c r="L116" i="5"/>
  <c r="L117" i="5"/>
  <c r="L118" i="5"/>
  <c r="L119" i="5"/>
  <c r="L120" i="5"/>
  <c r="L121" i="5"/>
  <c r="L122" i="5"/>
  <c r="L19" i="5"/>
  <c r="L123" i="5"/>
  <c r="L23" i="5"/>
  <c r="J15" i="10" l="1"/>
  <c r="N107" i="3"/>
  <c r="N132" i="3"/>
  <c r="N51" i="3"/>
  <c r="N100" i="3"/>
  <c r="N25" i="3"/>
  <c r="N213" i="3"/>
  <c r="N97" i="3"/>
  <c r="N8" i="3"/>
  <c r="N170" i="3"/>
  <c r="N143" i="3"/>
  <c r="K37" i="4"/>
  <c r="L6" i="6"/>
  <c r="H6" i="10" s="1"/>
  <c r="K86" i="6"/>
  <c r="L108" i="8"/>
  <c r="F13" i="10" s="1"/>
  <c r="L111" i="8"/>
  <c r="F15" i="10" s="1"/>
  <c r="L101" i="8"/>
  <c r="F8" i="10" s="1"/>
  <c r="K211" i="8"/>
  <c r="L68" i="8"/>
  <c r="F7" i="10" s="1"/>
  <c r="K162" i="7"/>
  <c r="P44" i="7"/>
  <c r="P160" i="7"/>
  <c r="P64" i="7"/>
  <c r="L44" i="7"/>
  <c r="E6" i="10" s="1"/>
  <c r="L20" i="5"/>
  <c r="D6" i="10" s="1"/>
  <c r="L124" i="5"/>
  <c r="L22" i="5"/>
  <c r="D14" i="10" s="1"/>
  <c r="L215" i="3"/>
  <c r="L35" i="4"/>
  <c r="I15" i="10" s="1"/>
  <c r="L9" i="4"/>
  <c r="I6" i="10"/>
  <c r="L84" i="6"/>
  <c r="H24" i="10" s="1"/>
  <c r="L27" i="6"/>
  <c r="H13" i="10" s="1"/>
  <c r="H25" i="10" s="1"/>
  <c r="L17" i="6"/>
  <c r="H7" i="10" s="1"/>
  <c r="L49" i="11"/>
  <c r="G24" i="10" s="1"/>
  <c r="L9" i="11"/>
  <c r="G6" i="10" s="1"/>
  <c r="G25" i="10" s="1"/>
  <c r="L209" i="8"/>
  <c r="L105" i="8"/>
  <c r="F9" i="10" s="1"/>
  <c r="L9" i="10" s="1"/>
  <c r="L49" i="8"/>
  <c r="F18" i="10" s="1"/>
  <c r="L18" i="10" s="1"/>
  <c r="L15" i="8"/>
  <c r="F6" i="10" s="1"/>
  <c r="L160" i="7"/>
  <c r="L64" i="7"/>
  <c r="E7" i="10" s="1"/>
  <c r="L14" i="10"/>
  <c r="L3" i="10"/>
  <c r="L12" i="10"/>
  <c r="L16" i="10"/>
  <c r="L17" i="10"/>
  <c r="L20" i="10"/>
  <c r="L19" i="10"/>
  <c r="L11" i="10"/>
  <c r="J200" i="1"/>
  <c r="I200" i="1"/>
  <c r="L5" i="10"/>
  <c r="K25" i="10"/>
  <c r="L21" i="10"/>
  <c r="J25" i="10"/>
  <c r="L23" i="10"/>
  <c r="L22" i="10"/>
  <c r="L7" i="10" l="1"/>
  <c r="P132" i="3"/>
  <c r="P8" i="3"/>
  <c r="P107" i="3"/>
  <c r="P97" i="3"/>
  <c r="P100" i="3"/>
  <c r="P25" i="3"/>
  <c r="P51" i="3"/>
  <c r="N215" i="3"/>
  <c r="C12" i="12" s="1"/>
  <c r="P143" i="3"/>
  <c r="P213" i="3"/>
  <c r="P170" i="3"/>
  <c r="N35" i="4"/>
  <c r="N9" i="4"/>
  <c r="L13" i="10"/>
  <c r="N84" i="6"/>
  <c r="N17" i="6"/>
  <c r="N27" i="6"/>
  <c r="N49" i="11"/>
  <c r="N9" i="11"/>
  <c r="N105" i="8"/>
  <c r="L15" i="10"/>
  <c r="N111" i="8"/>
  <c r="N49" i="8"/>
  <c r="N209" i="8"/>
  <c r="N15" i="8"/>
  <c r="P162" i="7"/>
  <c r="E24" i="10"/>
  <c r="E25" i="10" s="1"/>
  <c r="L162" i="7"/>
  <c r="N22" i="5"/>
  <c r="N20" i="5"/>
  <c r="L126" i="5"/>
  <c r="D24" i="10"/>
  <c r="D25" i="10" s="1"/>
  <c r="N124" i="5"/>
  <c r="N126" i="5" s="1"/>
  <c r="L37" i="4"/>
  <c r="I25" i="10"/>
  <c r="L86" i="6"/>
  <c r="L51" i="11"/>
  <c r="L211" i="8"/>
  <c r="F24" i="10"/>
  <c r="F25" i="10" s="1"/>
  <c r="L8" i="10"/>
  <c r="L6" i="10"/>
  <c r="P215" i="3" l="1"/>
  <c r="D12" i="12" s="1"/>
  <c r="G12" i="12" s="1"/>
  <c r="P9" i="4"/>
  <c r="N37" i="4"/>
  <c r="C11" i="12" s="1"/>
  <c r="P35" i="4"/>
  <c r="P27" i="6"/>
  <c r="P17" i="6"/>
  <c r="P84" i="6"/>
  <c r="N6" i="6"/>
  <c r="N86" i="6" s="1"/>
  <c r="C10" i="12" s="1"/>
  <c r="N51" i="11"/>
  <c r="P9" i="11"/>
  <c r="P49" i="11"/>
  <c r="P209" i="8"/>
  <c r="P111" i="8"/>
  <c r="N108" i="8"/>
  <c r="P15" i="8"/>
  <c r="P49" i="8"/>
  <c r="P105" i="8"/>
  <c r="N68" i="8"/>
  <c r="N101" i="8"/>
  <c r="P124" i="5"/>
  <c r="L24" i="10"/>
  <c r="L25" i="10" s="1"/>
  <c r="P20" i="5"/>
  <c r="P22" i="5"/>
  <c r="P37" i="4" l="1"/>
  <c r="D11" i="12" s="1"/>
  <c r="G11" i="12" s="1"/>
  <c r="P6" i="6"/>
  <c r="P86" i="6" s="1"/>
  <c r="D10" i="12" s="1"/>
  <c r="G10" i="12" s="1"/>
  <c r="P51" i="11"/>
  <c r="N211" i="8"/>
  <c r="C8" i="12" s="1"/>
  <c r="C15" i="12" s="1"/>
  <c r="P68" i="8"/>
  <c r="P108" i="8"/>
  <c r="P101" i="8"/>
  <c r="P126" i="5"/>
  <c r="P211" i="8" l="1"/>
  <c r="D8" i="12" s="1"/>
  <c r="D15" i="12" l="1"/>
  <c r="E8" i="12" s="1"/>
  <c r="E6" i="12" l="1"/>
  <c r="E11" i="12"/>
  <c r="E13" i="12"/>
  <c r="E7" i="12"/>
  <c r="E9" i="12"/>
  <c r="E10" i="12"/>
  <c r="E12" i="12"/>
  <c r="E15" i="12" l="1"/>
</calcChain>
</file>

<file path=xl/sharedStrings.xml><?xml version="1.0" encoding="utf-8"?>
<sst xmlns="http://schemas.openxmlformats.org/spreadsheetml/2006/main" count="14036" uniqueCount="1516">
  <si>
    <t>APFLU EFFERVESCENT POWDER,FA,10X13.1GM</t>
  </si>
  <si>
    <t>SAH</t>
  </si>
  <si>
    <t>BIDOX CAP 100MG,IRQ,10X10</t>
  </si>
  <si>
    <t>Bl</t>
  </si>
  <si>
    <t>CO-ALTRA PED CT 5/5MG,PHL,3X10</t>
  </si>
  <si>
    <t>APIFEN TAB 400MG,IRQ,10X10</t>
  </si>
  <si>
    <t>FIXIM ORAL SUSPENSION 100MG/5ML,FA,60ML</t>
  </si>
  <si>
    <t>BT</t>
  </si>
  <si>
    <t>AQUASOFT SOAP,S/K,75GM</t>
  </si>
  <si>
    <t>EA</t>
  </si>
  <si>
    <t>FEDATE SYRUP,APML,200ML</t>
  </si>
  <si>
    <t>TAMPLUS CAP 400MCG/5MG,PHL,3X10</t>
  </si>
  <si>
    <t>LOXIM TAB 15MG,IRQ,2X10</t>
  </si>
  <si>
    <t>APKEF CAP 500MG,IRQ,10X10</t>
  </si>
  <si>
    <t>APKEF CAP 250MG,IRQ,10X10</t>
  </si>
  <si>
    <t>PINKOO GRIPE WATER,G.EXP,120ML</t>
  </si>
  <si>
    <t>OPTIFENAC SR TAB 100MG,IRQ,2X10</t>
  </si>
  <si>
    <t>APDYL H SYRUP,G.EXP,100ML</t>
  </si>
  <si>
    <t>FIXIM TAB 200MG,SA/G.EXP,1X10</t>
  </si>
  <si>
    <t>APCALIS SX TAB 20MG,G.EXP,2X2</t>
  </si>
  <si>
    <t>NIM TAB 100MG,APML,3X10</t>
  </si>
  <si>
    <t>PEROBAR SOAP 5%,G.EXP,75GM</t>
  </si>
  <si>
    <t>PEROBAR SOAP 2.5%,G.EXP,75GM</t>
  </si>
  <si>
    <t>ARTEFAN SUSP 180/1080MG,B.FASO,60ML</t>
  </si>
  <si>
    <t>DUOCID POWDER 20/1680M,BOL,30</t>
  </si>
  <si>
    <t>OPTIFENAC SR TAB 100MG,LBY,2X10</t>
  </si>
  <si>
    <t>DERMOCUTYL SOAP 5%,BOL,75GM</t>
  </si>
  <si>
    <t>ROSUFEN TAB 10/160MG,PHL,3X10</t>
  </si>
  <si>
    <t>ROSUFEN TAB 20/160MG,PHL,3X10</t>
  </si>
  <si>
    <t>TRICOZ TAB 35MG,FA,6X10</t>
  </si>
  <si>
    <t>LEVOTOP TAB 500MG,IRQ,1X10</t>
  </si>
  <si>
    <t>KAMAGRA TAB 100MG,D.EXP,1X4(BL FOIL MRP)</t>
  </si>
  <si>
    <t>COLINIL DROPS,FA,15ML</t>
  </si>
  <si>
    <t>TRIMOL OINTMENT,KAZ/RUS,25GM</t>
  </si>
  <si>
    <t>Tb</t>
  </si>
  <si>
    <t>KAMAGRA GOLD TAB 100MG,WA,1X4,WITH CTN</t>
  </si>
  <si>
    <t>KAMAGRA GOLD TAB 100MG,WA,1X4,W/O CTN</t>
  </si>
  <si>
    <t>AQUASOFT MOISTURISING LOTION,T/U/S,100ML</t>
  </si>
  <si>
    <t>APDROPS EYE DROPS 0.5%,KAZ,5ML</t>
  </si>
  <si>
    <t>VL</t>
  </si>
  <si>
    <t>BIDIN LS EYE DROPS,5ML</t>
  </si>
  <si>
    <t>$O$BIDIN T EYE DROPS,5ML</t>
  </si>
  <si>
    <t>MELACARE FORTE CREAM,20GM</t>
  </si>
  <si>
    <t>TRILAST HAIR CARE LOTION,60ML</t>
  </si>
  <si>
    <t>PACROMA CREAM,10GM</t>
  </si>
  <si>
    <t>MELRIO CREAM,20GM</t>
  </si>
  <si>
    <t>SALISIA KT SHAMPOO,60ML</t>
  </si>
  <si>
    <t>AQUASOFT LOTION,100ML</t>
  </si>
  <si>
    <t>IVREA SHAMPOO,30ML</t>
  </si>
  <si>
    <t>APDROPS PD EYE DROPS,10ML</t>
  </si>
  <si>
    <t>GATE P EYE DROPS,10ML (BF)</t>
  </si>
  <si>
    <t>VIVETA CREAM,5GM</t>
  </si>
  <si>
    <t>HUMIDERM CREAM,100GM</t>
  </si>
  <si>
    <t>AQUASOFT MAX CREAM,100GM</t>
  </si>
  <si>
    <t>NEPAFLAM EYE DROPS,5ML</t>
  </si>
  <si>
    <t>METXL TAB 25MG,15</t>
  </si>
  <si>
    <t>METXL AM TAB 25/5MG,15</t>
  </si>
  <si>
    <t>METXL AM TAB 50/5MG,15</t>
  </si>
  <si>
    <t>BRIVEX EYE DROPS,5ML</t>
  </si>
  <si>
    <t>CINOD TAB 5MG,15</t>
  </si>
  <si>
    <t>CINOD TAB 10MG,15</t>
  </si>
  <si>
    <t>CINOD TAB 20MG,15</t>
  </si>
  <si>
    <t>ALCAREX EYE DROPS,5ML</t>
  </si>
  <si>
    <t>AQUALUBE EYE DROPS,10ML</t>
  </si>
  <si>
    <t>ILAPRO TAB 10MG,10</t>
  </si>
  <si>
    <t>STP</t>
  </si>
  <si>
    <t>METXL H TAB 50MG,15</t>
  </si>
  <si>
    <t>SUNSTOP AQUAGEL,60GM</t>
  </si>
  <si>
    <t>TOVAXO EYE DROPS,2.5ML (BF)</t>
  </si>
  <si>
    <t>GATE HS EYE DROPS,2.5ML</t>
  </si>
  <si>
    <t>$O$BIMAT LS EYE DROPS,3ML</t>
  </si>
  <si>
    <t>BESIX EYE DROPS,5ML</t>
  </si>
  <si>
    <t>SOFTDROPS LIQUIGEL EYE DROPS,10ML</t>
  </si>
  <si>
    <t>UNIBROM EYE DROPS,5ML</t>
  </si>
  <si>
    <t>SOFTDROPS EYE DROPS,10ML</t>
  </si>
  <si>
    <t>MAXMOIST EYE DROPS,10ML</t>
  </si>
  <si>
    <t>LOTEL EYE GEL,5ML</t>
  </si>
  <si>
    <t>LOTEL LS GEL,5ML</t>
  </si>
  <si>
    <t>APDROPS DM EYE DROPS,5ML (BF)</t>
  </si>
  <si>
    <t>VANIZA GEL,10GM</t>
  </si>
  <si>
    <t>SUNSTOP 19 CREAM,60GM</t>
  </si>
  <si>
    <t>IVREA CREAM 1%,30GM</t>
  </si>
  <si>
    <t>AQUASOFT FC CREAM,100GM</t>
  </si>
  <si>
    <t>BETOACT EYE DROPS,5ML (BF)</t>
  </si>
  <si>
    <t>BLISE FACE WASH GEL,100GM</t>
  </si>
  <si>
    <t>IFLOMAX GEL,7.5GM</t>
  </si>
  <si>
    <t>OLOPAT EYE DROPS,5ML (BF)</t>
  </si>
  <si>
    <t>OLOPAT MAX EYE DROPS,5ML (BF)</t>
  </si>
  <si>
    <t>OPTIDEW EYE DROPS,10ML</t>
  </si>
  <si>
    <t>BRIDIC EYE DROPS,5ML</t>
  </si>
  <si>
    <t>BRIVIZAC EYE DROPS,5ML</t>
  </si>
  <si>
    <t>LUCOZ CREAM,50GM</t>
  </si>
  <si>
    <t>ILUMAX CREAM,20GM</t>
  </si>
  <si>
    <t>BIMAT LS EYE DROPS,3ML</t>
  </si>
  <si>
    <t>OLOPATADINE HCL OPH SOL,5ML(ISS)</t>
  </si>
  <si>
    <t>MOXI &amp; PREDNI ACET OPH SUSP,5ML(ISS)</t>
  </si>
  <si>
    <t>GATE EYE DROPS,5ML(ISS)</t>
  </si>
  <si>
    <t>LUCOZ CREAM,10GM(ISS)</t>
  </si>
  <si>
    <t>DUOCID POWDER 20/1680M,BOL,2</t>
  </si>
  <si>
    <t>FIXIM TAB 200MG,FA/G.EXP,1X10</t>
  </si>
  <si>
    <t>NIM TAB 100MG,FA,3X10</t>
  </si>
  <si>
    <t>BRIVEX EYE DROPS,2.5ML,PS</t>
  </si>
  <si>
    <t>IVREA SHAMPOO,10ML,PS</t>
  </si>
  <si>
    <t>LICOZAC CREAM,5GM,PS</t>
  </si>
  <si>
    <t>LOTEL LS GEL,2.5ML,PS</t>
  </si>
  <si>
    <t>LUCOZ CREAM,5GM,PS</t>
  </si>
  <si>
    <t>SOFTDROPS LIQUIGEL EYE DROPS,2.5ML,PS</t>
  </si>
  <si>
    <t>SUNSTOP AQUAGEL,10GM,PS</t>
  </si>
  <si>
    <t>APRAMOL EFF TAB 500MG,G.EXP,2X8</t>
  </si>
  <si>
    <t>BETOACT EYE DROPS,2.5ML,PS (BF)</t>
  </si>
  <si>
    <t>OLOPAT MAX EYE DROPS,2.5ML,PS (BF)</t>
  </si>
  <si>
    <t>GATE HS EYE DROP,2.5ML,PS</t>
  </si>
  <si>
    <t>ILUMAX CREAM,5GM,PS</t>
  </si>
  <si>
    <t>OPTIDEW EYE DROPS,2.5ML,PS</t>
  </si>
  <si>
    <t>BRIVIZAC EYE DROPS,2.5ML,PS</t>
  </si>
  <si>
    <t>Material description</t>
  </si>
  <si>
    <t>Plant Code</t>
  </si>
  <si>
    <t>Plant Name</t>
  </si>
  <si>
    <t>Material code</t>
  </si>
  <si>
    <t>Material Class</t>
  </si>
  <si>
    <t>Unit</t>
  </si>
  <si>
    <t xml:space="preserve">Prodn. Qty. </t>
  </si>
  <si>
    <t>Prodn. Qty. in Nos</t>
  </si>
  <si>
    <t>PREMIER NUTRACEUTICALS PVT LTD UNIT-II</t>
  </si>
  <si>
    <t>VOVANTIS LABORATORIES PVT. LTD</t>
  </si>
  <si>
    <t>SKYBIOTECH LIFE SCIENCES P. LTD</t>
  </si>
  <si>
    <t>ATRA PHARMACEUTICALS LIMITED</t>
  </si>
  <si>
    <t>VAPI CARE PHARMA PVT LTD</t>
  </si>
  <si>
    <t>AFFY PARENTERALS</t>
  </si>
  <si>
    <t>SYNERGY SYSTEM</t>
  </si>
  <si>
    <t>SAVERA PHARMACEUTICALS PVT LTD</t>
  </si>
  <si>
    <t>SUNRISE INTERNATIONAL LABS LIMITED</t>
  </si>
  <si>
    <t>BINNI LABORATORIES PVT. LTD.</t>
  </si>
  <si>
    <t>HEALTHCARE FORMULATIONS PVT LTD</t>
  </si>
  <si>
    <t>M.R.HEALTHCARE PVT. LTD</t>
  </si>
  <si>
    <t>PRAKRUTI LIFE SCIENCE PVT LTD</t>
  </si>
  <si>
    <t>N V PHARMA</t>
  </si>
  <si>
    <t>SHEFA HEALTHCARE PVT. LTD</t>
  </si>
  <si>
    <t>KANHA BIOGENETIC</t>
  </si>
  <si>
    <t>ADORE PHARMA PVT. LTD.</t>
  </si>
  <si>
    <t>LINCOLN PARENTERAL LIMITED</t>
  </si>
  <si>
    <t xml:space="preserve">BAL PHARMA LIMITED </t>
  </si>
  <si>
    <t>YASH PHARMACEUTICALS</t>
  </si>
  <si>
    <t>BRASSICA PHARMA PVT. LTD.</t>
  </si>
  <si>
    <t>SYNCOM HEALTHCARE LTD.</t>
  </si>
  <si>
    <t>ZEN PHARMA PVT. LTD</t>
  </si>
  <si>
    <t>VIVIMED LABS LIMITED</t>
  </si>
  <si>
    <t>CHERYL LABORATORIES PVT LTD</t>
  </si>
  <si>
    <t>MAKCUR LABORATORIES LTD</t>
  </si>
  <si>
    <t>CRESCENT THERAPEUTICS LTD.</t>
  </si>
  <si>
    <t>INDIANA OPHTHALMICS</t>
  </si>
  <si>
    <t>NITIN LIFE SCIENCES LTD.</t>
  </si>
  <si>
    <t>SAMRUDH PHARMACARE PVT LTD</t>
  </si>
  <si>
    <t>EUROLIFE HEALTHCARE PVT LTD.</t>
  </si>
  <si>
    <t>Z_POWDER</t>
  </si>
  <si>
    <t>Z_DRY_POWDER_SUSPN</t>
  </si>
  <si>
    <t>Z_SOAP</t>
  </si>
  <si>
    <t>Z_SYRUP</t>
  </si>
  <si>
    <t>Z_TABLET</t>
  </si>
  <si>
    <t>Z_CAPSULE</t>
  </si>
  <si>
    <t>Z_LIQUID</t>
  </si>
  <si>
    <t>Z_OINTMENT</t>
  </si>
  <si>
    <t>Z_LOTIONS</t>
  </si>
  <si>
    <t>Z_EYE_DROPS</t>
  </si>
  <si>
    <t>Z_SHAMPOO</t>
  </si>
  <si>
    <t>Z_CREAMS</t>
  </si>
  <si>
    <t>Z_EYE_GEL</t>
  </si>
  <si>
    <t>Z_GEL</t>
  </si>
  <si>
    <t>Sr. No.</t>
  </si>
  <si>
    <t xml:space="preserve"> </t>
  </si>
  <si>
    <t>Prodn. Qty. in packs</t>
  </si>
  <si>
    <t>CHIKALTHANA PLANT</t>
  </si>
  <si>
    <t>Pack size</t>
  </si>
  <si>
    <t>Qty. in Nos.</t>
  </si>
  <si>
    <t>PAITHAN PLANT</t>
  </si>
  <si>
    <t>CHITEGAON PLANT</t>
  </si>
  <si>
    <t>DAHEJ PLANT</t>
  </si>
  <si>
    <t>GUWAHATI PLANT</t>
  </si>
  <si>
    <t>THIRD PARTY</t>
  </si>
  <si>
    <t>CKT</t>
  </si>
  <si>
    <t>PTN</t>
  </si>
  <si>
    <t>CTGN</t>
  </si>
  <si>
    <t>DHJ</t>
  </si>
  <si>
    <t>GHT</t>
  </si>
  <si>
    <t>TP</t>
  </si>
  <si>
    <t>Jelly</t>
  </si>
  <si>
    <t>Tablets</t>
  </si>
  <si>
    <t xml:space="preserve">Capsules </t>
  </si>
  <si>
    <t>Soft Gel Cap</t>
  </si>
  <si>
    <t>ORS/Powder</t>
  </si>
  <si>
    <t>Shampoo</t>
  </si>
  <si>
    <t>Soap</t>
  </si>
  <si>
    <t>Injection</t>
  </si>
  <si>
    <t>Sr.No</t>
  </si>
  <si>
    <t>Eye Drops</t>
  </si>
  <si>
    <t xml:space="preserve">Unit </t>
  </si>
  <si>
    <t>Plant</t>
  </si>
  <si>
    <t>Total</t>
  </si>
  <si>
    <t>Liquid/Lotion/Syrup</t>
  </si>
  <si>
    <t>Mouthwash</t>
  </si>
  <si>
    <t>Oral Solution</t>
  </si>
  <si>
    <t>PITHAMPUR PLANT</t>
  </si>
  <si>
    <t>PMR</t>
  </si>
  <si>
    <t>Face Wash</t>
  </si>
  <si>
    <t>Hair Serum</t>
  </si>
  <si>
    <t>Dry Syrup/Granules</t>
  </si>
  <si>
    <t>CML</t>
  </si>
  <si>
    <t>PLANT &amp; CML,TP</t>
  </si>
  <si>
    <t>Z_CREAM</t>
  </si>
  <si>
    <t>Z_JELLY</t>
  </si>
  <si>
    <t>APRAZOLE CAP 20MG,IRQ,2X7</t>
  </si>
  <si>
    <t>ARTEFAN TAB 20/120MG,G.EXP,30X24</t>
  </si>
  <si>
    <t>DIVALPROEX SOD DR CAP USP 125MG,USA,1000</t>
  </si>
  <si>
    <t>FENOFIBRATE TAB USP 160MG,USA,90</t>
  </si>
  <si>
    <t>CHOLESTYRAMINE PFOS USP 4GM,USA,60SACH</t>
  </si>
  <si>
    <t>Lozenges</t>
  </si>
  <si>
    <t>Kit</t>
  </si>
  <si>
    <t>RANOLAZINE ER TAB 500MG,USA,60'S</t>
  </si>
  <si>
    <t>ZAHA TAB 500MG,IRQ,10X1X6'S</t>
  </si>
  <si>
    <t>Ampoule</t>
  </si>
  <si>
    <t>Ointment/Cream</t>
  </si>
  <si>
    <t>CHLORTHALIDONE TAB USP 25MG,USA,100'S</t>
  </si>
  <si>
    <t>ARTEFAN TAB 20/120MG,G.EXP,30X18</t>
  </si>
  <si>
    <t>SILDENAFIL TAB USP 20MG,USA,90</t>
  </si>
  <si>
    <t>IBUMOL TAB 400MG,JOR,3X10</t>
  </si>
  <si>
    <t>DULOXETINE DR CAP 60MG,USA,30</t>
  </si>
  <si>
    <t>VALGANCICLOVIR TAB USP 450MG,USA,60</t>
  </si>
  <si>
    <t>ARTEFAN TAB 40/240MG,APML,1X6</t>
  </si>
  <si>
    <t>AQUASOFT CREAM,G.EXP,50GM</t>
  </si>
  <si>
    <t>ARTEFAN PFOS 20/120MG,FA,30ML</t>
  </si>
  <si>
    <t>ARTEFAN PFOS 40/240MG,FA,30ML</t>
  </si>
  <si>
    <t>ADACIN GEL 0.1/1%,IRQ,15GM</t>
  </si>
  <si>
    <t>PEROCLIN GEL 2.5%,15GM</t>
  </si>
  <si>
    <t>SUNSTOP 30 LOTION,60GM</t>
  </si>
  <si>
    <t>APDROPS LP EYE DROPS,5ML (BF)</t>
  </si>
  <si>
    <t>KETOGATE EYE DROPS,5ML (BF)</t>
  </si>
  <si>
    <t>GORGEUS FACE CLEANSER GEL,100GM</t>
  </si>
  <si>
    <t>BRINZOX EYE DROPS,5ML</t>
  </si>
  <si>
    <t>TIBAN M TAB 20/500MG,15</t>
  </si>
  <si>
    <t>METXL TRIO TAB 25/10/40MG,15'S</t>
  </si>
  <si>
    <t>BILANIX TAB 20MG,10'S</t>
  </si>
  <si>
    <t>ATORFIT CV CAP 10/75MG,15'S</t>
  </si>
  <si>
    <t>ATORFIT CV CAP 20/75MG,15'S</t>
  </si>
  <si>
    <t>METXL TAB 12.5MG,20'S</t>
  </si>
  <si>
    <t>EFONTA TAB 40MG,15'S</t>
  </si>
  <si>
    <t>MELACARE CREAM 2/0.025/0.1%W/W,25GM</t>
  </si>
  <si>
    <t>CINOD TAB 10MG,20'S</t>
  </si>
  <si>
    <t>CINOD TAB 20MG,20'S</t>
  </si>
  <si>
    <t>UNIBROM EYE DROPS 0.09%W/V,5ML(BAK FREE)</t>
  </si>
  <si>
    <t>LUCOZ XL CREAM 1%W/W,50GM</t>
  </si>
  <si>
    <t>GATE P EYE DROPS 0.3/1.0%W/V,10ML (BF)</t>
  </si>
  <si>
    <t>DAPALEX TAB 10MG,10'S</t>
  </si>
  <si>
    <t>TADALAFIL TAB USP 5MG,USA,500</t>
  </si>
  <si>
    <t>CLONIDINE HCL ER TAB 0.1MG,USA,60</t>
  </si>
  <si>
    <t>MEMANTINE HYDROCHLORIDE TAB 10MG,USA,500</t>
  </si>
  <si>
    <t>Metxl T Tab 25/40Mg,20'S</t>
  </si>
  <si>
    <t>Metxl T Tab 50/40Mg,20'S</t>
  </si>
  <si>
    <t>Tapenax Er Tab 50Mg,15'S</t>
  </si>
  <si>
    <t>Urisoft Softgel Cap,15'S</t>
  </si>
  <si>
    <t>Civaderm Xl Cream 1%,50Gm</t>
  </si>
  <si>
    <t>Clenia Face Wash,100Gm</t>
  </si>
  <si>
    <t>Foce Tab 200Mg,G.Exp,1X10</t>
  </si>
  <si>
    <t>Dospin A 75 Cap 75Mg,G.Exp,3X10</t>
  </si>
  <si>
    <t>Amfocin Pfos 1000/125Mg,Fa,12</t>
  </si>
  <si>
    <t>Tablet</t>
  </si>
  <si>
    <t>Capsule</t>
  </si>
  <si>
    <t>Powder</t>
  </si>
  <si>
    <t>Solution</t>
  </si>
  <si>
    <t>Eye drop</t>
  </si>
  <si>
    <t>Cream</t>
  </si>
  <si>
    <t>CMD_SKYBIOTECH</t>
  </si>
  <si>
    <t>CMD-SANCTUS GLOBAL FORMULATION</t>
  </si>
  <si>
    <t>CMD_SHEFA</t>
  </si>
  <si>
    <t>CMD_RELAX</t>
  </si>
  <si>
    <t>CMD_NITIN</t>
  </si>
  <si>
    <t>CMD_ADORE</t>
  </si>
  <si>
    <t>CMD_RATNAMANI</t>
  </si>
  <si>
    <t>CMD_INDIANA</t>
  </si>
  <si>
    <t>CMD_VAPICARE Cepha/Beta</t>
  </si>
  <si>
    <t>CMD_CIRON-I</t>
  </si>
  <si>
    <t>CMD_ZEN</t>
  </si>
  <si>
    <t>CMD_BRASSICA</t>
  </si>
  <si>
    <t>Vivimed Labs Limited</t>
  </si>
  <si>
    <t>CMD_AFFY</t>
  </si>
  <si>
    <t>APRAMOL EFT TAB 500MG,G.EXP,2X8</t>
  </si>
  <si>
    <t>VOLIBO R TAB 0.3/0.5MG,10'S</t>
  </si>
  <si>
    <t>VOLIX R TAB 0.3/0.5MG,10'S</t>
  </si>
  <si>
    <t>AQUASOFT LOTION,200ML</t>
  </si>
  <si>
    <t>LACOMA PF EYE DROPS,2.5ML (BF)</t>
  </si>
  <si>
    <t>SOFTDROPS EYE DROPS 0.5/0.5%,ZMB,10ML</t>
  </si>
  <si>
    <t>FIXIM SUSP 100MG/5ML,G.EXP,40ML</t>
  </si>
  <si>
    <t>AQUREA HF CREAM GEL 40%W/W,50GM</t>
  </si>
  <si>
    <t>AQUASOFT SOAP,E/F/G.EXP,75GM</t>
  </si>
  <si>
    <t>VOLIBO R TAB 0.3/1MG,10'S</t>
  </si>
  <si>
    <t>FIXIM PFOS 40MG/5ML,FA,40ML,STW</t>
  </si>
  <si>
    <t>APRAMOL EFT 1000MG,G.EXP,1X8</t>
  </si>
  <si>
    <t>BRINZOX T EYE DROPS 1/0.5%,IRQ,5ML</t>
  </si>
  <si>
    <t>Batch No</t>
  </si>
  <si>
    <t>JAR</t>
  </si>
  <si>
    <t>Z_LOTION</t>
  </si>
  <si>
    <t>SUPREME SUSP LIQUID,IRQ,100ML</t>
  </si>
  <si>
    <t>Z_SUSPENSION</t>
  </si>
  <si>
    <t>TIBAN M TAB 20/1000MG,IRQ,3X10</t>
  </si>
  <si>
    <t>KAMAGRA CT 100MG,G.EXP,1X4,STW/LIM</t>
  </si>
  <si>
    <t>APFLU PFOS 500/25/200MG,FA,10X13.0GM</t>
  </si>
  <si>
    <t>NOS</t>
  </si>
  <si>
    <t>ARTEFAN DT 20/120MG,FA,1X6</t>
  </si>
  <si>
    <t>ARTEFAN TAB 80/480MG,FA,1X6</t>
  </si>
  <si>
    <t>ACTINAC PLUS TAB 100/500MG,IRQ,2X10'S PV</t>
  </si>
  <si>
    <t>ATORFIT TAB 40MG,G.EXP,3X10</t>
  </si>
  <si>
    <t>KAMAGRA JELY 100MG/5GM,D.EXP,7,VOL II ES</t>
  </si>
  <si>
    <t>TIBAN P TAB 20/30MG,IRQ,3X10</t>
  </si>
  <si>
    <t>METXL TRIO TAB 50/10/40MG,15'S</t>
  </si>
  <si>
    <t>METXL TAB 50MG,20'S</t>
  </si>
  <si>
    <t>METXL AM TAB 50/5MG,20'S</t>
  </si>
  <si>
    <t>TIBAN P TAB 20/15MG,IRQ,3X10</t>
  </si>
  <si>
    <t>MELACARE CREAM,E/F/V/G.EXP,15GM</t>
  </si>
  <si>
    <t>EFONTA TAB 20MG,15'S</t>
  </si>
  <si>
    <t>METXL 3D TAB 50/12.5/40MG,15'S</t>
  </si>
  <si>
    <t>ROSUFIT CV CAP 10/75MG,15'S</t>
  </si>
  <si>
    <t>MELACARE FORTE CREAM,IRQ,15GM</t>
  </si>
  <si>
    <t>CHOLESTYRAMINE PFOS USP 4GM,USA,378GMX1</t>
  </si>
  <si>
    <t>FENOFIBRATE TAB USP 160MG,USA,500</t>
  </si>
  <si>
    <t>ZAHA ORAL SUSP,G.EXP,30ML,STW/BNA</t>
  </si>
  <si>
    <t>DULOXETINE DR CAP 30MG,USA,30</t>
  </si>
  <si>
    <t>RISPERIDONE TAB 2.0MG,USA,500</t>
  </si>
  <si>
    <t>DULOXETINE DR CAP 30MG,USA,90</t>
  </si>
  <si>
    <t>RISPERIDONE TAB 1MG,USA,500</t>
  </si>
  <si>
    <t>ROSUCOL TAB 10MG,PHL,3X10</t>
  </si>
  <si>
    <t>AMLIFE TAB 100/5MG,PHL(UNITED),3X10</t>
  </si>
  <si>
    <t>TADALAFIL TAB USP 5MG,USA,30</t>
  </si>
  <si>
    <t>Z_KIT</t>
  </si>
  <si>
    <t>Bilanix Forte Tab 40Mg,10'S</t>
  </si>
  <si>
    <t>Caltuf Tab,15'S</t>
  </si>
  <si>
    <t>Dapalex M Tab 10/500Mg,10'S</t>
  </si>
  <si>
    <t>Mpride V2 Tab 2/500/0.2Mg,15'S</t>
  </si>
  <si>
    <t>Rosutor Gold Tab 10/75/75Mg,15'S</t>
  </si>
  <si>
    <t>Tricinod Tab 10/40/12.5Mg,15'S</t>
  </si>
  <si>
    <t>Vilatin Sr Tab 100Mg,15'S</t>
  </si>
  <si>
    <t>Tricosilk Pro Solution,60Ml</t>
  </si>
  <si>
    <t>Softvisc Ultra Eye Drops,10Ml</t>
  </si>
  <si>
    <t>Civaderm Cream 1%,30Gm</t>
  </si>
  <si>
    <t>DT1032</t>
  </si>
  <si>
    <t>DF011</t>
  </si>
  <si>
    <t>Facewash</t>
  </si>
  <si>
    <t>CMD_SAVERA</t>
  </si>
  <si>
    <t>CMD_MR</t>
  </si>
  <si>
    <t>CMD-MR-CEPHA &amp; BETA</t>
  </si>
  <si>
    <t>CMD-Srinivasa Fine Care Indust</t>
  </si>
  <si>
    <t>DIFLUCOR EYE DROPS,5ML</t>
  </si>
  <si>
    <t>DYLDES TAB 5MG,FA,15</t>
  </si>
  <si>
    <t>METXL TAB 100MG,20'S</t>
  </si>
  <si>
    <t>SIPRAX CAP 400MG,G. EXP,1X6</t>
  </si>
  <si>
    <t>AQUASOFT MAX CREAM,TZA/UGA/SLK/NGA,60GM</t>
  </si>
  <si>
    <t>PANTHEGEL OPHTHALMIC GEL,5GM</t>
  </si>
  <si>
    <t>AQUREA CREAM 10,100GM</t>
  </si>
  <si>
    <t>MET XL TAB 50MG USP,G.EXP,3X10</t>
  </si>
  <si>
    <t>APMOX CAP 250MG,IRQ,10X10</t>
  </si>
  <si>
    <t>APDROPS EYE DROP 0.5%W/V,ZMB/KEN/UGA,5ML</t>
  </si>
  <si>
    <t>AD0082B</t>
  </si>
  <si>
    <t>E470</t>
  </si>
  <si>
    <t>ZAHA SUSPENSION,ZMB/UGA/KEN/GHA/SLK,15ML</t>
  </si>
  <si>
    <t>ZOCIN SUSP 200MG/5ML,G.EXP,15ML</t>
  </si>
  <si>
    <t>APFLU SYRUP,ZMB/UGA/KEN,100ML</t>
  </si>
  <si>
    <t>AMADAY TAB 10MG,IRQ,2X14</t>
  </si>
  <si>
    <t>AMADAY TAB 5MG,IRQ,2X14</t>
  </si>
  <si>
    <t>SUPER KAMAGRA TAB 100/60MG,IRQ/G.EXP,4</t>
  </si>
  <si>
    <t>VILDARIL M TAB 50/850MG,IRQ,3X10'S</t>
  </si>
  <si>
    <t>LASTAVIN HTZ TAB 80/12.5MG,IRQ,</t>
  </si>
  <si>
    <t>METROSULE TAB 500MG,IRQ,10X10</t>
  </si>
  <si>
    <t>METXL 3D TAB 25/12.5/40MG,15'S</t>
  </si>
  <si>
    <t>INSTACLOP TAB 75MG,FA,3X10</t>
  </si>
  <si>
    <t>ACTINAC TAB 100MG,IRQ,2X10'S</t>
  </si>
  <si>
    <t>TELMICLAR HTZ TAB 80/12.5MG,FA,3X10'S</t>
  </si>
  <si>
    <t>Z-COT 15 TAB 15MG,IRQ,3X10'S</t>
  </si>
  <si>
    <t>CILAMET XL TAB 10/25MG,20'S</t>
  </si>
  <si>
    <t>BIDIN T EYE DROPS,5ML</t>
  </si>
  <si>
    <t>AQUASOFT FC CREAM,60GM</t>
  </si>
  <si>
    <t>CILAMET XL TAB 10/50MG,20'S</t>
  </si>
  <si>
    <t>TALIMUS OINTMENT 0.1%,IRQ,10GM</t>
  </si>
  <si>
    <t>APDROPS EYE DROPS,5ML</t>
  </si>
  <si>
    <t>METXL AM TAB 25/5MG,20'S</t>
  </si>
  <si>
    <t>OLOPAT KT EYE DROPS,5ML(BF)</t>
  </si>
  <si>
    <t>BIMAT EYE DROPS,3ML</t>
  </si>
  <si>
    <t>GT03672</t>
  </si>
  <si>
    <t>GT01822</t>
  </si>
  <si>
    <t>1060</t>
  </si>
  <si>
    <t>AZUSA T TAB 8/40MG,10'S</t>
  </si>
  <si>
    <t>MIMOD TAB 25MG,15'S</t>
  </si>
  <si>
    <t>1050</t>
  </si>
  <si>
    <t>TOLTERODINE TARTRATE ER CAP 4MG,USA,30</t>
  </si>
  <si>
    <t>LOXIM TAB 7.5MG,IRQ,2X10</t>
  </si>
  <si>
    <t>FENOFIBRATE TAB USP 54MG,USA,90</t>
  </si>
  <si>
    <t>SILDENAFIL TAB USP 50MG,USA,30</t>
  </si>
  <si>
    <t>ARTEFAN DT 20/120MG,UGA/G.EXP,30X6</t>
  </si>
  <si>
    <t>DULOXETINE DR CAP 60MG,USA,1000</t>
  </si>
  <si>
    <t>DIVALPROEX SOD DR CAP USP 125MG,USA,100</t>
  </si>
  <si>
    <t>TOLTERODINE TARTRATE ER CAP 4MG,USA,90</t>
  </si>
  <si>
    <t>FENOFIBRATE CAP USP 134MG,USA,100</t>
  </si>
  <si>
    <t>CHLORTHALIDONE TAB USP 50MG,USA,100'S</t>
  </si>
  <si>
    <t>RANOLAZINE ER TAB 500MG,USA,500'S</t>
  </si>
  <si>
    <t>RISPERIDONE TAB USP 0.5MG,USA,500</t>
  </si>
  <si>
    <t>TOLTERODINE TARTRATE ER CAP 4MG,USA,500</t>
  </si>
  <si>
    <t>DJ06012</t>
  </si>
  <si>
    <t>DJ05492</t>
  </si>
  <si>
    <t>DJ04412</t>
  </si>
  <si>
    <t>1010</t>
  </si>
  <si>
    <t>DILATAIR TAB 400MG,PHL(CATHAY),3X10</t>
  </si>
  <si>
    <t>ARTEFAN TAB 20/120MG,G.EXP,1X24</t>
  </si>
  <si>
    <t>ARTEFAN DT 20/120MG,DNK,30X6</t>
  </si>
  <si>
    <t>ARTEFAN DT 20/120MG,G.EXP,1X6</t>
  </si>
  <si>
    <t>METFORMIN HCL ER TAB USP 500MG,100'S,W.</t>
  </si>
  <si>
    <t>OMEFOR CAP 20MG,20'S</t>
  </si>
  <si>
    <t>SILDENAFIL TAB USP 100MG,USA,100</t>
  </si>
  <si>
    <t>DAZEL KIT,NGA/G.EXP,4</t>
  </si>
  <si>
    <t>ARTEFAN TAB 20/120MG,USA,30X18 (1 PIL)</t>
  </si>
  <si>
    <t>ARTEFAN TAB 20/120MG,USA,30X24 (1 PIL)</t>
  </si>
  <si>
    <t>AMLO BESY &amp; OLME MEDO TAB 5/40MG,USA,90</t>
  </si>
  <si>
    <t>PA04202</t>
  </si>
  <si>
    <t>PA03122</t>
  </si>
  <si>
    <t>PA05542</t>
  </si>
  <si>
    <t>PA02532</t>
  </si>
  <si>
    <t>PA01612</t>
  </si>
  <si>
    <t>Material Group</t>
  </si>
  <si>
    <t>FG-ROW</t>
  </si>
  <si>
    <t>FG-Domestic</t>
  </si>
  <si>
    <t>FG-ANDA</t>
  </si>
  <si>
    <t>DETAILS SUMMARY OF NO. OF UNITS MFGD  IN APR-2022  (QTY.IN LACS)</t>
  </si>
  <si>
    <t>PRODUCTION DETAILS FOR THE MONTH OF APR-2022</t>
  </si>
  <si>
    <t>WARIK TAB 2.5MG, PHL,3X10</t>
  </si>
  <si>
    <t>AMLIFE TAB 50/5MG,PHL(UNITED),3X10</t>
  </si>
  <si>
    <t>ROSWIN TAB 5MG,PHL(UNITED),3X10</t>
  </si>
  <si>
    <t>ARIPIPRAZOLE TAB USP 5MG,USA,30</t>
  </si>
  <si>
    <t>MUBACT CT 5MG,IRQ,3X10'S</t>
  </si>
  <si>
    <t>ADERAN TAB 8MG,IRQ,3X10'S</t>
  </si>
  <si>
    <t>ARTEFAN TAB 20/120MG,AA/EXP,30X24</t>
  </si>
  <si>
    <t>ROSWIN TAB 10MG,PHL,3X10</t>
  </si>
  <si>
    <t>FEDATE CAP,FA,3X10</t>
  </si>
  <si>
    <t>AFLOTIN TAB 20/120MG,NGA,30X24</t>
  </si>
  <si>
    <t>ARTEFAN DT 20/120MG,AA/EXP,30X6</t>
  </si>
  <si>
    <t>ROSUCOL TAB 5MG,PHL,3X10</t>
  </si>
  <si>
    <t>KAMAGRA TAB 100MG,JOR,1X4</t>
  </si>
  <si>
    <t>LASTAVIN TAB 80MG,IRQ,3X10'S</t>
  </si>
  <si>
    <t>ELETRIPTAN HYDROBROMIDE TAB 20MG,USA,1X6</t>
  </si>
  <si>
    <t>URINORM TAB 80MG,PHL,3X10</t>
  </si>
  <si>
    <t>ATENURIX TAB 80MG,PHL,3X10</t>
  </si>
  <si>
    <t>DULOXETINE DR CAP 20MG,USA,60</t>
  </si>
  <si>
    <t>FEDATE CAP,UGA/TZA,3X10'S</t>
  </si>
  <si>
    <t>LASTAVIN TAB 160MG,IRQ,3X10'S</t>
  </si>
  <si>
    <t>ZAHA TAB 500MG,UGA/KEN,10X1X3'S</t>
  </si>
  <si>
    <t>TELMEZ 80 TAB 80MG,PHL,3X10</t>
  </si>
  <si>
    <t>CAROFIT TAB,TZA,3X10</t>
  </si>
  <si>
    <t>DROXIDOPA CAP 100MG,USA,90</t>
  </si>
  <si>
    <t>ZOLANAS CAP 30MG,IRQ,14</t>
  </si>
  <si>
    <t>DROXIDOPA CAP 300MG,USA,90</t>
  </si>
  <si>
    <t>PLOGREL TAB 75MG,PHL,5X10</t>
  </si>
  <si>
    <t>APCALIS SX TAB 20MG,IRQ,2X2</t>
  </si>
  <si>
    <t>ZAHA TAB 500MG,JOR,1X3</t>
  </si>
  <si>
    <t>TADALAFIL TAB USP 2.5MG,USA,30</t>
  </si>
  <si>
    <t>LASTAVIN AM TAB 10/160MG,IRQ,3X10'S</t>
  </si>
  <si>
    <t>ZAHA TAB 250MG,Z/T/S/G,10X1X6</t>
  </si>
  <si>
    <t>ARTEFAN DT 20/120MG,DNK,30X12</t>
  </si>
  <si>
    <t>TADALAFIL TAB USP 2.5MG,USA,500</t>
  </si>
  <si>
    <t>DROXIDOPA CAP 200MG,USA,90</t>
  </si>
  <si>
    <t>ARIPIPRAZOLE TAB USP 20MG,USA,500</t>
  </si>
  <si>
    <t>ROSUCHOL TAB 10MG,IRQ/G.EXP,3X10</t>
  </si>
  <si>
    <t>CAPTOPRIL TAB USP 50MG,USA,100</t>
  </si>
  <si>
    <t>COXID CAP 400MG,PHL,3X10</t>
  </si>
  <si>
    <t>PA05202</t>
  </si>
  <si>
    <t>PA03652</t>
  </si>
  <si>
    <t>PA04142</t>
  </si>
  <si>
    <t>PA05212</t>
  </si>
  <si>
    <t>PA06692</t>
  </si>
  <si>
    <t>PA06952</t>
  </si>
  <si>
    <t>PA05842</t>
  </si>
  <si>
    <t>PA07362</t>
  </si>
  <si>
    <t>PA05972</t>
  </si>
  <si>
    <t>PA02582</t>
  </si>
  <si>
    <t>PA03642</t>
  </si>
  <si>
    <t>PA03322</t>
  </si>
  <si>
    <t>PA03342</t>
  </si>
  <si>
    <t>PA05662</t>
  </si>
  <si>
    <t>PA02552</t>
  </si>
  <si>
    <t>PA02572</t>
  </si>
  <si>
    <t>PA04122</t>
  </si>
  <si>
    <t>PA03592</t>
  </si>
  <si>
    <t>PA06942</t>
  </si>
  <si>
    <t>PA05832</t>
  </si>
  <si>
    <t>PA03142</t>
  </si>
  <si>
    <t>PA05652</t>
  </si>
  <si>
    <t>PA08352</t>
  </si>
  <si>
    <t>PA07782</t>
  </si>
  <si>
    <t>PA05642</t>
  </si>
  <si>
    <t>PA07772</t>
  </si>
  <si>
    <t>PA03812</t>
  </si>
  <si>
    <t>PA05822</t>
  </si>
  <si>
    <t>PA05612</t>
  </si>
  <si>
    <t>PA03632</t>
  </si>
  <si>
    <t>PA04112</t>
  </si>
  <si>
    <t>PA06932</t>
  </si>
  <si>
    <t>PA03132</t>
  </si>
  <si>
    <t>PA04472</t>
  </si>
  <si>
    <t>PA03712</t>
  </si>
  <si>
    <t>PA03722</t>
  </si>
  <si>
    <t>PA05602</t>
  </si>
  <si>
    <t>PA05812</t>
  </si>
  <si>
    <t>PA03582</t>
  </si>
  <si>
    <t>PA04012</t>
  </si>
  <si>
    <t>PA05592</t>
  </si>
  <si>
    <t>PA06922</t>
  </si>
  <si>
    <t>PA03312</t>
  </si>
  <si>
    <t>PA04002</t>
  </si>
  <si>
    <t>PA07482</t>
  </si>
  <si>
    <t>PA03502</t>
  </si>
  <si>
    <t>PA03572</t>
  </si>
  <si>
    <t>PA03562</t>
  </si>
  <si>
    <t>PA04132</t>
  </si>
  <si>
    <t>PA07762</t>
  </si>
  <si>
    <t>PA07462</t>
  </si>
  <si>
    <t>PA03752</t>
  </si>
  <si>
    <t>PA04442</t>
  </si>
  <si>
    <t>PA05582</t>
  </si>
  <si>
    <t>PA03852</t>
  </si>
  <si>
    <t>PA07562</t>
  </si>
  <si>
    <t>PA05482</t>
  </si>
  <si>
    <t>PA05472</t>
  </si>
  <si>
    <t>PA05922</t>
  </si>
  <si>
    <t>PA05462</t>
  </si>
  <si>
    <t>PA03422</t>
  </si>
  <si>
    <t>PA03742</t>
  </si>
  <si>
    <t>PA04382</t>
  </si>
  <si>
    <t>PA05572</t>
  </si>
  <si>
    <t>PA03732</t>
  </si>
  <si>
    <t>PA03002</t>
  </si>
  <si>
    <t>PA03112</t>
  </si>
  <si>
    <t>PA07542</t>
  </si>
  <si>
    <t>PA04402</t>
  </si>
  <si>
    <t>PA04412</t>
  </si>
  <si>
    <t>PA04092</t>
  </si>
  <si>
    <t>PA05562</t>
  </si>
  <si>
    <t>PA04082</t>
  </si>
  <si>
    <t>PA04302</t>
  </si>
  <si>
    <t>PA03102</t>
  </si>
  <si>
    <t>PA01702</t>
  </si>
  <si>
    <t>PA03892</t>
  </si>
  <si>
    <t>PA02972</t>
  </si>
  <si>
    <t>PA03072</t>
  </si>
  <si>
    <t>PA04182</t>
  </si>
  <si>
    <t>PA03952</t>
  </si>
  <si>
    <t>PA04622</t>
  </si>
  <si>
    <t>PA04032</t>
  </si>
  <si>
    <t>PA06492</t>
  </si>
  <si>
    <t>PA03332</t>
  </si>
  <si>
    <t>PA03482</t>
  </si>
  <si>
    <t>PA03472</t>
  </si>
  <si>
    <t>PA03942</t>
  </si>
  <si>
    <t>PA04612</t>
  </si>
  <si>
    <t>PA06252</t>
  </si>
  <si>
    <t>PA04392</t>
  </si>
  <si>
    <t>PA04602</t>
  </si>
  <si>
    <t>PA00112</t>
  </si>
  <si>
    <t>PA03932</t>
  </si>
  <si>
    <t>PA02502</t>
  </si>
  <si>
    <t>PA00102</t>
  </si>
  <si>
    <t>PA02832</t>
  </si>
  <si>
    <t>PA02842</t>
  </si>
  <si>
    <t>PA06162</t>
  </si>
  <si>
    <t>PA06152</t>
  </si>
  <si>
    <t>PA01432</t>
  </si>
  <si>
    <t>PA02822</t>
  </si>
  <si>
    <t>DIVALPROEX SOD DR CAP USP 125MG,USA,500</t>
  </si>
  <si>
    <t>HALOPERIDOL TAB USP 20MG,USA,100'S</t>
  </si>
  <si>
    <t>HALOPERIDOL TAB USP 5MG,USA,100'S</t>
  </si>
  <si>
    <t>ARTEFAN TAB 20/120MG,GHA,30X24</t>
  </si>
  <si>
    <t>HALOPERIDOL TAB USP 1MG,USA,100'S</t>
  </si>
  <si>
    <t>AMADAY TAB 10MG,IRQ,14'S</t>
  </si>
  <si>
    <t>OME &amp; SOD BICAR CAP 40/1100MG,USA,30</t>
  </si>
  <si>
    <t>AMADAY TAB 5MG,IRQ,14'S</t>
  </si>
  <si>
    <t>OME &amp; SOD BICAR CAP 20/1100MG,USA,30</t>
  </si>
  <si>
    <t>SILDENAFIL TAB USP 25MG,USA,30</t>
  </si>
  <si>
    <t>FENOFIBRATE CAP USP 67MG,USA,100</t>
  </si>
  <si>
    <t>MEFLAM CAP 250MG,IRQ,10X10</t>
  </si>
  <si>
    <t>HALOPERIDOL TAB USP 0.5MG,USA,100'S</t>
  </si>
  <si>
    <t>ARTEFAN TAB 20/120MG,GHA,30X18</t>
  </si>
  <si>
    <t>DOXEPIN HCL CAP USP 75MG,USA,100</t>
  </si>
  <si>
    <t>RANOLAZINE ER TAB 1000MG,USA,60'S</t>
  </si>
  <si>
    <t>RANOLAZINE ER TAB 1000MG,USA,500'S</t>
  </si>
  <si>
    <t>ARTEFAN DT 20/120MG,GHA,30X6</t>
  </si>
  <si>
    <t>DJ07582</t>
  </si>
  <si>
    <t>DJ04822</t>
  </si>
  <si>
    <t>DJ06442</t>
  </si>
  <si>
    <t>DJ06582</t>
  </si>
  <si>
    <t>DJ03332</t>
  </si>
  <si>
    <t>DJ02972</t>
  </si>
  <si>
    <t>DJ02962</t>
  </si>
  <si>
    <t>DJ00292</t>
  </si>
  <si>
    <t>DJ05712</t>
  </si>
  <si>
    <t>DJ06452</t>
  </si>
  <si>
    <t>DJ03322</t>
  </si>
  <si>
    <t>DJ03312</t>
  </si>
  <si>
    <t>DJ03802</t>
  </si>
  <si>
    <t>DJ06272</t>
  </si>
  <si>
    <t>DJ05702</t>
  </si>
  <si>
    <t>DJ03112</t>
  </si>
  <si>
    <t>DJ06572</t>
  </si>
  <si>
    <t>DJ03272</t>
  </si>
  <si>
    <t>DJ06562</t>
  </si>
  <si>
    <t>DJ04022</t>
  </si>
  <si>
    <t>DJ06232</t>
  </si>
  <si>
    <t>DJ06222</t>
  </si>
  <si>
    <t>DJ06212</t>
  </si>
  <si>
    <t>DJ05692</t>
  </si>
  <si>
    <t>DJ04172</t>
  </si>
  <si>
    <t>DJ01132</t>
  </si>
  <si>
    <t>DJ06202</t>
  </si>
  <si>
    <t>DJ06552</t>
  </si>
  <si>
    <t>DJ06422</t>
  </si>
  <si>
    <t>DJ06432</t>
  </si>
  <si>
    <t>DJ07862</t>
  </si>
  <si>
    <t>DJ07852</t>
  </si>
  <si>
    <t>DJ01122</t>
  </si>
  <si>
    <t>DJ06192</t>
  </si>
  <si>
    <t>DJ06182</t>
  </si>
  <si>
    <t>DJ018211</t>
  </si>
  <si>
    <t>DJ06542</t>
  </si>
  <si>
    <t>DJ03912</t>
  </si>
  <si>
    <t>DJ03922</t>
  </si>
  <si>
    <t>DJ03932</t>
  </si>
  <si>
    <t>DJ04802</t>
  </si>
  <si>
    <t>DJ03512</t>
  </si>
  <si>
    <t>DJ01112</t>
  </si>
  <si>
    <t>DJ01102</t>
  </si>
  <si>
    <t>DJ05982</t>
  </si>
  <si>
    <t>DJ06142</t>
  </si>
  <si>
    <t>DJ04792</t>
  </si>
  <si>
    <t>DJ03502</t>
  </si>
  <si>
    <t>DJ00282</t>
  </si>
  <si>
    <t>DJ03492</t>
  </si>
  <si>
    <t>DJ03482</t>
  </si>
  <si>
    <t>DJ07842</t>
  </si>
  <si>
    <t>DJ03692</t>
  </si>
  <si>
    <t>DJ07782</t>
  </si>
  <si>
    <t>DJ07792</t>
  </si>
  <si>
    <t>DJ018111</t>
  </si>
  <si>
    <t>DJ06532</t>
  </si>
  <si>
    <t>DJ04912</t>
  </si>
  <si>
    <t>DJ03472</t>
  </si>
  <si>
    <t>DJ05662</t>
  </si>
  <si>
    <t>DJ06412</t>
  </si>
  <si>
    <t>DJ03232</t>
  </si>
  <si>
    <t>DJ07832</t>
  </si>
  <si>
    <t>DJ01062</t>
  </si>
  <si>
    <t>DJ01052</t>
  </si>
  <si>
    <t>DJ07772</t>
  </si>
  <si>
    <t>DJ018011</t>
  </si>
  <si>
    <t>DJ06522</t>
  </si>
  <si>
    <t>DJ03702</t>
  </si>
  <si>
    <t>DJ03712</t>
  </si>
  <si>
    <t>DJ02752</t>
  </si>
  <si>
    <t>DJ03722</t>
  </si>
  <si>
    <t>DJ06512</t>
  </si>
  <si>
    <t>DJ06122</t>
  </si>
  <si>
    <t>DJ03222</t>
  </si>
  <si>
    <t>DJ04712</t>
  </si>
  <si>
    <t>DJ04942</t>
  </si>
  <si>
    <t>DJ00562</t>
  </si>
  <si>
    <t>DJ03302</t>
  </si>
  <si>
    <t>DJ05652</t>
  </si>
  <si>
    <t>DJ06042</t>
  </si>
  <si>
    <t>DJ03292</t>
  </si>
  <si>
    <t>DJ00272</t>
  </si>
  <si>
    <t>DJ05632</t>
  </si>
  <si>
    <t>DJ06132</t>
  </si>
  <si>
    <t>DJ04092</t>
  </si>
  <si>
    <t>DJ06032</t>
  </si>
  <si>
    <t>DJ03212</t>
  </si>
  <si>
    <t>DJ04702</t>
  </si>
  <si>
    <t>DJ00262</t>
  </si>
  <si>
    <t>DJ05642</t>
  </si>
  <si>
    <t>DJ03202</t>
  </si>
  <si>
    <t>DJ03282</t>
  </si>
  <si>
    <t>DJ00252</t>
  </si>
  <si>
    <t>DJ00242</t>
  </si>
  <si>
    <t>DJ06022</t>
  </si>
  <si>
    <t>DJ03262</t>
  </si>
  <si>
    <t>DJ05612</t>
  </si>
  <si>
    <t>DJ06112</t>
  </si>
  <si>
    <t>DJ04692</t>
  </si>
  <si>
    <t>DJ04682</t>
  </si>
  <si>
    <t>DJ03252</t>
  </si>
  <si>
    <t>DJ06172</t>
  </si>
  <si>
    <t>DJ04122</t>
  </si>
  <si>
    <t>DJ06102</t>
  </si>
  <si>
    <t>DJ04082</t>
  </si>
  <si>
    <t>DJ02732</t>
  </si>
  <si>
    <t>DJ04662</t>
  </si>
  <si>
    <t>DJ03092</t>
  </si>
  <si>
    <t>DJ03582</t>
  </si>
  <si>
    <t>DJ06162</t>
  </si>
  <si>
    <t>DJ06152</t>
  </si>
  <si>
    <t>DJ017911</t>
  </si>
  <si>
    <t>DJ03572</t>
  </si>
  <si>
    <t>DJ05682</t>
  </si>
  <si>
    <t>DJ05622</t>
  </si>
  <si>
    <t>DJ03192</t>
  </si>
  <si>
    <t>DJ02322</t>
  </si>
  <si>
    <t>DJ04062</t>
  </si>
  <si>
    <t>DJ00972</t>
  </si>
  <si>
    <t>DJ00922</t>
  </si>
  <si>
    <t>DJ04672</t>
  </si>
  <si>
    <t>DJ04072</t>
  </si>
  <si>
    <t>DJ02312</t>
  </si>
  <si>
    <t>DJ05602</t>
  </si>
  <si>
    <t>DJ05672</t>
  </si>
  <si>
    <t>DJ04102</t>
  </si>
  <si>
    <t>DJ05592</t>
  </si>
  <si>
    <t>DJ04052</t>
  </si>
  <si>
    <t>DJ00952</t>
  </si>
  <si>
    <t>DJ03182</t>
  </si>
  <si>
    <t>DJ05572</t>
  </si>
  <si>
    <t>DJ00522</t>
  </si>
  <si>
    <t>DJ04282</t>
  </si>
  <si>
    <t>DJ05562</t>
  </si>
  <si>
    <t>DJ04042</t>
  </si>
  <si>
    <t>DJ03392</t>
  </si>
  <si>
    <t>DJ04652</t>
  </si>
  <si>
    <t>GLYUP TAB 60MG,FA,3X10</t>
  </si>
  <si>
    <t>LASTAVIN AMPLUS TAB5/160/12.5MG,IRQ,3X10</t>
  </si>
  <si>
    <t>MOMADERM OINTMENT 0.1%W/W,IRQ,30GM</t>
  </si>
  <si>
    <t>METXL TAB 25MG,20'S</t>
  </si>
  <si>
    <t>TOFANTA TAB 5MG,10'S</t>
  </si>
  <si>
    <t>ACTINAC LP TAB 200MG,FA,1X10</t>
  </si>
  <si>
    <t>MOMADERM CREAM 0.1%,G.EXP,30GM</t>
  </si>
  <si>
    <t>RIDMAL TAB 40/320MG,FA,1X6</t>
  </si>
  <si>
    <t>RIDMAL TAB 40/320MG,FA,1X3</t>
  </si>
  <si>
    <t>TIBAN M TAB 20/500MG,IRQ,3X10</t>
  </si>
  <si>
    <t>CILNIDIPINE TAB IP 10MG,15'S(ISS)</t>
  </si>
  <si>
    <t>ADERAN HTZ TAB 16/12.5MG,IRQ/G.EXP,3X10</t>
  </si>
  <si>
    <t>AQUASOFT MAX CREAM,150GM</t>
  </si>
  <si>
    <t>TIBAN MP TAB 10/500/15MG,IRQ,3X10</t>
  </si>
  <si>
    <t>BESICOR TAB 5MG,FA,3X10'S</t>
  </si>
  <si>
    <t>ATORFIT TAB 20MG,15</t>
  </si>
  <si>
    <t>DAPALEX TAB 10MG,2'S</t>
  </si>
  <si>
    <t>BESICOR TAB 10MG,FA,3X10'S</t>
  </si>
  <si>
    <t>ATORFIT TAB 40MG,15</t>
  </si>
  <si>
    <t>ROSUFIT CV CAP 5/75MG,15'S</t>
  </si>
  <si>
    <t>EFONTA T 40/40 TAB 40/40MG,10'S</t>
  </si>
  <si>
    <t>SOFTDROPS EYE DROPS 0.5/0.5%,IRQ,10ML</t>
  </si>
  <si>
    <t>ATORFIT TAB 10MG,15</t>
  </si>
  <si>
    <t>OCUMOIST MAX EYE DROPS 0.4/0.3%W/V,10ML</t>
  </si>
  <si>
    <t>Z-COT 20 TAB 20MG,IRQ,3X10'S</t>
  </si>
  <si>
    <t>MELACARE FORTE CREAM,FJI,15GM</t>
  </si>
  <si>
    <t>ADACIN GEL 0.1/1%,U/T,15GM</t>
  </si>
  <si>
    <t>VERTIZAC TAB 20/40MG,15</t>
  </si>
  <si>
    <t>SOFTVISC EYE DROPS,2.5ML,PS</t>
  </si>
  <si>
    <t>CINOD TAB 5MG,IRQ,3X10</t>
  </si>
  <si>
    <t>LOVEGRA JELLY 100MG/5GM,D.EXP,7'S,ROS,ES</t>
  </si>
  <si>
    <t>AMADAY PL TAB 10/4MG,FA,3X10</t>
  </si>
  <si>
    <t>BIMAT EYE DROPS 0.03%W/V,AA,3ML</t>
  </si>
  <si>
    <t>BRINZOX T EYE DROPS 1/0.5%W/V,AA,5ML</t>
  </si>
  <si>
    <t>OLOPAT OD EYE DROPS,3ML</t>
  </si>
  <si>
    <t>APDROP EYE DROPS,MDG/MUS,3ML</t>
  </si>
  <si>
    <t>RIPATEC EYE DROPS,5ML</t>
  </si>
  <si>
    <t>CINOD TAB 10MG,IRQ,3X10</t>
  </si>
  <si>
    <t>LASTAVIN AM PLUS TAB10/160/25MG,IRQ,3X10</t>
  </si>
  <si>
    <t>GT01622</t>
  </si>
  <si>
    <t>GT05242</t>
  </si>
  <si>
    <t>GT06062</t>
  </si>
  <si>
    <t>GT06082</t>
  </si>
  <si>
    <t>G1757</t>
  </si>
  <si>
    <t>GT05492</t>
  </si>
  <si>
    <t>GT05502</t>
  </si>
  <si>
    <t>G1764</t>
  </si>
  <si>
    <t>GT05392</t>
  </si>
  <si>
    <t>GT05612</t>
  </si>
  <si>
    <t>GT06072</t>
  </si>
  <si>
    <t>G1763</t>
  </si>
  <si>
    <t>G1760</t>
  </si>
  <si>
    <t>GT04962</t>
  </si>
  <si>
    <t>G1755</t>
  </si>
  <si>
    <t>GT03602</t>
  </si>
  <si>
    <t>GT05352</t>
  </si>
  <si>
    <t>GT01952</t>
  </si>
  <si>
    <t>GT05722</t>
  </si>
  <si>
    <t>GT05482</t>
  </si>
  <si>
    <t>GT05642</t>
  </si>
  <si>
    <t>GT05932</t>
  </si>
  <si>
    <t>GT04972</t>
  </si>
  <si>
    <t>G17191</t>
  </si>
  <si>
    <t>G1728</t>
  </si>
  <si>
    <t>G1753</t>
  </si>
  <si>
    <t>GT05342</t>
  </si>
  <si>
    <t>GT03942</t>
  </si>
  <si>
    <t>GT03952</t>
  </si>
  <si>
    <t>GT05632</t>
  </si>
  <si>
    <t>GT05782</t>
  </si>
  <si>
    <t>GT05792</t>
  </si>
  <si>
    <t>G1754</t>
  </si>
  <si>
    <t>GT01202</t>
  </si>
  <si>
    <t>GT05332</t>
  </si>
  <si>
    <t>GT05472</t>
  </si>
  <si>
    <t>G1719</t>
  </si>
  <si>
    <t>G1752</t>
  </si>
  <si>
    <t>GT05312</t>
  </si>
  <si>
    <t>GT05322</t>
  </si>
  <si>
    <t>GT04732</t>
  </si>
  <si>
    <t>GT04322</t>
  </si>
  <si>
    <t>GT05412</t>
  </si>
  <si>
    <t>GT05452</t>
  </si>
  <si>
    <t>GT05462</t>
  </si>
  <si>
    <t>GT02832</t>
  </si>
  <si>
    <t>GT05302</t>
  </si>
  <si>
    <t>GT04722</t>
  </si>
  <si>
    <t>GT03612</t>
  </si>
  <si>
    <t>GT05432</t>
  </si>
  <si>
    <t>GT05442</t>
  </si>
  <si>
    <t>GT05292</t>
  </si>
  <si>
    <t>GT05402</t>
  </si>
  <si>
    <t>G1746</t>
  </si>
  <si>
    <t>G1743</t>
  </si>
  <si>
    <t>GT04762</t>
  </si>
  <si>
    <t>GT04812</t>
  </si>
  <si>
    <t>GT03562</t>
  </si>
  <si>
    <t>GT04852</t>
  </si>
  <si>
    <t>GT05362</t>
  </si>
  <si>
    <t>GT05282</t>
  </si>
  <si>
    <t>G1666</t>
  </si>
  <si>
    <t>GT04752</t>
  </si>
  <si>
    <t>GT04802</t>
  </si>
  <si>
    <t>GT03812</t>
  </si>
  <si>
    <t>GT03542</t>
  </si>
  <si>
    <t>GT04632</t>
  </si>
  <si>
    <t>GT04742</t>
  </si>
  <si>
    <t>GT04782</t>
  </si>
  <si>
    <t>GT04792</t>
  </si>
  <si>
    <t>GT04842</t>
  </si>
  <si>
    <t>G1750</t>
  </si>
  <si>
    <t>GT03532</t>
  </si>
  <si>
    <t>GT04232</t>
  </si>
  <si>
    <t>GT03922</t>
  </si>
  <si>
    <t>GT04832</t>
  </si>
  <si>
    <t>GT03962</t>
  </si>
  <si>
    <t>GT02952</t>
  </si>
  <si>
    <t>GT04772</t>
  </si>
  <si>
    <t>GT034121</t>
  </si>
  <si>
    <t>G1718</t>
  </si>
  <si>
    <t>GT05622</t>
  </si>
  <si>
    <t>GT02342</t>
  </si>
  <si>
    <t>GT04712</t>
  </si>
  <si>
    <t>GT04582</t>
  </si>
  <si>
    <t>GT02232</t>
  </si>
  <si>
    <t>GT03522</t>
  </si>
  <si>
    <t>GT02642</t>
  </si>
  <si>
    <t>GT03232</t>
  </si>
  <si>
    <t>G1741</t>
  </si>
  <si>
    <t>G1740</t>
  </si>
  <si>
    <t>GT02942</t>
  </si>
  <si>
    <t>GT01932</t>
  </si>
  <si>
    <t>GT04622</t>
  </si>
  <si>
    <t>GT04702</t>
  </si>
  <si>
    <t>GT04572</t>
  </si>
  <si>
    <t>G17231</t>
  </si>
  <si>
    <t>G1723</t>
  </si>
  <si>
    <t>GT04822</t>
  </si>
  <si>
    <t>G1745</t>
  </si>
  <si>
    <t>G1739</t>
  </si>
  <si>
    <t>GT05182</t>
  </si>
  <si>
    <t>GT04502</t>
  </si>
  <si>
    <t>GT04562</t>
  </si>
  <si>
    <t>GT03802</t>
  </si>
  <si>
    <t>GT04262</t>
  </si>
  <si>
    <t>G1744</t>
  </si>
  <si>
    <t>GT02292</t>
  </si>
  <si>
    <t>G1735</t>
  </si>
  <si>
    <t>GT03872</t>
  </si>
  <si>
    <t>GT04612</t>
  </si>
  <si>
    <t>GT04602</t>
  </si>
  <si>
    <t>GT04492</t>
  </si>
  <si>
    <t>GT04552</t>
  </si>
  <si>
    <t>GT04672</t>
  </si>
  <si>
    <t>GT03822</t>
  </si>
  <si>
    <t>GT05202</t>
  </si>
  <si>
    <t>GT04252</t>
  </si>
  <si>
    <t>G1736</t>
  </si>
  <si>
    <t>GT04152</t>
  </si>
  <si>
    <t>GT04122</t>
  </si>
  <si>
    <t>G1742</t>
  </si>
  <si>
    <t>GT04442</t>
  </si>
  <si>
    <t>GT04662</t>
  </si>
  <si>
    <t>GT04542</t>
  </si>
  <si>
    <t>G1734</t>
  </si>
  <si>
    <t>G17361</t>
  </si>
  <si>
    <t>GT04202</t>
  </si>
  <si>
    <t>GT04062</t>
  </si>
  <si>
    <t>GT04652</t>
  </si>
  <si>
    <t>GT04592</t>
  </si>
  <si>
    <t>GT04482</t>
  </si>
  <si>
    <t>GT04472</t>
  </si>
  <si>
    <t>GT04532</t>
  </si>
  <si>
    <t>G17341</t>
  </si>
  <si>
    <t>G1733</t>
  </si>
  <si>
    <t>G1732</t>
  </si>
  <si>
    <t>G1727</t>
  </si>
  <si>
    <t>GT04242</t>
  </si>
  <si>
    <t>GT05372</t>
  </si>
  <si>
    <t>GT04462</t>
  </si>
  <si>
    <t>GT04452</t>
  </si>
  <si>
    <t>GT04512</t>
  </si>
  <si>
    <t>GT04522</t>
  </si>
  <si>
    <t>GT03412</t>
  </si>
  <si>
    <t>G1731</t>
  </si>
  <si>
    <t>G1730</t>
  </si>
  <si>
    <t>G1729</t>
  </si>
  <si>
    <t>GT04432</t>
  </si>
  <si>
    <t>GT04032</t>
  </si>
  <si>
    <t>G1726</t>
  </si>
  <si>
    <t>GT02892</t>
  </si>
  <si>
    <t>GT04422</t>
  </si>
  <si>
    <t>GT04642</t>
  </si>
  <si>
    <t>GT05112</t>
  </si>
  <si>
    <t>GT02922</t>
  </si>
  <si>
    <t>GT04332</t>
  </si>
  <si>
    <t>GT04172</t>
  </si>
  <si>
    <t>GT04162</t>
  </si>
  <si>
    <t>GT03752</t>
  </si>
  <si>
    <t>GT01362</t>
  </si>
  <si>
    <t>GT028821</t>
  </si>
  <si>
    <t>GT04412</t>
  </si>
  <si>
    <t>GT03032</t>
  </si>
  <si>
    <t>GT04022</t>
  </si>
  <si>
    <t>GT04362</t>
  </si>
  <si>
    <t>GT04222</t>
  </si>
  <si>
    <t>GT04082</t>
  </si>
  <si>
    <t>GT04402</t>
  </si>
  <si>
    <t>G1725</t>
  </si>
  <si>
    <t>GT03022</t>
  </si>
  <si>
    <t>GT04112</t>
  </si>
  <si>
    <t>GT02912</t>
  </si>
  <si>
    <t>GT02102</t>
  </si>
  <si>
    <t>GT03222</t>
  </si>
  <si>
    <t>GT02852</t>
  </si>
  <si>
    <t>GT04192</t>
  </si>
  <si>
    <t>G1717</t>
  </si>
  <si>
    <t>GT04392</t>
  </si>
  <si>
    <t>GT04012</t>
  </si>
  <si>
    <t>GT1252A</t>
  </si>
  <si>
    <t>GT00832</t>
  </si>
  <si>
    <t>GT02092</t>
  </si>
  <si>
    <t>GT01152</t>
  </si>
  <si>
    <t>GT02062</t>
  </si>
  <si>
    <t>GT03732</t>
  </si>
  <si>
    <t>GT04072</t>
  </si>
  <si>
    <t>GT04382</t>
  </si>
  <si>
    <t>GT03662</t>
  </si>
  <si>
    <t>GT03212</t>
  </si>
  <si>
    <t>GT02422</t>
  </si>
  <si>
    <t>GT04372</t>
  </si>
  <si>
    <t>Z_FACE CLEANSER</t>
  </si>
  <si>
    <t>1070</t>
  </si>
  <si>
    <t>ATORFIT TAB 20MG,FA,3X10</t>
  </si>
  <si>
    <t>RUPTEX TAB 10MG,FA,2X10'S</t>
  </si>
  <si>
    <t>ULCIZONE CAP 20MG,FA,1X14</t>
  </si>
  <si>
    <t>AMADAY TAB 10MG,FA,3X10</t>
  </si>
  <si>
    <t>ARTEFAN TAB 40/240MG,FA,2X6</t>
  </si>
  <si>
    <t>ARTEFAN DT 40/240MG,FA,1X6</t>
  </si>
  <si>
    <t>ARTEFAN TAB 60/360MG,APML,1X6</t>
  </si>
  <si>
    <t>PM01552</t>
  </si>
  <si>
    <t>PM01272</t>
  </si>
  <si>
    <t>PM01712</t>
  </si>
  <si>
    <t>PM01262</t>
  </si>
  <si>
    <t>PM01792</t>
  </si>
  <si>
    <t>PM01692</t>
  </si>
  <si>
    <t>PM01782</t>
  </si>
  <si>
    <t>PM01252</t>
  </si>
  <si>
    <t>PM01432</t>
  </si>
  <si>
    <t>PM01512</t>
  </si>
  <si>
    <t>PM01772</t>
  </si>
  <si>
    <t>PM01282</t>
  </si>
  <si>
    <t>PM01422</t>
  </si>
  <si>
    <t>PM01362</t>
  </si>
  <si>
    <t>PM00702</t>
  </si>
  <si>
    <t>PM01412</t>
  </si>
  <si>
    <t>PM01642</t>
  </si>
  <si>
    <t>PM01212</t>
  </si>
  <si>
    <t>PM01352</t>
  </si>
  <si>
    <t>PM01632</t>
  </si>
  <si>
    <t>PM01402</t>
  </si>
  <si>
    <t>PM01152</t>
  </si>
  <si>
    <t>PM01392</t>
  </si>
  <si>
    <t>PM01342</t>
  </si>
  <si>
    <t>PM01032</t>
  </si>
  <si>
    <t>PM01202</t>
  </si>
  <si>
    <t>PM01482</t>
  </si>
  <si>
    <t>PM01132</t>
  </si>
  <si>
    <t>PM00692</t>
  </si>
  <si>
    <t>PM00392</t>
  </si>
  <si>
    <t>PM01192</t>
  </si>
  <si>
    <t>PM00992</t>
  </si>
  <si>
    <t>PM01472</t>
  </si>
  <si>
    <t>PM01002</t>
  </si>
  <si>
    <t>PM01182</t>
  </si>
  <si>
    <t>PM00982</t>
  </si>
  <si>
    <t>PM01112</t>
  </si>
  <si>
    <t>PM00972</t>
  </si>
  <si>
    <t>PM01042</t>
  </si>
  <si>
    <t>PM01062</t>
  </si>
  <si>
    <t>PM01122</t>
  </si>
  <si>
    <t>PM00952</t>
  </si>
  <si>
    <t>PM00962</t>
  </si>
  <si>
    <t>1020</t>
  </si>
  <si>
    <t>KAMAGRA JELY 50,G.EXP,7,M/P/O/S/MA/B/BL</t>
  </si>
  <si>
    <t>KAMAGRA JELY 100MG/5GM,SING,1SAC,BLC,ES</t>
  </si>
  <si>
    <t>KAMAGRA JELY 100MG/5GM,SING,1SAC,BNA,ES</t>
  </si>
  <si>
    <t>NEBILOC CCB TAB 5/5MG,PHL,3X10</t>
  </si>
  <si>
    <t>APLEV M TAB 10/5MG,YEM,3X10'S</t>
  </si>
  <si>
    <t>DAPAGLIFLOZIN+METFORMINHCLERTAB10/1000MG</t>
  </si>
  <si>
    <t>RIDMAL TAB 80/640MG,FA,1X6</t>
  </si>
  <si>
    <t>TIBAN TAB 20MG,IRQ,3X10</t>
  </si>
  <si>
    <t>WIRZAP TAB 5MG,YEM,3X10'S</t>
  </si>
  <si>
    <t>ACTINAC PLUS TAB 100/500MG,RUS/UZB,2X10</t>
  </si>
  <si>
    <t>RIDMAL TAB 120/960MG,FA,1X3</t>
  </si>
  <si>
    <t>RIDMAL TAB 80/640MG,FA,1X3</t>
  </si>
  <si>
    <t>GLIMERON M2 TAB 2/500MG,FA,3X10</t>
  </si>
  <si>
    <t>APLENE CAP 75MG,G.EXP,1X14</t>
  </si>
  <si>
    <t>KAMAGRA JELLY 100MG/5GM,G.EXP,7,VOL I ES</t>
  </si>
  <si>
    <t>KAMAGRA JELY 100MG/5GM,SING,1SAC,STW,ES</t>
  </si>
  <si>
    <t>ACTINAC TAB 100MG,RUS/UZB,2X10'S</t>
  </si>
  <si>
    <t>ES-ULCIZONE TAB 20MG,FA,2X7</t>
  </si>
  <si>
    <t>METMIN SR TAB 1GM,FA,3X10</t>
  </si>
  <si>
    <t>INSTACLOP TAB 75MG,RUS/UZB,3X10</t>
  </si>
  <si>
    <t>ALPHABETA TAB 6.25MG,YEM,2X14</t>
  </si>
  <si>
    <t>GLYZERIC TAB 850MG,PHL,3X10</t>
  </si>
  <si>
    <t>KAMAGRA CT 100MG,G.EXP,1X4,PIN/MNT</t>
  </si>
  <si>
    <t>KAMAGRA TAB 100MG,RUS/KGZ,1X4'S</t>
  </si>
  <si>
    <t>LOVEGRA TAB 100MG,4</t>
  </si>
  <si>
    <t>KAMAGRA TAB 100MG,RUS/UZB,1X4'S</t>
  </si>
  <si>
    <t>CT03652</t>
  </si>
  <si>
    <t>CT03352</t>
  </si>
  <si>
    <t>CT03782</t>
  </si>
  <si>
    <t>CT03802</t>
  </si>
  <si>
    <t>CT03572</t>
  </si>
  <si>
    <t>CT03642</t>
  </si>
  <si>
    <t>CT03822</t>
  </si>
  <si>
    <t>CT03692</t>
  </si>
  <si>
    <t>CT00982</t>
  </si>
  <si>
    <t>CT00972</t>
  </si>
  <si>
    <t>CT03532</t>
  </si>
  <si>
    <t>CT03202</t>
  </si>
  <si>
    <t>CT02912</t>
  </si>
  <si>
    <t>CT03682</t>
  </si>
  <si>
    <t>CT03172</t>
  </si>
  <si>
    <t>CT03542</t>
  </si>
  <si>
    <t>CT03732</t>
  </si>
  <si>
    <t>CT03792</t>
  </si>
  <si>
    <t>CT03232</t>
  </si>
  <si>
    <t>CT03272</t>
  </si>
  <si>
    <t>CT03672</t>
  </si>
  <si>
    <t>CT02802</t>
  </si>
  <si>
    <t>CT03772</t>
  </si>
  <si>
    <t>CT02792</t>
  </si>
  <si>
    <t>CT03222</t>
  </si>
  <si>
    <t>CT03262</t>
  </si>
  <si>
    <t>CT03042</t>
  </si>
  <si>
    <t>CT02922</t>
  </si>
  <si>
    <t>CT02972</t>
  </si>
  <si>
    <t>CT03252</t>
  </si>
  <si>
    <t>CT03032</t>
  </si>
  <si>
    <t>CT03212</t>
  </si>
  <si>
    <t>CT02892</t>
  </si>
  <si>
    <t>CT03502</t>
  </si>
  <si>
    <t>CT03092</t>
  </si>
  <si>
    <t>CT03082</t>
  </si>
  <si>
    <t>CT02902</t>
  </si>
  <si>
    <t>CT02292</t>
  </si>
  <si>
    <t>CT02722</t>
  </si>
  <si>
    <t>CT03072</t>
  </si>
  <si>
    <t>CT02242</t>
  </si>
  <si>
    <t>CT02752</t>
  </si>
  <si>
    <t>CT02772</t>
  </si>
  <si>
    <t>CT02782</t>
  </si>
  <si>
    <t>CT03012</t>
  </si>
  <si>
    <t>CT03062</t>
  </si>
  <si>
    <t>CT03022</t>
  </si>
  <si>
    <t>CT02862</t>
  </si>
  <si>
    <t>CT02262</t>
  </si>
  <si>
    <t>CT03052</t>
  </si>
  <si>
    <t>CT02942</t>
  </si>
  <si>
    <t>CT02742</t>
  </si>
  <si>
    <t>CT02762</t>
  </si>
  <si>
    <t>CT02832</t>
  </si>
  <si>
    <t>CT01612</t>
  </si>
  <si>
    <t>CT02932</t>
  </si>
  <si>
    <t>CT02652</t>
  </si>
  <si>
    <t>CT02642</t>
  </si>
  <si>
    <t>CT02382</t>
  </si>
  <si>
    <t>CT02492</t>
  </si>
  <si>
    <t>CT02482</t>
  </si>
  <si>
    <t>CT02712</t>
  </si>
  <si>
    <t>CT02732</t>
  </si>
  <si>
    <t>CT02352</t>
  </si>
  <si>
    <t>CT02632</t>
  </si>
  <si>
    <t>CT02702</t>
  </si>
  <si>
    <t>CT02692</t>
  </si>
  <si>
    <t>CT01102</t>
  </si>
  <si>
    <t>CT02612</t>
  </si>
  <si>
    <t>CT01722</t>
  </si>
  <si>
    <t>CT02422</t>
  </si>
  <si>
    <t>CT02582</t>
  </si>
  <si>
    <t>CT02472</t>
  </si>
  <si>
    <t>CT01712</t>
  </si>
  <si>
    <t>CT02522</t>
  </si>
  <si>
    <t>APCOSULE CAP,RUS/KGZ,100</t>
  </si>
  <si>
    <t>DYLDES SYRUP 0.50MG/ML,FA,60ML</t>
  </si>
  <si>
    <t>DYLDES SYRUP,FA,60ML</t>
  </si>
  <si>
    <t>STOP COLIC SYRUP,ALG,120 ML</t>
  </si>
  <si>
    <t>KINTEX SYRUP,MORC,100ML</t>
  </si>
  <si>
    <t>APDYL H SYRUP,UGA,100ML</t>
  </si>
  <si>
    <t>FEDATE SYRUP,ZMB/GHA/UGA/KEN,200ML</t>
  </si>
  <si>
    <t>CK00882</t>
  </si>
  <si>
    <t>CK00902</t>
  </si>
  <si>
    <t>CK00692</t>
  </si>
  <si>
    <t>CK00812</t>
  </si>
  <si>
    <t>CK00802</t>
  </si>
  <si>
    <t>CK00682</t>
  </si>
  <si>
    <t>CK00792</t>
  </si>
  <si>
    <t>CK00672</t>
  </si>
  <si>
    <t>CK00862</t>
  </si>
  <si>
    <t>CK00842</t>
  </si>
  <si>
    <t>CK00662</t>
  </si>
  <si>
    <t>CK00832</t>
  </si>
  <si>
    <t>CK00822</t>
  </si>
  <si>
    <t>CK00782</t>
  </si>
  <si>
    <t>CK00772</t>
  </si>
  <si>
    <t>CK00762</t>
  </si>
  <si>
    <t>CK00742</t>
  </si>
  <si>
    <t>CK00732</t>
  </si>
  <si>
    <t>CK00722</t>
  </si>
  <si>
    <t>CK00712</t>
  </si>
  <si>
    <t>CK00702</t>
  </si>
  <si>
    <t>CK00642</t>
  </si>
  <si>
    <t>CK00652</t>
  </si>
  <si>
    <t>CK00632</t>
  </si>
  <si>
    <t>CK00622</t>
  </si>
  <si>
    <t>CK00612</t>
  </si>
  <si>
    <t>CK00602</t>
  </si>
  <si>
    <t>CK00592</t>
  </si>
  <si>
    <t>5029</t>
  </si>
  <si>
    <t>5051</t>
  </si>
  <si>
    <t>5058</t>
  </si>
  <si>
    <t>5004</t>
  </si>
  <si>
    <t>5072</t>
  </si>
  <si>
    <t>5066</t>
  </si>
  <si>
    <t>5044</t>
  </si>
  <si>
    <t>5049</t>
  </si>
  <si>
    <t>5005</t>
  </si>
  <si>
    <t>5052</t>
  </si>
  <si>
    <t>5018</t>
  </si>
  <si>
    <t>5038</t>
  </si>
  <si>
    <t>5079</t>
  </si>
  <si>
    <t>5070</t>
  </si>
  <si>
    <t>5081</t>
  </si>
  <si>
    <t>5014</t>
  </si>
  <si>
    <t>5028</t>
  </si>
  <si>
    <t>5071</t>
  </si>
  <si>
    <t>5011</t>
  </si>
  <si>
    <t>5025</t>
  </si>
  <si>
    <t>5046</t>
  </si>
  <si>
    <t>5060</t>
  </si>
  <si>
    <t>5034</t>
  </si>
  <si>
    <t>CMD_INJECTCARE</t>
  </si>
  <si>
    <t>CMD_DORTMUND</t>
  </si>
  <si>
    <t>CMD-SURYA HERBAL LTD</t>
  </si>
  <si>
    <t>CMD_BINI</t>
  </si>
  <si>
    <t>CMD-KANHA-II</t>
  </si>
  <si>
    <t>CETAZONE INJ 1GM WITH WFI,G.EXP,10ML</t>
  </si>
  <si>
    <t>BIMAT LS TM EYE DROPS,3ML</t>
  </si>
  <si>
    <t>AQUASOFT LOTION,IRQ/G.EXP,100ML</t>
  </si>
  <si>
    <t>BIDIN LS TM EYE DROPS,5ML</t>
  </si>
  <si>
    <t>LACOMA T EYE DROPS,2.5ML</t>
  </si>
  <si>
    <t>AQUREA CREAM 10,20GM,PS</t>
  </si>
  <si>
    <t>SOFTDROPS EYE DROPS 0.5/0.5%,KAZ,10ML</t>
  </si>
  <si>
    <t>SOFTDROPS EYE DRPS 0.5/0.5%,KEN/ZMB,10ML</t>
  </si>
  <si>
    <t>TRIMOL FORTE TAB,KGZ/RUS,10X10</t>
  </si>
  <si>
    <t>TALIMUS LS OINTMENT,5GM</t>
  </si>
  <si>
    <t>TALIMUS OINTMENT,5GM</t>
  </si>
  <si>
    <t>AQUREA CREAM 20,100GM</t>
  </si>
  <si>
    <t>TALIMUS LS OINTMENT,3GM,PS</t>
  </si>
  <si>
    <t>AZUSA TAB 8MG,10</t>
  </si>
  <si>
    <t>SALISIA KT SHAMPOO,75ML</t>
  </si>
  <si>
    <t>VOLGA R TAB 0.3/1MG,10'S</t>
  </si>
  <si>
    <t>HYANE EYE DROPS,10ML</t>
  </si>
  <si>
    <t>OPTRUMA EYE DROPS,10ML</t>
  </si>
  <si>
    <t>VOLGA R TAB 0.3/1MG,2'S</t>
  </si>
  <si>
    <t>NEPAFLAM OD EYE DROPS,3ML</t>
  </si>
  <si>
    <t>OLOPAT EYE DROPS 0.1%,KEN,5ML</t>
  </si>
  <si>
    <t>APMOL TAB 500MG,IRQ,100X10</t>
  </si>
  <si>
    <t>KAMAGRA GOLD TAB 50MG,1X4,WITH CTN</t>
  </si>
  <si>
    <t>LACOMA T EYE DRPS0.005/0.5,KEN/ZAM,2.5ML</t>
  </si>
  <si>
    <t>SYNACTIV TAB 5/1MG,PHL,3X10</t>
  </si>
  <si>
    <t>DIFLUMOX EYE DROPS,5ML</t>
  </si>
  <si>
    <t>APDROPS KT EYE DROPS,5ML (BF)</t>
  </si>
  <si>
    <t>TOVAXO-T EYE DROPS,2.5 ML</t>
  </si>
  <si>
    <t>BESIX EYE DROPS,2.5ML,PS</t>
  </si>
  <si>
    <t>SIPRAX CAP 200MG,G.EXP,1X6</t>
  </si>
  <si>
    <t>TRIMOL MAX OINTMENT,KGZ,25GM</t>
  </si>
  <si>
    <t>LACOMA T EYE DROPS,E/F/V/G.EXP,2.5ML</t>
  </si>
  <si>
    <t>BRINZOX EYE DROPS 1%,IRQ,5ML</t>
  </si>
  <si>
    <t>BIMAT-T EYE DROPS,3ML</t>
  </si>
  <si>
    <t>AZUSA TAB 16MG,10</t>
  </si>
  <si>
    <t>VOLIX R TAB 0.3/1MG,10'S</t>
  </si>
  <si>
    <t>AQUREA HF CREAM GEL 40%W/W,20GM,PS</t>
  </si>
  <si>
    <t>METXL H TAB 25/12.5MG,10X20'S</t>
  </si>
  <si>
    <t>VOLIBO R TAB 0.2/0.5MG,10'S</t>
  </si>
  <si>
    <t>VOLIX R TAB 0.2/0.5MG,10'S</t>
  </si>
  <si>
    <t>TYFLOX TAB 500MG,IRQ,1X10'S</t>
  </si>
  <si>
    <t>MELACARE CREAM 2/0.025/0.1%,ZMB,15GM</t>
  </si>
  <si>
    <t>FOCE TAB 100MG, FA,1X10</t>
  </si>
  <si>
    <t>FOCE TAB 200MG, FA,1X10</t>
  </si>
  <si>
    <t>MELACARE FORTE CREAM,4/0.025/0.1%,25GM</t>
  </si>
  <si>
    <t>AQUREA CREAM 20,20GM,PS</t>
  </si>
  <si>
    <t>FOCE TAB 100MG,FA,1X10</t>
  </si>
  <si>
    <t>FOCE TAB 200MG,FA,1X10</t>
  </si>
  <si>
    <t>SIPRAX ORAL SUSPENSION,G.EXP,60ML,STW</t>
  </si>
  <si>
    <t>RASGIL HTZ TAB 10/25MG,FA,3X10</t>
  </si>
  <si>
    <t>IC0012C</t>
  </si>
  <si>
    <t>E518</t>
  </si>
  <si>
    <t>E517</t>
  </si>
  <si>
    <t>E516</t>
  </si>
  <si>
    <t>ZA0032D</t>
  </si>
  <si>
    <t>ZA0012D</t>
  </si>
  <si>
    <t>ZA0022D</t>
  </si>
  <si>
    <t>AD0072D</t>
  </si>
  <si>
    <t>AD0082D</t>
  </si>
  <si>
    <t>AD0032D</t>
  </si>
  <si>
    <t>ZHZ0023</t>
  </si>
  <si>
    <t>VB0042D</t>
  </si>
  <si>
    <t>E510</t>
  </si>
  <si>
    <t>E511</t>
  </si>
  <si>
    <t>RT0102D</t>
  </si>
  <si>
    <t>VB0082D</t>
  </si>
  <si>
    <t>AD0022D</t>
  </si>
  <si>
    <t>E522</t>
  </si>
  <si>
    <t>E523</t>
  </si>
  <si>
    <t>AD0072C</t>
  </si>
  <si>
    <t>AD0012D</t>
  </si>
  <si>
    <t>E496</t>
  </si>
  <si>
    <t>AS0042D</t>
  </si>
  <si>
    <t>AS0052D</t>
  </si>
  <si>
    <t>AF0012C</t>
  </si>
  <si>
    <t>AF0022C</t>
  </si>
  <si>
    <t>AF0032C</t>
  </si>
  <si>
    <t>AF0042C</t>
  </si>
  <si>
    <t>AF0052C</t>
  </si>
  <si>
    <t>SB0082D</t>
  </si>
  <si>
    <t>CA0122D</t>
  </si>
  <si>
    <t>NN0012D</t>
  </si>
  <si>
    <t>NN0032D</t>
  </si>
  <si>
    <t>NN0042D</t>
  </si>
  <si>
    <t>VB0012D</t>
  </si>
  <si>
    <t>AS0032D</t>
  </si>
  <si>
    <t>SV0032D</t>
  </si>
  <si>
    <t>SV0042D</t>
  </si>
  <si>
    <t>VB0082C</t>
  </si>
  <si>
    <t>CA0102D</t>
  </si>
  <si>
    <t>CA0112D</t>
  </si>
  <si>
    <t>CA0032D</t>
  </si>
  <si>
    <t>MB0022C</t>
  </si>
  <si>
    <t>SB0032C</t>
  </si>
  <si>
    <t>SB0042C</t>
  </si>
  <si>
    <t>RT0082D</t>
  </si>
  <si>
    <t>RT0092D</t>
  </si>
  <si>
    <t>DM0022D</t>
  </si>
  <si>
    <t>DM0012D</t>
  </si>
  <si>
    <t>B667</t>
  </si>
  <si>
    <t>B666</t>
  </si>
  <si>
    <t>E497</t>
  </si>
  <si>
    <t>E509</t>
  </si>
  <si>
    <t>E508</t>
  </si>
  <si>
    <t>SB0072D</t>
  </si>
  <si>
    <t>CR0012D</t>
  </si>
  <si>
    <t>E507</t>
  </si>
  <si>
    <t>E506</t>
  </si>
  <si>
    <t>CR0022D</t>
  </si>
  <si>
    <t>IS0022D</t>
  </si>
  <si>
    <t>IS0012D</t>
  </si>
  <si>
    <t>SU0012C</t>
  </si>
  <si>
    <t>CR0042B</t>
  </si>
  <si>
    <t>IS0032D</t>
  </si>
  <si>
    <t>I267</t>
  </si>
  <si>
    <t>I266</t>
  </si>
  <si>
    <t>CA0082C</t>
  </si>
  <si>
    <t>SB0062D</t>
  </si>
  <si>
    <t>E505</t>
  </si>
  <si>
    <t>E504</t>
  </si>
  <si>
    <t>E503</t>
  </si>
  <si>
    <t>BN0012C</t>
  </si>
  <si>
    <t>BN0022C</t>
  </si>
  <si>
    <t>BN0032C</t>
  </si>
  <si>
    <t>BN0042C</t>
  </si>
  <si>
    <t>BN0052C</t>
  </si>
  <si>
    <t>SV0022D</t>
  </si>
  <si>
    <t>RT0062D</t>
  </si>
  <si>
    <t>RT0072D</t>
  </si>
  <si>
    <t>VB0062C</t>
  </si>
  <si>
    <t>SB0052D</t>
  </si>
  <si>
    <t>VB0032D</t>
  </si>
  <si>
    <t>KB0012C</t>
  </si>
  <si>
    <t>CA0062D</t>
  </si>
  <si>
    <t>RB0012C</t>
  </si>
  <si>
    <t>AS0022D</t>
  </si>
  <si>
    <t>SV0072C</t>
  </si>
  <si>
    <t>SV0012D</t>
  </si>
  <si>
    <t>RT0042D</t>
  </si>
  <si>
    <t>RT0032D</t>
  </si>
  <si>
    <t>SB0042D</t>
  </si>
  <si>
    <t>NN0052C</t>
  </si>
  <si>
    <t>NN0022C</t>
  </si>
  <si>
    <t>NN0042C</t>
  </si>
  <si>
    <t>NN0032C</t>
  </si>
  <si>
    <t>E498</t>
  </si>
  <si>
    <t>E499</t>
  </si>
  <si>
    <t>E500</t>
  </si>
  <si>
    <t>E501</t>
  </si>
  <si>
    <t>E502</t>
  </si>
  <si>
    <t>AS0012D</t>
  </si>
  <si>
    <t>VM0022C</t>
  </si>
  <si>
    <t>VM0032C</t>
  </si>
  <si>
    <t>VM0012C</t>
  </si>
  <si>
    <t>AS0032C</t>
  </si>
  <si>
    <t>AS0022C</t>
  </si>
  <si>
    <t>AD0092C</t>
  </si>
  <si>
    <t>AD0012C</t>
  </si>
  <si>
    <t>MB0012C</t>
  </si>
  <si>
    <t>AS0012C</t>
  </si>
  <si>
    <t>RT0012D</t>
  </si>
  <si>
    <t>RT0022D</t>
  </si>
  <si>
    <t>E490</t>
  </si>
  <si>
    <t>E493</t>
  </si>
  <si>
    <t>E494</t>
  </si>
  <si>
    <t>E495</t>
  </si>
  <si>
    <t>MB0032B</t>
  </si>
  <si>
    <t>SB0022D</t>
  </si>
  <si>
    <t>SB0032D</t>
  </si>
  <si>
    <t>AD0042B</t>
  </si>
  <si>
    <t>CR0012B</t>
  </si>
  <si>
    <t>CA0092C</t>
  </si>
  <si>
    <t>CA0112C</t>
  </si>
  <si>
    <t>CA0102C</t>
  </si>
  <si>
    <t>SB0012D</t>
  </si>
  <si>
    <t>AD0012B</t>
  </si>
  <si>
    <t>AD0022B</t>
  </si>
  <si>
    <t>AD0052B</t>
  </si>
  <si>
    <t>AD0062C</t>
  </si>
  <si>
    <t>CR0062C</t>
  </si>
  <si>
    <t>CR0022C</t>
  </si>
  <si>
    <t>ZHZ0017</t>
  </si>
  <si>
    <t>ZHZ0018</t>
  </si>
  <si>
    <t>ZHZ0015</t>
  </si>
  <si>
    <t>ZHZ0016</t>
  </si>
  <si>
    <t>VB0052C</t>
  </si>
  <si>
    <t>VB0012C</t>
  </si>
  <si>
    <t>E491</t>
  </si>
  <si>
    <t>E492</t>
  </si>
  <si>
    <t>E489</t>
  </si>
  <si>
    <t>AS0102C</t>
  </si>
  <si>
    <t>CR0012C</t>
  </si>
  <si>
    <t>ZHZ0013</t>
  </si>
  <si>
    <t>ZHZ0014</t>
  </si>
  <si>
    <t>AD0112B</t>
  </si>
  <si>
    <t>SB0012C</t>
  </si>
  <si>
    <t>AS0092C</t>
  </si>
  <si>
    <t>AS0082C</t>
  </si>
  <si>
    <t>VB0042C</t>
  </si>
  <si>
    <t>E467</t>
  </si>
  <si>
    <t>VB0102B</t>
  </si>
  <si>
    <t>VB0112B</t>
  </si>
  <si>
    <t>IS0042C</t>
  </si>
  <si>
    <t>IS0032C</t>
  </si>
  <si>
    <t>E488</t>
  </si>
  <si>
    <t>E483</t>
  </si>
  <si>
    <t>AS0072C</t>
  </si>
  <si>
    <t>AS0062C</t>
  </si>
  <si>
    <t>VB0072C</t>
  </si>
  <si>
    <t>MA0012C</t>
  </si>
  <si>
    <t>Z_INJECTION</t>
  </si>
  <si>
    <t>Besicor Tab 5Mg,15'S</t>
  </si>
  <si>
    <t>Caltuf Xt Tab,15'S</t>
  </si>
  <si>
    <t>Metxl R Tab 25/5Mg,15'S</t>
  </si>
  <si>
    <t>Mpride 1 Forte Sr Tab 1/1000Mg,15'S</t>
  </si>
  <si>
    <t>Mpride 2 Forte Sr Tab 2/1000Mg,15'S</t>
  </si>
  <si>
    <t>Mpride V1 Tab 1/500/0.2Mg,15'S</t>
  </si>
  <si>
    <t>Mpride V2 Tab 2/500/0.2Mg,2'S,Ps</t>
  </si>
  <si>
    <t>Vilatin Dp Tab 10/100Mg,10'S</t>
  </si>
  <si>
    <t>Zorbax Tab 500Mg,10'S</t>
  </si>
  <si>
    <t>Atorfit Cv Cap 40/75Mg,10'S</t>
  </si>
  <si>
    <t>Atorfit Cv Gold Cap 10/75/75Mg,15'S</t>
  </si>
  <si>
    <t>Atorfit Cv Gold Cap 20/75/75Mg,15'S</t>
  </si>
  <si>
    <t>Atorfit Cv Gold Cap 20/75/75Mg,2'S</t>
  </si>
  <si>
    <t>Rosutor A Cap 10/150Mg,15'S</t>
  </si>
  <si>
    <t>Rosutor A Cap 20/75Mg,20'S</t>
  </si>
  <si>
    <t>Rosutor Gold Cap 20/75/75Mg,15'S</t>
  </si>
  <si>
    <t>Civaderm Cream 1%,5Gm,Ps</t>
  </si>
  <si>
    <t>Salisia Tv Lotion,30Ml,Ps</t>
  </si>
  <si>
    <t>Sunstop Gold Cream,50Gm</t>
  </si>
  <si>
    <t>Hypoclin Solution,60Ml</t>
  </si>
  <si>
    <t>Salisia Tv Lotion,50Ml</t>
  </si>
  <si>
    <t>Tricosilk Pro Solution,20Ml,Ps</t>
  </si>
  <si>
    <t>Prixain Gel,30Gm</t>
  </si>
  <si>
    <t>Prixain Gel,7Gm,Ps</t>
  </si>
  <si>
    <t>Aplovir Lozenges 10Mg,10'S,Lemon</t>
  </si>
  <si>
    <t>Amfocin Tab 500/62.5Mg,Fa,2X8</t>
  </si>
  <si>
    <t>Amfocin Tab 875/125Mg,Fa,2X7</t>
  </si>
  <si>
    <t>Dospin A Forte Cap 20/75/75Mg,Irq,2X14</t>
  </si>
  <si>
    <t>Polyvue Eye Drops 1/3.5Mg/6000Iu,Fa,3Ml</t>
  </si>
  <si>
    <t>Athrita Inj 80Mg/Ml,Fa,6</t>
  </si>
  <si>
    <t>SY02922D</t>
  </si>
  <si>
    <t>SP00522C</t>
  </si>
  <si>
    <t>S220603D</t>
  </si>
  <si>
    <t>2T22042</t>
  </si>
  <si>
    <t>EMV220533D</t>
  </si>
  <si>
    <t>S220132C</t>
  </si>
  <si>
    <t>AMT2204</t>
  </si>
  <si>
    <t>AMF2205</t>
  </si>
  <si>
    <t>DT1612</t>
  </si>
  <si>
    <t>DT1622</t>
  </si>
  <si>
    <t>DT2212</t>
  </si>
  <si>
    <t>DT2222</t>
  </si>
  <si>
    <t>S220219C</t>
  </si>
  <si>
    <t>S220333C</t>
  </si>
  <si>
    <t>EMV220631A</t>
  </si>
  <si>
    <t>SY02822D</t>
  </si>
  <si>
    <t>G3182008</t>
  </si>
  <si>
    <t>G3182009</t>
  </si>
  <si>
    <t>G3182010</t>
  </si>
  <si>
    <t>ATC22001</t>
  </si>
  <si>
    <t>S220144C</t>
  </si>
  <si>
    <t>S220143C</t>
  </si>
  <si>
    <t>ARO2201</t>
  </si>
  <si>
    <t>RT-22001</t>
  </si>
  <si>
    <t>SY02622D</t>
  </si>
  <si>
    <t>SY02722D</t>
  </si>
  <si>
    <t>3F22017</t>
  </si>
  <si>
    <t>O22CC002</t>
  </si>
  <si>
    <t>O22CA001</t>
  </si>
  <si>
    <t>O22AX004</t>
  </si>
  <si>
    <t>L22Q2001</t>
  </si>
  <si>
    <t>AH22012</t>
  </si>
  <si>
    <t>DV22C201</t>
  </si>
  <si>
    <t>DV22C202</t>
  </si>
  <si>
    <t>L22Q3001</t>
  </si>
  <si>
    <t>L22Q3002</t>
  </si>
  <si>
    <t>DF017</t>
  </si>
  <si>
    <t>CPKAH02</t>
  </si>
  <si>
    <t>AH22013</t>
  </si>
  <si>
    <t>AH22014</t>
  </si>
  <si>
    <t>AH22015</t>
  </si>
  <si>
    <t>PPKBT05</t>
  </si>
  <si>
    <t>LAPL22003</t>
  </si>
  <si>
    <t>B3244</t>
  </si>
  <si>
    <t>B3242</t>
  </si>
  <si>
    <t>B3243</t>
  </si>
  <si>
    <t>MNAE34</t>
  </si>
  <si>
    <t>22LGEC01</t>
  </si>
  <si>
    <t>22LGEC02</t>
  </si>
  <si>
    <t>SG21005C</t>
  </si>
  <si>
    <t>SG21006C</t>
  </si>
  <si>
    <t>SG21007D</t>
  </si>
  <si>
    <t>TAJAF2007</t>
  </si>
  <si>
    <t>TAJAF2008</t>
  </si>
  <si>
    <t>22DC19</t>
  </si>
  <si>
    <t>22TA02</t>
  </si>
  <si>
    <t>Gel</t>
  </si>
  <si>
    <t>Total (Rs. Lacs)</t>
  </si>
  <si>
    <t>Third Party</t>
  </si>
  <si>
    <t>Contract Manufacturing</t>
  </si>
  <si>
    <t>Chikalthana</t>
  </si>
  <si>
    <t>Chitegaon</t>
  </si>
  <si>
    <t>Pithampur</t>
  </si>
  <si>
    <t>Guwahati</t>
  </si>
  <si>
    <t>Dahej</t>
  </si>
  <si>
    <t>Paithan</t>
  </si>
  <si>
    <t xml:space="preserve">% </t>
  </si>
  <si>
    <t>VOP</t>
  </si>
  <si>
    <t>DPCO</t>
  </si>
  <si>
    <t>Location</t>
  </si>
  <si>
    <t>Rs. Lacs</t>
  </si>
  <si>
    <t>DPCO Rate</t>
  </si>
  <si>
    <t>DPCO Value</t>
  </si>
  <si>
    <t>VOP Rate</t>
  </si>
  <si>
    <t>Summary of VOP for the month of April 2022</t>
  </si>
  <si>
    <t>FG Institution</t>
  </si>
  <si>
    <t>1. PTN</t>
  </si>
  <si>
    <t>4. CTGN</t>
  </si>
  <si>
    <t>2. DHJ</t>
  </si>
  <si>
    <t>3. GHT</t>
  </si>
  <si>
    <t>5. PMR</t>
  </si>
  <si>
    <t>Pitampur</t>
  </si>
  <si>
    <t>6. CKT</t>
  </si>
  <si>
    <t>8. TP</t>
  </si>
  <si>
    <t>7. CML</t>
  </si>
  <si>
    <t xml:space="preserve">VOP IN Cr </t>
  </si>
  <si>
    <t>Qty. in Nos. in cr</t>
  </si>
  <si>
    <t>2022-23</t>
  </si>
  <si>
    <t>Shampoo/Soap/Lotion/Face wash</t>
  </si>
  <si>
    <t>Cream/Ointment</t>
  </si>
  <si>
    <t>Eye Drop</t>
  </si>
  <si>
    <t>Powder/PFOS/Granules</t>
  </si>
  <si>
    <t>Liquid/Syrup/Solution</t>
  </si>
  <si>
    <t>Year</t>
  </si>
  <si>
    <t>Month</t>
  </si>
  <si>
    <t>1030</t>
  </si>
  <si>
    <t>DAHEJ</t>
  </si>
  <si>
    <t>GUWAHATI</t>
  </si>
  <si>
    <t>PITHAMPUR</t>
  </si>
  <si>
    <t>CHITEGAON</t>
  </si>
  <si>
    <t>CHIKALTHANA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</si>
</sst>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[$-409]d\-mmm\-yy;@"/>
    <numFmt numFmtId="167" formatCode="_ [$₹-4009]\ * #,##0.00_ ;_ [$₹-4009]\ * \-#,##0.00_ ;_ [$₹-4009]\ * &quot;-&quot;??_ ;_ @_ "/>
    <numFmt numFmtId="168" formatCode="_ [$₹-4009]\ * #,##0_ ;_ [$₹-4009]\ * \-#,##0_ ;_ [$₹-4009]\ * &quot;-&quot;??_ ;_ @_ "/>
  </numFmts>
  <fonts count="12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indexed="64"/>
      </top>
      <bottom style="double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82"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NumberFormat="1" applyFont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vertical="top"/>
    </xf>
    <xf numFmtId="165" fontId="3" fillId="0" borderId="0" xfId="1" applyNumberFormat="1" applyFont="1" applyAlignment="1">
      <alignment horizontal="right" vertical="top"/>
    </xf>
    <xf numFmtId="165" fontId="3" fillId="0" borderId="0" xfId="1" applyNumberFormat="1" applyFont="1" applyAlignment="1">
      <alignment vertical="top"/>
    </xf>
    <xf numFmtId="0" fontId="5" fillId="0" borderId="0" xfId="0" applyFont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165" fontId="6" fillId="0" borderId="0" xfId="1" applyNumberFormat="1" applyFont="1" applyBorder="1"/>
    <xf numFmtId="0" fontId="5" fillId="0" borderId="0" xfId="3" applyFont="1" applyFill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 wrapText="1"/>
    </xf>
    <xf numFmtId="165" fontId="7" fillId="0" borderId="4" xfId="1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165" fontId="6" fillId="0" borderId="0" xfId="1" applyNumberFormat="1" applyFont="1" applyAlignment="1">
      <alignment vertical="top"/>
    </xf>
    <xf numFmtId="0" fontId="6" fillId="0" borderId="1" xfId="0" applyFont="1" applyBorder="1" applyAlignment="1">
      <alignment vertical="top"/>
    </xf>
    <xf numFmtId="0" fontId="5" fillId="0" borderId="0" xfId="3" applyFont="1" applyFill="1" applyBorder="1" applyAlignment="1">
      <alignment horizontal="center"/>
    </xf>
    <xf numFmtId="0" fontId="8" fillId="0" borderId="0" xfId="3" applyFont="1" applyFill="1" applyBorder="1" applyAlignment="1">
      <alignment horizontal="center"/>
    </xf>
    <xf numFmtId="0" fontId="8" fillId="0" borderId="0" xfId="3" applyFont="1" applyFill="1" applyBorder="1" applyAlignment="1">
      <alignment horizontal="left"/>
    </xf>
    <xf numFmtId="165" fontId="8" fillId="0" borderId="0" xfId="1" applyNumberFormat="1" applyFont="1" applyFill="1" applyBorder="1" applyAlignment="1">
      <alignment horizontal="left"/>
    </xf>
    <xf numFmtId="165" fontId="8" fillId="0" borderId="0" xfId="1" applyNumberFormat="1" applyFont="1" applyFill="1" applyBorder="1" applyAlignment="1">
      <alignment horizontal="right" vertical="top"/>
    </xf>
    <xf numFmtId="0" fontId="5" fillId="0" borderId="1" xfId="3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165" fontId="6" fillId="0" borderId="0" xfId="1" applyNumberFormat="1" applyFont="1" applyAlignment="1">
      <alignment horizontal="right" vertical="top"/>
    </xf>
    <xf numFmtId="0" fontId="8" fillId="0" borderId="0" xfId="3" applyFont="1" applyFill="1" applyBorder="1" applyAlignment="1"/>
    <xf numFmtId="165" fontId="8" fillId="0" borderId="0" xfId="1" applyNumberFormat="1" applyFont="1" applyFill="1" applyBorder="1" applyAlignment="1"/>
    <xf numFmtId="165" fontId="8" fillId="0" borderId="0" xfId="1" applyNumberFormat="1" applyFont="1" applyFill="1" applyBorder="1" applyAlignment="1">
      <alignment horizontal="right"/>
    </xf>
    <xf numFmtId="0" fontId="5" fillId="0" borderId="0" xfId="3" applyFont="1" applyFill="1" applyBorder="1" applyAlignment="1"/>
    <xf numFmtId="165" fontId="8" fillId="0" borderId="0" xfId="1" applyNumberFormat="1" applyFont="1" applyFill="1" applyBorder="1" applyAlignment="1">
      <alignment vertical="top"/>
    </xf>
    <xf numFmtId="165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horizontal="right" vertical="center" wrapText="1"/>
    </xf>
    <xf numFmtId="0" fontId="8" fillId="0" borderId="0" xfId="3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vertical="top"/>
    </xf>
    <xf numFmtId="165" fontId="6" fillId="0" borderId="0" xfId="1" applyNumberFormat="1" applyFont="1" applyFill="1" applyBorder="1" applyAlignment="1">
      <alignment vertical="top"/>
    </xf>
    <xf numFmtId="0" fontId="6" fillId="0" borderId="0" xfId="0" applyFont="1" applyFill="1" applyBorder="1" applyAlignment="1">
      <alignment horizontal="left" vertical="top"/>
    </xf>
    <xf numFmtId="0" fontId="8" fillId="0" borderId="0" xfId="3" applyFont="1" applyFill="1" applyBorder="1"/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6" fillId="0" borderId="0" xfId="0" applyFont="1" applyBorder="1" applyAlignment="1">
      <alignment vertical="top"/>
    </xf>
    <xf numFmtId="164" fontId="6" fillId="0" borderId="0" xfId="1" applyFont="1" applyBorder="1" applyAlignment="1">
      <alignment vertical="top"/>
    </xf>
    <xf numFmtId="166" fontId="7" fillId="0" borderId="0" xfId="1" applyNumberFormat="1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164" fontId="6" fillId="0" borderId="0" xfId="1" applyFont="1" applyBorder="1" applyAlignment="1">
      <alignment horizontal="center" vertical="top"/>
    </xf>
    <xf numFmtId="3" fontId="6" fillId="0" borderId="0" xfId="0" applyNumberFormat="1" applyFont="1" applyBorder="1" applyAlignment="1">
      <alignment vertical="top"/>
    </xf>
    <xf numFmtId="3" fontId="7" fillId="0" borderId="0" xfId="0" applyNumberFormat="1" applyFont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164" fontId="7" fillId="0" borderId="1" xfId="1" applyFont="1" applyBorder="1" applyAlignment="1">
      <alignment horizontal="center" vertical="top"/>
    </xf>
    <xf numFmtId="0" fontId="7" fillId="0" borderId="0" xfId="0" applyFont="1" applyBorder="1" applyAlignment="1">
      <alignment vertical="top"/>
    </xf>
    <xf numFmtId="165" fontId="8" fillId="0" borderId="0" xfId="1" applyNumberFormat="1" applyFont="1" applyAlignment="1">
      <alignment horizontal="right" vertical="top"/>
    </xf>
    <xf numFmtId="164" fontId="6" fillId="0" borderId="0" xfId="1" applyFont="1" applyBorder="1" applyAlignment="1">
      <alignment horizontal="right" vertical="top"/>
    </xf>
    <xf numFmtId="164" fontId="7" fillId="0" borderId="0" xfId="0" applyNumberFormat="1" applyFont="1" applyBorder="1" applyAlignment="1">
      <alignment horizontal="right" vertical="top"/>
    </xf>
    <xf numFmtId="164" fontId="7" fillId="0" borderId="1" xfId="1" applyFont="1" applyBorder="1" applyAlignment="1">
      <alignment horizontal="right" vertical="top"/>
    </xf>
    <xf numFmtId="0" fontId="6" fillId="0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center"/>
    </xf>
    <xf numFmtId="165" fontId="7" fillId="0" borderId="1" xfId="1" applyNumberFormat="1" applyFont="1" applyBorder="1"/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165" fontId="7" fillId="0" borderId="1" xfId="1" applyNumberFormat="1" applyFont="1" applyBorder="1" applyAlignment="1">
      <alignment horizontal="right" vertical="top"/>
    </xf>
    <xf numFmtId="165" fontId="7" fillId="0" borderId="1" xfId="1" applyNumberFormat="1" applyFont="1" applyBorder="1" applyAlignment="1">
      <alignment vertical="top"/>
    </xf>
    <xf numFmtId="0" fontId="6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horizontal="center" vertical="top"/>
    </xf>
    <xf numFmtId="165" fontId="7" fillId="0" borderId="1" xfId="1" applyNumberFormat="1" applyFont="1" applyFill="1" applyBorder="1" applyAlignment="1">
      <alignment vertical="top"/>
    </xf>
    <xf numFmtId="0" fontId="8" fillId="0" borderId="1" xfId="3" applyFont="1" applyFill="1" applyBorder="1" applyAlignment="1">
      <alignment horizontal="center"/>
    </xf>
    <xf numFmtId="0" fontId="8" fillId="0" borderId="1" xfId="3" applyFont="1" applyFill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top"/>
    </xf>
    <xf numFmtId="165" fontId="8" fillId="0" borderId="1" xfId="1" applyNumberFormat="1" applyFont="1" applyBorder="1" applyAlignment="1">
      <alignment horizontal="right" vertical="top"/>
    </xf>
    <xf numFmtId="165" fontId="5" fillId="0" borderId="1" xfId="1" applyNumberFormat="1" applyFont="1" applyBorder="1" applyAlignment="1">
      <alignment horizontal="right" vertical="top"/>
    </xf>
    <xf numFmtId="165" fontId="7" fillId="0" borderId="1" xfId="1" applyNumberFormat="1" applyFont="1" applyBorder="1" applyAlignment="1">
      <alignment horizontal="right"/>
    </xf>
    <xf numFmtId="165" fontId="8" fillId="0" borderId="0" xfId="1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3" fontId="8" fillId="0" borderId="0" xfId="3" applyNumberFormat="1" applyFont="1" applyFill="1" applyBorder="1"/>
    <xf numFmtId="0" fontId="8" fillId="0" borderId="1" xfId="3" applyFont="1" applyFill="1" applyBorder="1"/>
    <xf numFmtId="3" fontId="5" fillId="0" borderId="1" xfId="3" applyNumberFormat="1" applyFont="1" applyFill="1" applyBorder="1"/>
    <xf numFmtId="165" fontId="8" fillId="0" borderId="0" xfId="1" applyNumberFormat="1" applyFont="1" applyFill="1" applyBorder="1"/>
    <xf numFmtId="165" fontId="6" fillId="0" borderId="1" xfId="1" applyNumberFormat="1" applyFont="1" applyBorder="1" applyAlignment="1">
      <alignment vertical="top"/>
    </xf>
    <xf numFmtId="0" fontId="5" fillId="0" borderId="3" xfId="0" applyFont="1" applyBorder="1" applyAlignment="1">
      <alignment horizontal="left" vertical="center" wrapText="1"/>
    </xf>
    <xf numFmtId="165" fontId="6" fillId="0" borderId="1" xfId="1" applyNumberFormat="1" applyFont="1" applyFill="1" applyBorder="1" applyAlignment="1">
      <alignment vertical="top"/>
    </xf>
    <xf numFmtId="165" fontId="6" fillId="0" borderId="0" xfId="1" applyNumberFormat="1" applyFont="1" applyBorder="1" applyAlignment="1">
      <alignment horizontal="right"/>
    </xf>
    <xf numFmtId="165" fontId="5" fillId="0" borderId="3" xfId="1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/>
    </xf>
    <xf numFmtId="3" fontId="6" fillId="0" borderId="0" xfId="0" applyNumberFormat="1" applyFont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1" xfId="3" applyFont="1" applyFill="1" applyBorder="1" applyAlignment="1">
      <alignment horizontal="left" vertical="center" wrapText="1"/>
    </xf>
    <xf numFmtId="0" fontId="6" fillId="0" borderId="0" xfId="0" applyNumberFormat="1" applyFont="1" applyAlignment="1">
      <alignment horizontal="center" vertical="top"/>
    </xf>
    <xf numFmtId="0" fontId="5" fillId="0" borderId="1" xfId="3" applyFont="1" applyFill="1" applyBorder="1" applyAlignment="1">
      <alignment vertical="center" wrapText="1"/>
    </xf>
    <xf numFmtId="0" fontId="6" fillId="0" borderId="1" xfId="0" applyNumberFormat="1" applyFont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0" borderId="1" xfId="0" applyFont="1" applyBorder="1" applyAlignment="1">
      <alignment horizontal="left" vertical="center"/>
    </xf>
    <xf numFmtId="165" fontId="8" fillId="0" borderId="0" xfId="1" applyNumberFormat="1" applyFont="1" applyBorder="1" applyAlignment="1">
      <alignment vertical="center"/>
    </xf>
    <xf numFmtId="165" fontId="5" fillId="0" borderId="1" xfId="1" applyNumberFormat="1" applyFont="1" applyBorder="1" applyAlignment="1">
      <alignment vertical="center"/>
    </xf>
    <xf numFmtId="165" fontId="8" fillId="0" borderId="0" xfId="1" applyNumberFormat="1" applyFont="1" applyBorder="1" applyAlignment="1">
      <alignment horizontal="center" vertical="center"/>
    </xf>
    <xf numFmtId="3" fontId="8" fillId="0" borderId="0" xfId="0" applyNumberFormat="1" applyFont="1" applyAlignment="1">
      <alignment vertical="top"/>
    </xf>
    <xf numFmtId="3" fontId="8" fillId="0" borderId="1" xfId="0" applyNumberFormat="1" applyFont="1" applyBorder="1" applyAlignment="1">
      <alignment vertical="top"/>
    </xf>
    <xf numFmtId="165" fontId="8" fillId="0" borderId="0" xfId="3" applyNumberFormat="1" applyFont="1" applyFill="1" applyBorder="1"/>
    <xf numFmtId="164" fontId="0" fillId="0" borderId="0" xfId="0" applyNumberFormat="1" applyAlignment="1">
      <alignment vertical="top"/>
    </xf>
    <xf numFmtId="9" fontId="9" fillId="0" borderId="5" xfId="4" applyFont="1" applyFill="1" applyBorder="1" applyAlignment="1"/>
    <xf numFmtId="164" fontId="9" fillId="0" borderId="5" xfId="5" applyFont="1" applyFill="1" applyBorder="1" applyAlignment="1"/>
    <xf numFmtId="0" fontId="9" fillId="0" borderId="5" xfId="6" applyFont="1" applyFill="1" applyBorder="1" applyAlignment="1">
      <alignment horizontal="center"/>
    </xf>
    <xf numFmtId="9" fontId="10" fillId="0" borderId="0" xfId="4" applyFont="1" applyFill="1" applyBorder="1" applyAlignment="1" applyProtection="1"/>
    <xf numFmtId="164" fontId="10" fillId="0" borderId="0" xfId="1" applyFont="1" applyFill="1" applyBorder="1" applyAlignment="1" applyProtection="1"/>
    <xf numFmtId="164" fontId="10" fillId="0" borderId="0" xfId="7" applyFont="1" applyFill="1" applyBorder="1" applyAlignment="1" applyProtection="1"/>
    <xf numFmtId="164" fontId="10" fillId="0" borderId="0" xfId="7" applyFont="1" applyFill="1" applyAlignment="1" applyProtection="1"/>
    <xf numFmtId="0" fontId="9" fillId="0" borderId="1" xfId="6" applyFont="1" applyFill="1" applyBorder="1" applyAlignment="1">
      <alignment horizontal="center"/>
    </xf>
    <xf numFmtId="164" fontId="9" fillId="0" borderId="1" xfId="7" applyFont="1" applyFill="1" applyBorder="1" applyAlignment="1"/>
    <xf numFmtId="164" fontId="11" fillId="0" borderId="0" xfId="7" applyFont="1" applyFill="1" applyBorder="1" applyAlignment="1">
      <alignment horizontal="right"/>
    </xf>
    <xf numFmtId="164" fontId="11" fillId="0" borderId="0" xfId="7" applyFont="1" applyFill="1" applyBorder="1" applyAlignment="1">
      <alignment horizontal="left"/>
    </xf>
    <xf numFmtId="164" fontId="9" fillId="0" borderId="0" xfId="7" applyFont="1" applyFill="1" applyBorder="1" applyAlignment="1">
      <alignment horizontal="left"/>
    </xf>
    <xf numFmtId="167" fontId="5" fillId="0" borderId="1" xfId="1" applyNumberFormat="1" applyFont="1" applyFill="1" applyBorder="1" applyAlignment="1">
      <alignment horizontal="center" vertical="center" wrapText="1"/>
    </xf>
    <xf numFmtId="168" fontId="5" fillId="0" borderId="1" xfId="1" applyNumberFormat="1" applyFont="1" applyFill="1" applyBorder="1" applyAlignment="1">
      <alignment horizontal="center" vertical="center" wrapText="1"/>
    </xf>
    <xf numFmtId="167" fontId="8" fillId="0" borderId="0" xfId="1" applyNumberFormat="1" applyFont="1" applyFill="1" applyBorder="1" applyAlignment="1">
      <alignment horizontal="left"/>
    </xf>
    <xf numFmtId="167" fontId="6" fillId="0" borderId="0" xfId="1" applyNumberFormat="1" applyFont="1" applyAlignment="1">
      <alignment vertical="top"/>
    </xf>
    <xf numFmtId="167" fontId="7" fillId="0" borderId="1" xfId="0" applyNumberFormat="1" applyFont="1" applyBorder="1" applyAlignment="1">
      <alignment horizontal="right" vertical="top"/>
    </xf>
    <xf numFmtId="167" fontId="7" fillId="0" borderId="1" xfId="1" applyNumberFormat="1" applyFont="1" applyBorder="1" applyAlignment="1">
      <alignment vertical="top"/>
    </xf>
    <xf numFmtId="167" fontId="6" fillId="0" borderId="0" xfId="0" applyNumberFormat="1" applyFont="1" applyAlignment="1">
      <alignment vertical="top"/>
    </xf>
    <xf numFmtId="167" fontId="7" fillId="0" borderId="1" xfId="1" applyNumberFormat="1" applyFont="1" applyBorder="1"/>
    <xf numFmtId="168" fontId="8" fillId="0" borderId="0" xfId="1" applyNumberFormat="1" applyFont="1" applyFill="1" applyBorder="1" applyAlignment="1">
      <alignment horizontal="left"/>
    </xf>
    <xf numFmtId="168" fontId="6" fillId="0" borderId="0" xfId="1" applyNumberFormat="1" applyFont="1" applyAlignment="1">
      <alignment vertical="top"/>
    </xf>
    <xf numFmtId="168" fontId="7" fillId="0" borderId="1" xfId="0" applyNumberFormat="1" applyFont="1" applyBorder="1" applyAlignment="1">
      <alignment horizontal="right" vertical="top"/>
    </xf>
    <xf numFmtId="168" fontId="7" fillId="0" borderId="1" xfId="1" applyNumberFormat="1" applyFont="1" applyBorder="1" applyAlignment="1">
      <alignment vertical="top"/>
    </xf>
    <xf numFmtId="168" fontId="6" fillId="0" borderId="0" xfId="0" applyNumberFormat="1" applyFont="1" applyAlignment="1">
      <alignment vertical="top"/>
    </xf>
    <xf numFmtId="168" fontId="7" fillId="0" borderId="1" xfId="1" applyNumberFormat="1" applyFont="1" applyBorder="1"/>
    <xf numFmtId="167" fontId="6" fillId="0" borderId="0" xfId="1" applyNumberFormat="1" applyFont="1" applyFill="1" applyBorder="1" applyAlignment="1">
      <alignment vertical="top"/>
    </xf>
    <xf numFmtId="167" fontId="7" fillId="0" borderId="1" xfId="1" applyNumberFormat="1" applyFont="1" applyFill="1" applyBorder="1" applyAlignment="1">
      <alignment vertical="top"/>
    </xf>
    <xf numFmtId="168" fontId="6" fillId="0" borderId="0" xfId="1" applyNumberFormat="1" applyFont="1" applyFill="1" applyBorder="1" applyAlignment="1">
      <alignment vertical="top"/>
    </xf>
    <xf numFmtId="168" fontId="7" fillId="0" borderId="1" xfId="1" applyNumberFormat="1" applyFont="1" applyFill="1" applyBorder="1" applyAlignment="1">
      <alignment vertical="top"/>
    </xf>
    <xf numFmtId="167" fontId="8" fillId="0" borderId="0" xfId="1" applyNumberFormat="1" applyFont="1" applyFill="1" applyBorder="1" applyAlignment="1">
      <alignment horizontal="right"/>
    </xf>
    <xf numFmtId="167" fontId="6" fillId="0" borderId="0" xfId="1" applyNumberFormat="1" applyFont="1" applyAlignment="1">
      <alignment horizontal="right" vertical="top"/>
    </xf>
    <xf numFmtId="167" fontId="7" fillId="0" borderId="1" xfId="1" applyNumberFormat="1" applyFont="1" applyBorder="1" applyAlignment="1">
      <alignment horizontal="right" vertical="top"/>
    </xf>
    <xf numFmtId="168" fontId="8" fillId="0" borderId="0" xfId="1" applyNumberFormat="1" applyFont="1" applyFill="1" applyBorder="1" applyAlignment="1">
      <alignment horizontal="right"/>
    </xf>
    <xf numFmtId="168" fontId="6" fillId="0" borderId="0" xfId="1" applyNumberFormat="1" applyFont="1" applyAlignment="1">
      <alignment horizontal="right" vertical="top"/>
    </xf>
    <xf numFmtId="168" fontId="7" fillId="0" borderId="1" xfId="1" applyNumberFormat="1" applyFont="1" applyBorder="1" applyAlignment="1">
      <alignment horizontal="right" vertical="top"/>
    </xf>
    <xf numFmtId="167" fontId="8" fillId="0" borderId="0" xfId="1" applyNumberFormat="1" applyFont="1" applyFill="1" applyBorder="1" applyAlignment="1">
      <alignment horizontal="right" vertical="top"/>
    </xf>
    <xf numFmtId="167" fontId="8" fillId="0" borderId="0" xfId="1" applyNumberFormat="1" applyFont="1" applyFill="1" applyBorder="1"/>
    <xf numFmtId="167" fontId="5" fillId="0" borderId="1" xfId="3" applyNumberFormat="1" applyFont="1" applyFill="1" applyBorder="1"/>
    <xf numFmtId="168" fontId="8" fillId="0" borderId="0" xfId="1" applyNumberFormat="1" applyFont="1" applyFill="1" applyBorder="1" applyAlignment="1">
      <alignment horizontal="right" vertical="top"/>
    </xf>
    <xf numFmtId="168" fontId="8" fillId="0" borderId="0" xfId="1" applyNumberFormat="1" applyFont="1" applyFill="1" applyBorder="1"/>
    <xf numFmtId="168" fontId="5" fillId="0" borderId="1" xfId="3" applyNumberFormat="1" applyFont="1" applyFill="1" applyBorder="1"/>
    <xf numFmtId="167" fontId="6" fillId="0" borderId="0" xfId="1" applyNumberFormat="1" applyFont="1" applyBorder="1"/>
    <xf numFmtId="167" fontId="7" fillId="0" borderId="1" xfId="1" applyNumberFormat="1" applyFont="1" applyBorder="1" applyAlignment="1">
      <alignment horizontal="right"/>
    </xf>
    <xf numFmtId="168" fontId="6" fillId="0" borderId="0" xfId="1" applyNumberFormat="1" applyFont="1" applyBorder="1"/>
    <xf numFmtId="168" fontId="7" fillId="0" borderId="1" xfId="1" applyNumberFormat="1" applyFont="1" applyBorder="1" applyAlignment="1">
      <alignment horizontal="right"/>
    </xf>
    <xf numFmtId="167" fontId="8" fillId="0" borderId="0" xfId="1" applyNumberFormat="1" applyFont="1" applyAlignment="1">
      <alignment horizontal="right" vertical="top"/>
    </xf>
    <xf numFmtId="167" fontId="8" fillId="0" borderId="0" xfId="1" applyNumberFormat="1" applyFont="1" applyBorder="1" applyAlignment="1">
      <alignment horizontal="right" vertical="center"/>
    </xf>
    <xf numFmtId="167" fontId="5" fillId="0" borderId="1" xfId="1" applyNumberFormat="1" applyFont="1" applyBorder="1" applyAlignment="1">
      <alignment vertical="center"/>
    </xf>
    <xf numFmtId="167" fontId="5" fillId="0" borderId="1" xfId="1" applyNumberFormat="1" applyFont="1" applyBorder="1" applyAlignment="1">
      <alignment horizontal="right" vertical="top"/>
    </xf>
    <xf numFmtId="168" fontId="8" fillId="0" borderId="0" xfId="1" applyNumberFormat="1" applyFont="1" applyAlignment="1">
      <alignment horizontal="right" vertical="top"/>
    </xf>
    <xf numFmtId="168" fontId="8" fillId="0" borderId="0" xfId="1" applyNumberFormat="1" applyFont="1" applyBorder="1" applyAlignment="1">
      <alignment horizontal="right" vertical="center"/>
    </xf>
    <xf numFmtId="168" fontId="5" fillId="0" borderId="1" xfId="1" applyNumberFormat="1" applyFont="1" applyBorder="1" applyAlignment="1">
      <alignment vertical="center"/>
    </xf>
    <xf numFmtId="168" fontId="5" fillId="0" borderId="1" xfId="1" applyNumberFormat="1" applyFont="1" applyBorder="1" applyAlignment="1">
      <alignment horizontal="right" vertical="top"/>
    </xf>
    <xf numFmtId="43" fontId="0" fillId="0" borderId="0" xfId="0" applyNumberFormat="1" applyAlignment="1">
      <alignment vertical="top"/>
    </xf>
    <xf numFmtId="43" fontId="6" fillId="0" borderId="0" xfId="1" applyNumberFormat="1" applyFont="1" applyAlignment="1">
      <alignment vertical="top"/>
    </xf>
    <xf numFmtId="17" fontId="6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164" fontId="6" fillId="2" borderId="0" xfId="1" applyFont="1" applyFill="1" applyBorder="1" applyAlignment="1">
      <alignment horizontal="right" vertical="top"/>
    </xf>
    <xf numFmtId="0" fontId="0" fillId="3" borderId="0" xfId="0" applyFill="1" applyAlignment="1">
      <alignment vertical="top"/>
    </xf>
    <xf numFmtId="0" fontId="6" fillId="0" borderId="0" xfId="0" applyFont="1" applyAlignment="1">
      <alignment horizontal="center"/>
    </xf>
    <xf numFmtId="0" fontId="8" fillId="0" borderId="0" xfId="3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</cellXfs>
  <cellStyles count="8">
    <cellStyle name="Comma" xfId="1" builtinId="3"/>
    <cellStyle name="Comma 2" xfId="2"/>
    <cellStyle name="Comma 2 2 2" xfId="5"/>
    <cellStyle name="Comma 2 2 2 2" xfId="7"/>
    <cellStyle name="Normal" xfId="0" builtinId="0"/>
    <cellStyle name="Normal 2" xfId="3"/>
    <cellStyle name="Normal 3 2" xfId="6"/>
    <cellStyle name="Percent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49"/>
  <sheetViews>
    <sheetView zoomScaleNormal="100" workbookViewId="0">
      <selection activeCell="K39" sqref="K39"/>
    </sheetView>
  </sheetViews>
  <sheetFormatPr defaultColWidth="8.85546875" defaultRowHeight="12" x14ac:dyDescent="0.2"/>
  <cols>
    <col min="1" max="1" width="8.85546875" style="52"/>
    <col min="2" max="2" width="5.28515625" style="52" bestFit="1" customWidth="1"/>
    <col min="3" max="3" width="16.42578125" style="52" bestFit="1" customWidth="1"/>
    <col min="4" max="5" width="8.140625" style="52" bestFit="1" customWidth="1"/>
    <col min="6" max="8" width="6.85546875" style="52" bestFit="1" customWidth="1"/>
    <col min="9" max="9" width="6" style="52" bestFit="1" customWidth="1"/>
    <col min="10" max="10" width="6.85546875" style="53" bestFit="1" customWidth="1"/>
    <col min="11" max="11" width="6.85546875" style="56" bestFit="1" customWidth="1"/>
    <col min="12" max="12" width="8.140625" style="52" bestFit="1" customWidth="1"/>
    <col min="13" max="15" width="8.85546875" style="52"/>
    <col min="16" max="16" width="11" style="52" bestFit="1" customWidth="1"/>
    <col min="17" max="16384" width="8.85546875" style="52"/>
  </cols>
  <sheetData>
    <row r="2" spans="2:15" x14ac:dyDescent="0.2">
      <c r="B2" s="61" t="s">
        <v>207</v>
      </c>
      <c r="K2" s="54"/>
      <c r="L2" s="54"/>
    </row>
    <row r="3" spans="2:15" x14ac:dyDescent="0.2">
      <c r="B3" s="61" t="s">
        <v>427</v>
      </c>
      <c r="C3" s="61"/>
      <c r="D3" s="61"/>
      <c r="E3" s="61"/>
      <c r="F3" s="61"/>
      <c r="G3" s="61"/>
      <c r="H3" s="61"/>
      <c r="I3" s="61"/>
      <c r="J3" s="61"/>
      <c r="K3" s="61"/>
      <c r="L3" s="54">
        <f ca="1">TODAY()</f>
        <v>44727</v>
      </c>
    </row>
    <row r="4" spans="2:15" x14ac:dyDescent="0.2">
      <c r="B4" s="59" t="s">
        <v>193</v>
      </c>
      <c r="C4" s="59" t="s">
        <v>119</v>
      </c>
      <c r="D4" s="60" t="s">
        <v>180</v>
      </c>
      <c r="E4" s="60" t="s">
        <v>182</v>
      </c>
      <c r="F4" s="60" t="s">
        <v>183</v>
      </c>
      <c r="G4" s="60" t="s">
        <v>202</v>
      </c>
      <c r="H4" s="60" t="s">
        <v>181</v>
      </c>
      <c r="I4" s="60" t="s">
        <v>179</v>
      </c>
      <c r="J4" s="60" t="s">
        <v>206</v>
      </c>
      <c r="K4" s="60" t="s">
        <v>184</v>
      </c>
      <c r="L4" s="60" t="s">
        <v>197</v>
      </c>
    </row>
    <row r="5" spans="2:15" x14ac:dyDescent="0.2">
      <c r="B5" s="55">
        <v>1</v>
      </c>
      <c r="C5" s="52" t="s">
        <v>219</v>
      </c>
      <c r="D5" s="63">
        <v>0</v>
      </c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f>TP!L6/100000</f>
        <v>0.6</v>
      </c>
      <c r="L5" s="64">
        <f t="shared" ref="L5:L24" si="0">SUM(D5:K5)</f>
        <v>0.6</v>
      </c>
      <c r="O5" s="57"/>
    </row>
    <row r="6" spans="2:15" x14ac:dyDescent="0.2">
      <c r="B6" s="55">
        <v>2</v>
      </c>
      <c r="C6" s="52" t="s">
        <v>187</v>
      </c>
      <c r="D6" s="63">
        <f>PTN!L20/100000</f>
        <v>323.61097999999998</v>
      </c>
      <c r="E6" s="63">
        <f>DHJ!L44/100000</f>
        <v>442.77866</v>
      </c>
      <c r="F6" s="63">
        <f>GHT!L15/100000</f>
        <v>44.009250000000002</v>
      </c>
      <c r="G6" s="63">
        <f>PMR!L9/100000</f>
        <v>16.255140000000001</v>
      </c>
      <c r="H6" s="63">
        <f>CTGN!L6/100000</f>
        <v>4.8110999999999997</v>
      </c>
      <c r="I6" s="63">
        <f>CKT!L9/100000</f>
        <v>25.626999999999999</v>
      </c>
      <c r="J6" s="63">
        <f>CML!L8/100000</f>
        <v>12.696</v>
      </c>
      <c r="K6" s="63">
        <f>TP!L21/100000</f>
        <v>61.593719999999998</v>
      </c>
      <c r="L6" s="64">
        <f t="shared" si="0"/>
        <v>931.38184999999987</v>
      </c>
      <c r="O6" s="57"/>
    </row>
    <row r="7" spans="2:15" x14ac:dyDescent="0.2">
      <c r="B7" s="55">
        <v>3</v>
      </c>
      <c r="C7" s="52" t="s">
        <v>205</v>
      </c>
      <c r="D7" s="63">
        <v>0</v>
      </c>
      <c r="E7" s="63">
        <f>DHJ!L64/100000</f>
        <v>12.55682</v>
      </c>
      <c r="F7" s="63">
        <f>GHT!L68/100000</f>
        <v>1.23149</v>
      </c>
      <c r="G7" s="63">
        <v>0</v>
      </c>
      <c r="H7" s="63">
        <f>CTGN!L17/100000</f>
        <v>1.9544999999999999</v>
      </c>
      <c r="I7" s="63">
        <v>0</v>
      </c>
      <c r="J7" s="63">
        <f>CML!L51/100000</f>
        <v>6.008</v>
      </c>
      <c r="K7" s="63">
        <v>0</v>
      </c>
      <c r="L7" s="64">
        <f t="shared" si="0"/>
        <v>21.750809999999998</v>
      </c>
      <c r="O7" s="57"/>
    </row>
    <row r="8" spans="2:15" x14ac:dyDescent="0.2">
      <c r="B8" s="55">
        <v>4</v>
      </c>
      <c r="C8" s="52" t="s">
        <v>194</v>
      </c>
      <c r="D8" s="63">
        <v>0</v>
      </c>
      <c r="E8" s="63">
        <v>0</v>
      </c>
      <c r="F8" s="63">
        <f>GHT!L101/100000</f>
        <v>8.8725500000000004</v>
      </c>
      <c r="G8" s="63">
        <v>0</v>
      </c>
      <c r="H8" s="63">
        <v>0</v>
      </c>
      <c r="I8" s="63">
        <v>0</v>
      </c>
      <c r="J8" s="63">
        <f>CML!L97/100000</f>
        <v>9.0103500000000007</v>
      </c>
      <c r="K8" s="63">
        <f>TP!L30/100000</f>
        <v>0.15425</v>
      </c>
      <c r="L8" s="64">
        <f t="shared" si="0"/>
        <v>18.03715</v>
      </c>
      <c r="O8" s="57"/>
    </row>
    <row r="9" spans="2:15" x14ac:dyDescent="0.2">
      <c r="B9" s="55">
        <v>5</v>
      </c>
      <c r="C9" s="52" t="s">
        <v>203</v>
      </c>
      <c r="D9" s="63">
        <v>0</v>
      </c>
      <c r="E9" s="63">
        <v>0</v>
      </c>
      <c r="F9" s="63">
        <f>GHT!L105/100000</f>
        <v>0.14793000000000001</v>
      </c>
      <c r="G9" s="63">
        <v>0</v>
      </c>
      <c r="H9" s="63">
        <v>0</v>
      </c>
      <c r="I9" s="63">
        <v>0</v>
      </c>
      <c r="J9" s="63">
        <v>0</v>
      </c>
      <c r="K9" s="63">
        <f>TP!L34/100000</f>
        <v>0.14118</v>
      </c>
      <c r="L9" s="64">
        <f t="shared" si="0"/>
        <v>0.28910999999999998</v>
      </c>
      <c r="O9" s="57"/>
    </row>
    <row r="10" spans="2:15" x14ac:dyDescent="0.2">
      <c r="B10" s="55">
        <v>6</v>
      </c>
      <c r="C10" s="52" t="s">
        <v>1471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f>TP!L37/100000</f>
        <v>0.18132000000000001</v>
      </c>
      <c r="L10" s="64">
        <f t="shared" si="0"/>
        <v>0.18132000000000001</v>
      </c>
      <c r="O10" s="57"/>
    </row>
    <row r="11" spans="2:15" x14ac:dyDescent="0.2">
      <c r="B11" s="55">
        <v>7</v>
      </c>
      <c r="C11" s="52" t="s">
        <v>204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4">
        <f t="shared" si="0"/>
        <v>0</v>
      </c>
      <c r="O11" s="57"/>
    </row>
    <row r="12" spans="2:15" x14ac:dyDescent="0.2">
      <c r="B12" s="55">
        <v>8</v>
      </c>
      <c r="C12" s="52" t="s">
        <v>192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f>CML!L100/100000</f>
        <v>0.92400000000000004</v>
      </c>
      <c r="K12" s="63">
        <v>0</v>
      </c>
      <c r="L12" s="64">
        <f t="shared" si="0"/>
        <v>0.92400000000000004</v>
      </c>
      <c r="N12" s="57"/>
      <c r="O12" s="57"/>
    </row>
    <row r="13" spans="2:15" x14ac:dyDescent="0.2">
      <c r="B13" s="55">
        <v>9</v>
      </c>
      <c r="C13" s="52" t="s">
        <v>185</v>
      </c>
      <c r="D13" s="63">
        <v>0</v>
      </c>
      <c r="E13" s="63">
        <v>0</v>
      </c>
      <c r="F13" s="63">
        <f>GHT!L108/100000</f>
        <v>6.3042699999999998</v>
      </c>
      <c r="G13" s="63">
        <v>0</v>
      </c>
      <c r="H13" s="63">
        <f>CTGN!L27/100000</f>
        <v>10.62725</v>
      </c>
      <c r="I13" s="63">
        <v>0</v>
      </c>
      <c r="J13" s="63">
        <v>0</v>
      </c>
      <c r="K13" s="63">
        <v>0</v>
      </c>
      <c r="L13" s="64">
        <f t="shared" si="0"/>
        <v>16.931519999999999</v>
      </c>
      <c r="N13" s="57"/>
      <c r="O13" s="57"/>
    </row>
    <row r="14" spans="2:15" x14ac:dyDescent="0.2">
      <c r="B14" s="55">
        <v>10</v>
      </c>
      <c r="C14" s="52" t="s">
        <v>216</v>
      </c>
      <c r="D14" s="63">
        <f>PTN!L22/100000</f>
        <v>2.5239999999999999E-2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4">
        <f t="shared" si="0"/>
        <v>2.5239999999999999E-2</v>
      </c>
      <c r="N14" s="57"/>
      <c r="O14" s="57"/>
    </row>
    <row r="15" spans="2:15" x14ac:dyDescent="0.2">
      <c r="B15" s="55">
        <v>11</v>
      </c>
      <c r="C15" s="52" t="s">
        <v>198</v>
      </c>
      <c r="D15" s="63">
        <v>0</v>
      </c>
      <c r="E15" s="63">
        <v>0</v>
      </c>
      <c r="F15" s="63">
        <f>GHT!L111/100000</f>
        <v>0.16470000000000001</v>
      </c>
      <c r="G15" s="63">
        <v>0</v>
      </c>
      <c r="H15" s="63">
        <v>0</v>
      </c>
      <c r="I15" s="63">
        <f>CKT!L35/100000</f>
        <v>7.6722999999999999</v>
      </c>
      <c r="J15" s="63">
        <f>CML!L107/100000+CML!L170/100000</f>
        <v>4.3667800000000003</v>
      </c>
      <c r="K15" s="63">
        <f>TP!L50/100000</f>
        <v>0.46145000000000003</v>
      </c>
      <c r="L15" s="64">
        <f t="shared" si="0"/>
        <v>12.665229999999999</v>
      </c>
      <c r="N15" s="57"/>
      <c r="O15" s="57"/>
    </row>
    <row r="16" spans="2:15" x14ac:dyDescent="0.2">
      <c r="B16" s="55">
        <v>12</v>
      </c>
      <c r="C16" s="52" t="s">
        <v>215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f>TP!L39/100000</f>
        <v>5.5359999999999996</v>
      </c>
      <c r="L16" s="64">
        <f t="shared" si="0"/>
        <v>5.5359999999999996</v>
      </c>
      <c r="N16" s="57"/>
      <c r="O16" s="57"/>
    </row>
    <row r="17" spans="2:16" x14ac:dyDescent="0.2">
      <c r="B17" s="55">
        <v>13</v>
      </c>
      <c r="C17" s="52" t="s">
        <v>199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4">
        <f t="shared" si="0"/>
        <v>0</v>
      </c>
      <c r="N17" s="57"/>
      <c r="O17" s="57"/>
    </row>
    <row r="18" spans="2:16" x14ac:dyDescent="0.2">
      <c r="B18" s="55">
        <v>14</v>
      </c>
      <c r="C18" s="52" t="s">
        <v>220</v>
      </c>
      <c r="D18" s="63">
        <v>0</v>
      </c>
      <c r="E18" s="63">
        <v>0</v>
      </c>
      <c r="F18" s="63">
        <f>GHT!L49/100000</f>
        <v>7.0527300000000004</v>
      </c>
      <c r="G18" s="63">
        <v>0</v>
      </c>
      <c r="H18" s="63">
        <v>0</v>
      </c>
      <c r="I18" s="63">
        <v>0</v>
      </c>
      <c r="J18" s="63">
        <f>CML!L25/100000</f>
        <v>2.2349899999999998</v>
      </c>
      <c r="K18" s="63">
        <f>TP!L27/100000</f>
        <v>0.65725</v>
      </c>
      <c r="L18" s="64">
        <f t="shared" si="0"/>
        <v>9.9449699999999996</v>
      </c>
      <c r="N18" s="57"/>
      <c r="O18" s="57"/>
    </row>
    <row r="19" spans="2:16" x14ac:dyDescent="0.2">
      <c r="B19" s="55">
        <v>15</v>
      </c>
      <c r="C19" s="52" t="s">
        <v>200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4">
        <f t="shared" si="0"/>
        <v>0</v>
      </c>
      <c r="O19" s="57"/>
      <c r="P19" s="57"/>
    </row>
    <row r="20" spans="2:16" x14ac:dyDescent="0.2">
      <c r="B20" s="55">
        <v>16</v>
      </c>
      <c r="C20" s="52" t="s">
        <v>189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f>TP!L42/100000</f>
        <v>0.96767999999999998</v>
      </c>
      <c r="L20" s="64">
        <f t="shared" si="0"/>
        <v>0.96767999999999998</v>
      </c>
      <c r="P20" s="57"/>
    </row>
    <row r="21" spans="2:16" x14ac:dyDescent="0.2">
      <c r="B21" s="55">
        <v>17</v>
      </c>
      <c r="C21" s="52" t="s">
        <v>190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f>CML!L132/100000</f>
        <v>3.04115</v>
      </c>
      <c r="K21" s="63">
        <v>0</v>
      </c>
      <c r="L21" s="64">
        <f t="shared" si="0"/>
        <v>3.04115</v>
      </c>
      <c r="P21" s="57"/>
    </row>
    <row r="22" spans="2:16" x14ac:dyDescent="0.2">
      <c r="B22" s="55">
        <v>18</v>
      </c>
      <c r="C22" s="52" t="s">
        <v>191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f>CML!L143/100000</f>
        <v>1.4400999999999999</v>
      </c>
      <c r="K22" s="63">
        <v>0</v>
      </c>
      <c r="L22" s="64">
        <f t="shared" si="0"/>
        <v>1.4400999999999999</v>
      </c>
      <c r="P22" s="58"/>
    </row>
    <row r="23" spans="2:16" x14ac:dyDescent="0.2">
      <c r="B23" s="55">
        <v>19</v>
      </c>
      <c r="C23" s="52" t="s">
        <v>188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4">
        <f t="shared" si="0"/>
        <v>0</v>
      </c>
      <c r="P23" s="57"/>
    </row>
    <row r="24" spans="2:16" x14ac:dyDescent="0.2">
      <c r="B24" s="55">
        <v>20</v>
      </c>
      <c r="C24" s="52" t="s">
        <v>186</v>
      </c>
      <c r="D24" s="63">
        <f>PTN!L124/100000</f>
        <v>852.99575000000004</v>
      </c>
      <c r="E24" s="63">
        <f>DHJ!L160/100000</f>
        <v>1090.0451800000001</v>
      </c>
      <c r="F24" s="63">
        <f>GHT!L209/100000</f>
        <v>820.47375999999997</v>
      </c>
      <c r="G24" s="63">
        <f>PMR!L49/100000</f>
        <v>157.64129</v>
      </c>
      <c r="H24" s="63">
        <f>CTGN!L84/100000</f>
        <v>186.78202999999999</v>
      </c>
      <c r="I24" s="63">
        <v>0</v>
      </c>
      <c r="J24" s="63">
        <f>CML!L213/100000</f>
        <v>137.38720000000001</v>
      </c>
      <c r="K24" s="63">
        <f>TP!L76/100000</f>
        <v>61.4878</v>
      </c>
      <c r="L24" s="64">
        <f t="shared" si="0"/>
        <v>3306.8130099999998</v>
      </c>
      <c r="P24" s="57"/>
    </row>
    <row r="25" spans="2:16" x14ac:dyDescent="0.2">
      <c r="B25" s="26"/>
      <c r="C25" s="59" t="s">
        <v>197</v>
      </c>
      <c r="D25" s="65">
        <f t="shared" ref="D25:L25" si="1">SUM(D5:D24)</f>
        <v>1176.6319699999999</v>
      </c>
      <c r="E25" s="65">
        <f>SUM(E5:E24)</f>
        <v>1545.38066</v>
      </c>
      <c r="F25" s="65">
        <f t="shared" si="1"/>
        <v>888.25667999999996</v>
      </c>
      <c r="G25" s="65">
        <f t="shared" si="1"/>
        <v>173.89643000000001</v>
      </c>
      <c r="H25" s="65">
        <f>SUM(H5:H24)</f>
        <v>204.17488</v>
      </c>
      <c r="I25" s="65">
        <f t="shared" si="1"/>
        <v>33.299300000000002</v>
      </c>
      <c r="J25" s="65">
        <f t="shared" si="1"/>
        <v>177.10857000000001</v>
      </c>
      <c r="K25" s="65">
        <f t="shared" si="1"/>
        <v>131.78065000000001</v>
      </c>
      <c r="L25" s="65">
        <f t="shared" si="1"/>
        <v>4330.5291399999996</v>
      </c>
    </row>
    <row r="28" spans="2:16" x14ac:dyDescent="0.2">
      <c r="B28" s="59" t="s">
        <v>193</v>
      </c>
      <c r="C28" s="59" t="s">
        <v>119</v>
      </c>
      <c r="D28" s="60" t="s">
        <v>180</v>
      </c>
      <c r="E28" s="60" t="s">
        <v>182</v>
      </c>
      <c r="F28" s="60" t="s">
        <v>183</v>
      </c>
      <c r="G28" s="60" t="s">
        <v>202</v>
      </c>
      <c r="H28" s="60" t="s">
        <v>181</v>
      </c>
      <c r="I28" s="60" t="s">
        <v>179</v>
      </c>
      <c r="J28" s="60" t="s">
        <v>206</v>
      </c>
      <c r="K28" s="60" t="s">
        <v>184</v>
      </c>
      <c r="L28" s="60" t="s">
        <v>197</v>
      </c>
    </row>
    <row r="29" spans="2:16" x14ac:dyDescent="0.2">
      <c r="B29" s="55">
        <v>1</v>
      </c>
      <c r="C29" s="52" t="s">
        <v>219</v>
      </c>
      <c r="D29" s="63">
        <f>D5/100</f>
        <v>0</v>
      </c>
      <c r="E29" s="63">
        <f t="shared" ref="E29:K29" si="2">E5/100</f>
        <v>0</v>
      </c>
      <c r="F29" s="63">
        <f t="shared" si="2"/>
        <v>0</v>
      </c>
      <c r="G29" s="63">
        <f t="shared" si="2"/>
        <v>0</v>
      </c>
      <c r="H29" s="63">
        <f t="shared" si="2"/>
        <v>0</v>
      </c>
      <c r="I29" s="63">
        <f t="shared" si="2"/>
        <v>0</v>
      </c>
      <c r="J29" s="63">
        <f t="shared" si="2"/>
        <v>0</v>
      </c>
      <c r="K29" s="176">
        <f t="shared" si="2"/>
        <v>6.0000000000000001E-3</v>
      </c>
      <c r="L29" s="64">
        <f t="shared" ref="L29:L48" si="3">SUM(D29:K29)</f>
        <v>6.0000000000000001E-3</v>
      </c>
    </row>
    <row r="30" spans="2:16" x14ac:dyDescent="0.2">
      <c r="B30" s="55">
        <v>2</v>
      </c>
      <c r="C30" s="52" t="s">
        <v>187</v>
      </c>
      <c r="D30" s="63">
        <f t="shared" ref="D30:K30" si="4">D6/100</f>
        <v>3.2361097999999999</v>
      </c>
      <c r="E30" s="63">
        <f t="shared" si="4"/>
        <v>4.4277866000000001</v>
      </c>
      <c r="F30" s="63">
        <f t="shared" si="4"/>
        <v>0.4400925</v>
      </c>
      <c r="G30" s="63">
        <f t="shared" si="4"/>
        <v>0.16255140000000001</v>
      </c>
      <c r="H30" s="63">
        <f t="shared" si="4"/>
        <v>4.8110999999999994E-2</v>
      </c>
      <c r="I30" s="63">
        <f t="shared" si="4"/>
        <v>0.25627</v>
      </c>
      <c r="J30" s="176">
        <f t="shared" si="4"/>
        <v>0.12695999999999999</v>
      </c>
      <c r="K30" s="176">
        <f t="shared" si="4"/>
        <v>0.61593719999999996</v>
      </c>
      <c r="L30" s="64">
        <f t="shared" si="3"/>
        <v>9.3138185000000018</v>
      </c>
    </row>
    <row r="31" spans="2:16" x14ac:dyDescent="0.2">
      <c r="B31" s="55">
        <v>3</v>
      </c>
      <c r="C31" s="52" t="s">
        <v>205</v>
      </c>
      <c r="D31" s="63">
        <f t="shared" ref="D31:K31" si="5">D7/100</f>
        <v>0</v>
      </c>
      <c r="E31" s="63">
        <f t="shared" si="5"/>
        <v>0.12556819999999999</v>
      </c>
      <c r="F31" s="63">
        <f t="shared" si="5"/>
        <v>1.23149E-2</v>
      </c>
      <c r="G31" s="63">
        <f t="shared" si="5"/>
        <v>0</v>
      </c>
      <c r="H31" s="63">
        <f t="shared" si="5"/>
        <v>1.9545E-2</v>
      </c>
      <c r="I31" s="63">
        <f t="shared" si="5"/>
        <v>0</v>
      </c>
      <c r="J31" s="176">
        <f t="shared" si="5"/>
        <v>6.0080000000000001E-2</v>
      </c>
      <c r="K31" s="63">
        <f t="shared" si="5"/>
        <v>0</v>
      </c>
      <c r="L31" s="64">
        <f t="shared" si="3"/>
        <v>0.21750809999999998</v>
      </c>
    </row>
    <row r="32" spans="2:16" x14ac:dyDescent="0.2">
      <c r="B32" s="55">
        <v>4</v>
      </c>
      <c r="C32" s="52" t="s">
        <v>194</v>
      </c>
      <c r="D32" s="63">
        <f t="shared" ref="D32:K32" si="6">D8/100</f>
        <v>0</v>
      </c>
      <c r="E32" s="63">
        <f t="shared" si="6"/>
        <v>0</v>
      </c>
      <c r="F32" s="63">
        <f t="shared" si="6"/>
        <v>8.8725499999999999E-2</v>
      </c>
      <c r="G32" s="63">
        <f t="shared" si="6"/>
        <v>0</v>
      </c>
      <c r="H32" s="63">
        <f t="shared" si="6"/>
        <v>0</v>
      </c>
      <c r="I32" s="63">
        <f t="shared" si="6"/>
        <v>0</v>
      </c>
      <c r="J32" s="176">
        <f t="shared" si="6"/>
        <v>9.0103500000000003E-2</v>
      </c>
      <c r="K32" s="176">
        <f t="shared" si="6"/>
        <v>1.5425E-3</v>
      </c>
      <c r="L32" s="64">
        <f t="shared" si="3"/>
        <v>0.18037150000000002</v>
      </c>
    </row>
    <row r="33" spans="2:12" x14ac:dyDescent="0.2">
      <c r="B33" s="55">
        <v>5</v>
      </c>
      <c r="C33" s="52" t="s">
        <v>203</v>
      </c>
      <c r="D33" s="63">
        <f t="shared" ref="D33:K33" si="7">D9/100</f>
        <v>0</v>
      </c>
      <c r="E33" s="63">
        <f t="shared" si="7"/>
        <v>0</v>
      </c>
      <c r="F33" s="63">
        <f t="shared" si="7"/>
        <v>1.4793E-3</v>
      </c>
      <c r="G33" s="63">
        <f t="shared" si="7"/>
        <v>0</v>
      </c>
      <c r="H33" s="63">
        <f t="shared" si="7"/>
        <v>0</v>
      </c>
      <c r="I33" s="63">
        <f t="shared" si="7"/>
        <v>0</v>
      </c>
      <c r="J33" s="63">
        <f t="shared" si="7"/>
        <v>0</v>
      </c>
      <c r="K33" s="63">
        <f t="shared" si="7"/>
        <v>1.4117999999999999E-3</v>
      </c>
      <c r="L33" s="64">
        <f t="shared" si="3"/>
        <v>2.8910999999999997E-3</v>
      </c>
    </row>
    <row r="34" spans="2:12" x14ac:dyDescent="0.2">
      <c r="B34" s="55">
        <v>6</v>
      </c>
      <c r="C34" s="52" t="s">
        <v>1471</v>
      </c>
      <c r="D34" s="63">
        <f t="shared" ref="D34:K34" si="8">D10/100</f>
        <v>0</v>
      </c>
      <c r="E34" s="63">
        <f t="shared" si="8"/>
        <v>0</v>
      </c>
      <c r="F34" s="63">
        <f t="shared" si="8"/>
        <v>0</v>
      </c>
      <c r="G34" s="63">
        <f t="shared" si="8"/>
        <v>0</v>
      </c>
      <c r="H34" s="63">
        <f t="shared" si="8"/>
        <v>0</v>
      </c>
      <c r="I34" s="63">
        <f t="shared" si="8"/>
        <v>0</v>
      </c>
      <c r="J34" s="63">
        <f t="shared" si="8"/>
        <v>0</v>
      </c>
      <c r="K34" s="176">
        <f t="shared" si="8"/>
        <v>1.8132000000000001E-3</v>
      </c>
      <c r="L34" s="64">
        <f t="shared" si="3"/>
        <v>1.8132000000000001E-3</v>
      </c>
    </row>
    <row r="35" spans="2:12" x14ac:dyDescent="0.2">
      <c r="B35" s="55">
        <v>7</v>
      </c>
      <c r="C35" s="52" t="s">
        <v>204</v>
      </c>
      <c r="D35" s="63">
        <f t="shared" ref="D35:K35" si="9">D11/100</f>
        <v>0</v>
      </c>
      <c r="E35" s="63">
        <f t="shared" si="9"/>
        <v>0</v>
      </c>
      <c r="F35" s="63">
        <f t="shared" si="9"/>
        <v>0</v>
      </c>
      <c r="G35" s="63">
        <f t="shared" si="9"/>
        <v>0</v>
      </c>
      <c r="H35" s="63">
        <f t="shared" si="9"/>
        <v>0</v>
      </c>
      <c r="I35" s="63">
        <f t="shared" si="9"/>
        <v>0</v>
      </c>
      <c r="J35" s="63">
        <f t="shared" si="9"/>
        <v>0</v>
      </c>
      <c r="K35" s="63">
        <f t="shared" si="9"/>
        <v>0</v>
      </c>
      <c r="L35" s="64">
        <f t="shared" si="3"/>
        <v>0</v>
      </c>
    </row>
    <row r="36" spans="2:12" x14ac:dyDescent="0.2">
      <c r="B36" s="55">
        <v>8</v>
      </c>
      <c r="C36" s="52" t="s">
        <v>192</v>
      </c>
      <c r="D36" s="63">
        <f t="shared" ref="D36:K36" si="10">D12/100</f>
        <v>0</v>
      </c>
      <c r="E36" s="63">
        <f t="shared" si="10"/>
        <v>0</v>
      </c>
      <c r="F36" s="63">
        <f t="shared" si="10"/>
        <v>0</v>
      </c>
      <c r="G36" s="63">
        <f t="shared" si="10"/>
        <v>0</v>
      </c>
      <c r="H36" s="63">
        <f t="shared" si="10"/>
        <v>0</v>
      </c>
      <c r="I36" s="63">
        <f t="shared" si="10"/>
        <v>0</v>
      </c>
      <c r="J36" s="176">
        <f t="shared" si="10"/>
        <v>9.2399999999999999E-3</v>
      </c>
      <c r="K36" s="63">
        <f t="shared" si="10"/>
        <v>0</v>
      </c>
      <c r="L36" s="64">
        <f t="shared" si="3"/>
        <v>9.2399999999999999E-3</v>
      </c>
    </row>
    <row r="37" spans="2:12" x14ac:dyDescent="0.2">
      <c r="B37" s="55">
        <v>9</v>
      </c>
      <c r="C37" s="52" t="s">
        <v>185</v>
      </c>
      <c r="D37" s="63">
        <f t="shared" ref="D37:K37" si="11">D13/100</f>
        <v>0</v>
      </c>
      <c r="E37" s="63">
        <f t="shared" si="11"/>
        <v>0</v>
      </c>
      <c r="F37" s="63">
        <f t="shared" si="11"/>
        <v>6.3042699999999993E-2</v>
      </c>
      <c r="G37" s="63">
        <f t="shared" si="11"/>
        <v>0</v>
      </c>
      <c r="H37" s="63">
        <f t="shared" si="11"/>
        <v>0.10627250000000001</v>
      </c>
      <c r="I37" s="63">
        <f t="shared" si="11"/>
        <v>0</v>
      </c>
      <c r="J37" s="63">
        <f t="shared" si="11"/>
        <v>0</v>
      </c>
      <c r="K37" s="63">
        <f t="shared" si="11"/>
        <v>0</v>
      </c>
      <c r="L37" s="64">
        <f t="shared" si="3"/>
        <v>0.1693152</v>
      </c>
    </row>
    <row r="38" spans="2:12" x14ac:dyDescent="0.2">
      <c r="B38" s="55">
        <v>10</v>
      </c>
      <c r="C38" s="52" t="s">
        <v>216</v>
      </c>
      <c r="D38" s="63">
        <f t="shared" ref="D38:K38" si="12">D14/100</f>
        <v>2.5240000000000001E-4</v>
      </c>
      <c r="E38" s="63">
        <f t="shared" si="12"/>
        <v>0</v>
      </c>
      <c r="F38" s="63">
        <f t="shared" si="12"/>
        <v>0</v>
      </c>
      <c r="G38" s="63">
        <f t="shared" si="12"/>
        <v>0</v>
      </c>
      <c r="H38" s="63">
        <f t="shared" si="12"/>
        <v>0</v>
      </c>
      <c r="I38" s="63">
        <f t="shared" si="12"/>
        <v>0</v>
      </c>
      <c r="J38" s="63">
        <f t="shared" si="12"/>
        <v>0</v>
      </c>
      <c r="K38" s="63">
        <f t="shared" si="12"/>
        <v>0</v>
      </c>
      <c r="L38" s="64">
        <f t="shared" si="3"/>
        <v>2.5240000000000001E-4</v>
      </c>
    </row>
    <row r="39" spans="2:12" x14ac:dyDescent="0.2">
      <c r="B39" s="55">
        <v>11</v>
      </c>
      <c r="C39" s="52" t="s">
        <v>198</v>
      </c>
      <c r="D39" s="63">
        <f t="shared" ref="D39:K39" si="13">D15/100</f>
        <v>0</v>
      </c>
      <c r="E39" s="63">
        <f t="shared" si="13"/>
        <v>0</v>
      </c>
      <c r="F39" s="63">
        <f t="shared" si="13"/>
        <v>1.647E-3</v>
      </c>
      <c r="G39" s="63">
        <f t="shared" si="13"/>
        <v>0</v>
      </c>
      <c r="H39" s="63">
        <f t="shared" si="13"/>
        <v>0</v>
      </c>
      <c r="I39" s="63">
        <f t="shared" si="13"/>
        <v>7.6723E-2</v>
      </c>
      <c r="J39" s="176">
        <f t="shared" si="13"/>
        <v>4.3667800000000007E-2</v>
      </c>
      <c r="K39" s="176">
        <f t="shared" si="13"/>
        <v>4.6145000000000005E-3</v>
      </c>
      <c r="L39" s="64">
        <f t="shared" si="3"/>
        <v>0.1266523</v>
      </c>
    </row>
    <row r="40" spans="2:12" x14ac:dyDescent="0.2">
      <c r="B40" s="55">
        <v>12</v>
      </c>
      <c r="C40" s="52" t="s">
        <v>215</v>
      </c>
      <c r="D40" s="63">
        <f t="shared" ref="D40:K40" si="14">D16/100</f>
        <v>0</v>
      </c>
      <c r="E40" s="63">
        <f t="shared" si="14"/>
        <v>0</v>
      </c>
      <c r="F40" s="63">
        <f t="shared" si="14"/>
        <v>0</v>
      </c>
      <c r="G40" s="63">
        <f t="shared" si="14"/>
        <v>0</v>
      </c>
      <c r="H40" s="63">
        <f t="shared" si="14"/>
        <v>0</v>
      </c>
      <c r="I40" s="63">
        <f t="shared" si="14"/>
        <v>0</v>
      </c>
      <c r="J40" s="63">
        <f t="shared" si="14"/>
        <v>0</v>
      </c>
      <c r="K40" s="176">
        <f t="shared" si="14"/>
        <v>5.5359999999999993E-2</v>
      </c>
      <c r="L40" s="64">
        <f t="shared" si="3"/>
        <v>5.5359999999999993E-2</v>
      </c>
    </row>
    <row r="41" spans="2:12" x14ac:dyDescent="0.2">
      <c r="B41" s="55">
        <v>13</v>
      </c>
      <c r="C41" s="52" t="s">
        <v>199</v>
      </c>
      <c r="D41" s="63">
        <f t="shared" ref="D41:K41" si="15">D17/100</f>
        <v>0</v>
      </c>
      <c r="E41" s="63">
        <f t="shared" si="15"/>
        <v>0</v>
      </c>
      <c r="F41" s="63">
        <f t="shared" si="15"/>
        <v>0</v>
      </c>
      <c r="G41" s="63">
        <f t="shared" si="15"/>
        <v>0</v>
      </c>
      <c r="H41" s="63">
        <f t="shared" si="15"/>
        <v>0</v>
      </c>
      <c r="I41" s="63">
        <f t="shared" si="15"/>
        <v>0</v>
      </c>
      <c r="J41" s="63">
        <f t="shared" si="15"/>
        <v>0</v>
      </c>
      <c r="K41" s="63">
        <f t="shared" si="15"/>
        <v>0</v>
      </c>
      <c r="L41" s="64">
        <f t="shared" si="3"/>
        <v>0</v>
      </c>
    </row>
    <row r="42" spans="2:12" x14ac:dyDescent="0.2">
      <c r="B42" s="55">
        <v>14</v>
      </c>
      <c r="C42" s="52" t="s">
        <v>220</v>
      </c>
      <c r="D42" s="63">
        <f t="shared" ref="D42:K42" si="16">D18/100</f>
        <v>0</v>
      </c>
      <c r="E42" s="63">
        <f t="shared" si="16"/>
        <v>0</v>
      </c>
      <c r="F42" s="63">
        <f t="shared" si="16"/>
        <v>7.0527300000000001E-2</v>
      </c>
      <c r="G42" s="63">
        <f t="shared" si="16"/>
        <v>0</v>
      </c>
      <c r="H42" s="63">
        <f t="shared" si="16"/>
        <v>0</v>
      </c>
      <c r="I42" s="63">
        <f t="shared" si="16"/>
        <v>0</v>
      </c>
      <c r="J42" s="176">
        <f t="shared" si="16"/>
        <v>2.2349899999999999E-2</v>
      </c>
      <c r="K42" s="176">
        <f t="shared" si="16"/>
        <v>6.5725000000000002E-3</v>
      </c>
      <c r="L42" s="64">
        <f t="shared" si="3"/>
        <v>9.9449699999999988E-2</v>
      </c>
    </row>
    <row r="43" spans="2:12" x14ac:dyDescent="0.2">
      <c r="B43" s="55">
        <v>15</v>
      </c>
      <c r="C43" s="52" t="s">
        <v>200</v>
      </c>
      <c r="D43" s="63">
        <f t="shared" ref="D43:K43" si="17">D19/100</f>
        <v>0</v>
      </c>
      <c r="E43" s="63">
        <f t="shared" si="17"/>
        <v>0</v>
      </c>
      <c r="F43" s="63">
        <f t="shared" si="17"/>
        <v>0</v>
      </c>
      <c r="G43" s="63">
        <f t="shared" si="17"/>
        <v>0</v>
      </c>
      <c r="H43" s="63">
        <f t="shared" si="17"/>
        <v>0</v>
      </c>
      <c r="I43" s="63">
        <f t="shared" si="17"/>
        <v>0</v>
      </c>
      <c r="J43" s="63">
        <f t="shared" si="17"/>
        <v>0</v>
      </c>
      <c r="K43" s="63">
        <f t="shared" si="17"/>
        <v>0</v>
      </c>
      <c r="L43" s="64">
        <f t="shared" si="3"/>
        <v>0</v>
      </c>
    </row>
    <row r="44" spans="2:12" x14ac:dyDescent="0.2">
      <c r="B44" s="55">
        <v>16</v>
      </c>
      <c r="C44" s="52" t="s">
        <v>189</v>
      </c>
      <c r="D44" s="63">
        <f t="shared" ref="D44:K44" si="18">D20/100</f>
        <v>0</v>
      </c>
      <c r="E44" s="63">
        <f t="shared" si="18"/>
        <v>0</v>
      </c>
      <c r="F44" s="63">
        <f t="shared" si="18"/>
        <v>0</v>
      </c>
      <c r="G44" s="63">
        <f t="shared" si="18"/>
        <v>0</v>
      </c>
      <c r="H44" s="63">
        <f t="shared" si="18"/>
        <v>0</v>
      </c>
      <c r="I44" s="63">
        <f t="shared" si="18"/>
        <v>0</v>
      </c>
      <c r="J44" s="63">
        <f t="shared" si="18"/>
        <v>0</v>
      </c>
      <c r="K44" s="176">
        <f t="shared" si="18"/>
        <v>9.6767999999999993E-3</v>
      </c>
      <c r="L44" s="64">
        <f t="shared" si="3"/>
        <v>9.6767999999999993E-3</v>
      </c>
    </row>
    <row r="45" spans="2:12" x14ac:dyDescent="0.2">
      <c r="B45" s="55">
        <v>17</v>
      </c>
      <c r="C45" s="52" t="s">
        <v>190</v>
      </c>
      <c r="D45" s="63">
        <f t="shared" ref="D45:K45" si="19">D21/100</f>
        <v>0</v>
      </c>
      <c r="E45" s="63">
        <f t="shared" si="19"/>
        <v>0</v>
      </c>
      <c r="F45" s="63">
        <f t="shared" si="19"/>
        <v>0</v>
      </c>
      <c r="G45" s="63">
        <f t="shared" si="19"/>
        <v>0</v>
      </c>
      <c r="H45" s="63">
        <f t="shared" si="19"/>
        <v>0</v>
      </c>
      <c r="I45" s="63">
        <f t="shared" si="19"/>
        <v>0</v>
      </c>
      <c r="J45" s="63">
        <f t="shared" si="19"/>
        <v>3.0411500000000001E-2</v>
      </c>
      <c r="K45" s="63">
        <f t="shared" si="19"/>
        <v>0</v>
      </c>
      <c r="L45" s="64">
        <f t="shared" si="3"/>
        <v>3.0411500000000001E-2</v>
      </c>
    </row>
    <row r="46" spans="2:12" x14ac:dyDescent="0.2">
      <c r="B46" s="55">
        <v>18</v>
      </c>
      <c r="C46" s="52" t="s">
        <v>191</v>
      </c>
      <c r="D46" s="63">
        <f t="shared" ref="D46:K46" si="20">D22/100</f>
        <v>0</v>
      </c>
      <c r="E46" s="63">
        <f t="shared" si="20"/>
        <v>0</v>
      </c>
      <c r="F46" s="63">
        <f t="shared" si="20"/>
        <v>0</v>
      </c>
      <c r="G46" s="63">
        <f t="shared" si="20"/>
        <v>0</v>
      </c>
      <c r="H46" s="63">
        <f t="shared" si="20"/>
        <v>0</v>
      </c>
      <c r="I46" s="63">
        <f t="shared" si="20"/>
        <v>0</v>
      </c>
      <c r="J46" s="63">
        <f t="shared" si="20"/>
        <v>1.4400999999999999E-2</v>
      </c>
      <c r="K46" s="63">
        <f t="shared" si="20"/>
        <v>0</v>
      </c>
      <c r="L46" s="64">
        <f t="shared" si="3"/>
        <v>1.4400999999999999E-2</v>
      </c>
    </row>
    <row r="47" spans="2:12" x14ac:dyDescent="0.2">
      <c r="B47" s="55">
        <v>19</v>
      </c>
      <c r="C47" s="52" t="s">
        <v>188</v>
      </c>
      <c r="D47" s="63">
        <f t="shared" ref="D47:K47" si="21">D23/100</f>
        <v>0</v>
      </c>
      <c r="E47" s="63">
        <f t="shared" si="21"/>
        <v>0</v>
      </c>
      <c r="F47" s="63">
        <f t="shared" si="21"/>
        <v>0</v>
      </c>
      <c r="G47" s="63">
        <f t="shared" si="21"/>
        <v>0</v>
      </c>
      <c r="H47" s="63">
        <f t="shared" si="21"/>
        <v>0</v>
      </c>
      <c r="I47" s="63">
        <f t="shared" si="21"/>
        <v>0</v>
      </c>
      <c r="J47" s="63">
        <f t="shared" si="21"/>
        <v>0</v>
      </c>
      <c r="K47" s="63">
        <f t="shared" si="21"/>
        <v>0</v>
      </c>
      <c r="L47" s="64">
        <f t="shared" si="3"/>
        <v>0</v>
      </c>
    </row>
    <row r="48" spans="2:12" x14ac:dyDescent="0.2">
      <c r="B48" s="55">
        <v>20</v>
      </c>
      <c r="C48" s="52" t="s">
        <v>186</v>
      </c>
      <c r="D48" s="63">
        <f t="shared" ref="D48:K48" si="22">D24/100</f>
        <v>8.5299575000000001</v>
      </c>
      <c r="E48" s="63">
        <f t="shared" si="22"/>
        <v>10.900451800000001</v>
      </c>
      <c r="F48" s="63">
        <f t="shared" si="22"/>
        <v>8.2047375999999996</v>
      </c>
      <c r="G48" s="63">
        <f t="shared" si="22"/>
        <v>1.5764129</v>
      </c>
      <c r="H48" s="63">
        <f t="shared" si="22"/>
        <v>1.8678203</v>
      </c>
      <c r="I48" s="63">
        <f t="shared" si="22"/>
        <v>0</v>
      </c>
      <c r="J48" s="176">
        <f t="shared" si="22"/>
        <v>1.373872</v>
      </c>
      <c r="K48" s="176">
        <f t="shared" si="22"/>
        <v>0.61487800000000004</v>
      </c>
      <c r="L48" s="64">
        <f t="shared" si="3"/>
        <v>33.068130099999998</v>
      </c>
    </row>
    <row r="49" spans="2:12" x14ac:dyDescent="0.2">
      <c r="B49" s="26"/>
      <c r="C49" s="59" t="s">
        <v>197</v>
      </c>
      <c r="D49" s="65">
        <f t="shared" ref="D49" si="23">SUM(D29:D48)</f>
        <v>11.7663197</v>
      </c>
      <c r="E49" s="65">
        <f>SUM(E29:E48)</f>
        <v>15.4538066</v>
      </c>
      <c r="F49" s="65">
        <f t="shared" ref="F49:G49" si="24">SUM(F29:F48)</f>
        <v>8.8825667999999993</v>
      </c>
      <c r="G49" s="65">
        <f t="shared" si="24"/>
        <v>1.7389643000000001</v>
      </c>
      <c r="H49" s="65">
        <f>SUM(H29:H48)</f>
        <v>2.0417488000000001</v>
      </c>
      <c r="I49" s="65">
        <f t="shared" ref="I49:L49" si="25">SUM(I29:I48)</f>
        <v>0.33299299999999998</v>
      </c>
      <c r="J49" s="65">
        <f t="shared" si="25"/>
        <v>1.7710857</v>
      </c>
      <c r="K49" s="65">
        <f t="shared" si="25"/>
        <v>1.3178064999999999</v>
      </c>
      <c r="L49" s="65">
        <f t="shared" si="25"/>
        <v>43.305291400000002</v>
      </c>
    </row>
  </sheetData>
  <sortState ref="B5:L24">
    <sortCondition ref="C5:C2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"/>
  <sheetViews>
    <sheetView workbookViewId="0">
      <selection activeCell="E6" sqref="E6"/>
    </sheetView>
  </sheetViews>
  <sheetFormatPr defaultRowHeight="12.75" x14ac:dyDescent="0.2"/>
  <cols>
    <col min="2" max="2" width="33.85546875" customWidth="1"/>
    <col min="3" max="3" width="13.7109375" bestFit="1" customWidth="1"/>
    <col min="4" max="4" width="16.42578125" bestFit="1" customWidth="1"/>
    <col min="5" max="5" width="6.5703125" bestFit="1" customWidth="1"/>
    <col min="258" max="258" width="33.85546875" customWidth="1"/>
    <col min="259" max="259" width="10.28515625" bestFit="1" customWidth="1"/>
    <col min="260" max="260" width="13.85546875" bestFit="1" customWidth="1"/>
    <col min="261" max="261" width="6.5703125" bestFit="1" customWidth="1"/>
    <col min="514" max="514" width="33.85546875" customWidth="1"/>
    <col min="515" max="515" width="10.28515625" bestFit="1" customWidth="1"/>
    <col min="516" max="516" width="13.85546875" bestFit="1" customWidth="1"/>
    <col min="517" max="517" width="6.5703125" bestFit="1" customWidth="1"/>
    <col min="770" max="770" width="33.85546875" customWidth="1"/>
    <col min="771" max="771" width="10.28515625" bestFit="1" customWidth="1"/>
    <col min="772" max="772" width="13.85546875" bestFit="1" customWidth="1"/>
    <col min="773" max="773" width="6.5703125" bestFit="1" customWidth="1"/>
    <col min="1026" max="1026" width="33.85546875" customWidth="1"/>
    <col min="1027" max="1027" width="10.28515625" bestFit="1" customWidth="1"/>
    <col min="1028" max="1028" width="13.85546875" bestFit="1" customWidth="1"/>
    <col min="1029" max="1029" width="6.5703125" bestFit="1" customWidth="1"/>
    <col min="1282" max="1282" width="33.85546875" customWidth="1"/>
    <col min="1283" max="1283" width="10.28515625" bestFit="1" customWidth="1"/>
    <col min="1284" max="1284" width="13.85546875" bestFit="1" customWidth="1"/>
    <col min="1285" max="1285" width="6.5703125" bestFit="1" customWidth="1"/>
    <col min="1538" max="1538" width="33.85546875" customWidth="1"/>
    <col min="1539" max="1539" width="10.28515625" bestFit="1" customWidth="1"/>
    <col min="1540" max="1540" width="13.85546875" bestFit="1" customWidth="1"/>
    <col min="1541" max="1541" width="6.5703125" bestFit="1" customWidth="1"/>
    <col min="1794" max="1794" width="33.85546875" customWidth="1"/>
    <col min="1795" max="1795" width="10.28515625" bestFit="1" customWidth="1"/>
    <col min="1796" max="1796" width="13.85546875" bestFit="1" customWidth="1"/>
    <col min="1797" max="1797" width="6.5703125" bestFit="1" customWidth="1"/>
    <col min="2050" max="2050" width="33.85546875" customWidth="1"/>
    <col min="2051" max="2051" width="10.28515625" bestFit="1" customWidth="1"/>
    <col min="2052" max="2052" width="13.85546875" bestFit="1" customWidth="1"/>
    <col min="2053" max="2053" width="6.5703125" bestFit="1" customWidth="1"/>
    <col min="2306" max="2306" width="33.85546875" customWidth="1"/>
    <col min="2307" max="2307" width="10.28515625" bestFit="1" customWidth="1"/>
    <col min="2308" max="2308" width="13.85546875" bestFit="1" customWidth="1"/>
    <col min="2309" max="2309" width="6.5703125" bestFit="1" customWidth="1"/>
    <col min="2562" max="2562" width="33.85546875" customWidth="1"/>
    <col min="2563" max="2563" width="10.28515625" bestFit="1" customWidth="1"/>
    <col min="2564" max="2564" width="13.85546875" bestFit="1" customWidth="1"/>
    <col min="2565" max="2565" width="6.5703125" bestFit="1" customWidth="1"/>
    <col min="2818" max="2818" width="33.85546875" customWidth="1"/>
    <col min="2819" max="2819" width="10.28515625" bestFit="1" customWidth="1"/>
    <col min="2820" max="2820" width="13.85546875" bestFit="1" customWidth="1"/>
    <col min="2821" max="2821" width="6.5703125" bestFit="1" customWidth="1"/>
    <col min="3074" max="3074" width="33.85546875" customWidth="1"/>
    <col min="3075" max="3075" width="10.28515625" bestFit="1" customWidth="1"/>
    <col min="3076" max="3076" width="13.85546875" bestFit="1" customWidth="1"/>
    <col min="3077" max="3077" width="6.5703125" bestFit="1" customWidth="1"/>
    <col min="3330" max="3330" width="33.85546875" customWidth="1"/>
    <col min="3331" max="3331" width="10.28515625" bestFit="1" customWidth="1"/>
    <col min="3332" max="3332" width="13.85546875" bestFit="1" customWidth="1"/>
    <col min="3333" max="3333" width="6.5703125" bestFit="1" customWidth="1"/>
    <col min="3586" max="3586" width="33.85546875" customWidth="1"/>
    <col min="3587" max="3587" width="10.28515625" bestFit="1" customWidth="1"/>
    <col min="3588" max="3588" width="13.85546875" bestFit="1" customWidth="1"/>
    <col min="3589" max="3589" width="6.5703125" bestFit="1" customWidth="1"/>
    <col min="3842" max="3842" width="33.85546875" customWidth="1"/>
    <col min="3843" max="3843" width="10.28515625" bestFit="1" customWidth="1"/>
    <col min="3844" max="3844" width="13.85546875" bestFit="1" customWidth="1"/>
    <col min="3845" max="3845" width="6.5703125" bestFit="1" customWidth="1"/>
    <col min="4098" max="4098" width="33.85546875" customWidth="1"/>
    <col min="4099" max="4099" width="10.28515625" bestFit="1" customWidth="1"/>
    <col min="4100" max="4100" width="13.85546875" bestFit="1" customWidth="1"/>
    <col min="4101" max="4101" width="6.5703125" bestFit="1" customWidth="1"/>
    <col min="4354" max="4354" width="33.85546875" customWidth="1"/>
    <col min="4355" max="4355" width="10.28515625" bestFit="1" customWidth="1"/>
    <col min="4356" max="4356" width="13.85546875" bestFit="1" customWidth="1"/>
    <col min="4357" max="4357" width="6.5703125" bestFit="1" customWidth="1"/>
    <col min="4610" max="4610" width="33.85546875" customWidth="1"/>
    <col min="4611" max="4611" width="10.28515625" bestFit="1" customWidth="1"/>
    <col min="4612" max="4612" width="13.85546875" bestFit="1" customWidth="1"/>
    <col min="4613" max="4613" width="6.5703125" bestFit="1" customWidth="1"/>
    <col min="4866" max="4866" width="33.85546875" customWidth="1"/>
    <col min="4867" max="4867" width="10.28515625" bestFit="1" customWidth="1"/>
    <col min="4868" max="4868" width="13.85546875" bestFit="1" customWidth="1"/>
    <col min="4869" max="4869" width="6.5703125" bestFit="1" customWidth="1"/>
    <col min="5122" max="5122" width="33.85546875" customWidth="1"/>
    <col min="5123" max="5123" width="10.28515625" bestFit="1" customWidth="1"/>
    <col min="5124" max="5124" width="13.85546875" bestFit="1" customWidth="1"/>
    <col min="5125" max="5125" width="6.5703125" bestFit="1" customWidth="1"/>
    <col min="5378" max="5378" width="33.85546875" customWidth="1"/>
    <col min="5379" max="5379" width="10.28515625" bestFit="1" customWidth="1"/>
    <col min="5380" max="5380" width="13.85546875" bestFit="1" customWidth="1"/>
    <col min="5381" max="5381" width="6.5703125" bestFit="1" customWidth="1"/>
    <col min="5634" max="5634" width="33.85546875" customWidth="1"/>
    <col min="5635" max="5635" width="10.28515625" bestFit="1" customWidth="1"/>
    <col min="5636" max="5636" width="13.85546875" bestFit="1" customWidth="1"/>
    <col min="5637" max="5637" width="6.5703125" bestFit="1" customWidth="1"/>
    <col min="5890" max="5890" width="33.85546875" customWidth="1"/>
    <col min="5891" max="5891" width="10.28515625" bestFit="1" customWidth="1"/>
    <col min="5892" max="5892" width="13.85546875" bestFit="1" customWidth="1"/>
    <col min="5893" max="5893" width="6.5703125" bestFit="1" customWidth="1"/>
    <col min="6146" max="6146" width="33.85546875" customWidth="1"/>
    <col min="6147" max="6147" width="10.28515625" bestFit="1" customWidth="1"/>
    <col min="6148" max="6148" width="13.85546875" bestFit="1" customWidth="1"/>
    <col min="6149" max="6149" width="6.5703125" bestFit="1" customWidth="1"/>
    <col min="6402" max="6402" width="33.85546875" customWidth="1"/>
    <col min="6403" max="6403" width="10.28515625" bestFit="1" customWidth="1"/>
    <col min="6404" max="6404" width="13.85546875" bestFit="1" customWidth="1"/>
    <col min="6405" max="6405" width="6.5703125" bestFit="1" customWidth="1"/>
    <col min="6658" max="6658" width="33.85546875" customWidth="1"/>
    <col min="6659" max="6659" width="10.28515625" bestFit="1" customWidth="1"/>
    <col min="6660" max="6660" width="13.85546875" bestFit="1" customWidth="1"/>
    <col min="6661" max="6661" width="6.5703125" bestFit="1" customWidth="1"/>
    <col min="6914" max="6914" width="33.85546875" customWidth="1"/>
    <col min="6915" max="6915" width="10.28515625" bestFit="1" customWidth="1"/>
    <col min="6916" max="6916" width="13.85546875" bestFit="1" customWidth="1"/>
    <col min="6917" max="6917" width="6.5703125" bestFit="1" customWidth="1"/>
    <col min="7170" max="7170" width="33.85546875" customWidth="1"/>
    <col min="7171" max="7171" width="10.28515625" bestFit="1" customWidth="1"/>
    <col min="7172" max="7172" width="13.85546875" bestFit="1" customWidth="1"/>
    <col min="7173" max="7173" width="6.5703125" bestFit="1" customWidth="1"/>
    <col min="7426" max="7426" width="33.85546875" customWidth="1"/>
    <col min="7427" max="7427" width="10.28515625" bestFit="1" customWidth="1"/>
    <col min="7428" max="7428" width="13.85546875" bestFit="1" customWidth="1"/>
    <col min="7429" max="7429" width="6.5703125" bestFit="1" customWidth="1"/>
    <col min="7682" max="7682" width="33.85546875" customWidth="1"/>
    <col min="7683" max="7683" width="10.28515625" bestFit="1" customWidth="1"/>
    <col min="7684" max="7684" width="13.85546875" bestFit="1" customWidth="1"/>
    <col min="7685" max="7685" width="6.5703125" bestFit="1" customWidth="1"/>
    <col min="7938" max="7938" width="33.85546875" customWidth="1"/>
    <col min="7939" max="7939" width="10.28515625" bestFit="1" customWidth="1"/>
    <col min="7940" max="7940" width="13.85546875" bestFit="1" customWidth="1"/>
    <col min="7941" max="7941" width="6.5703125" bestFit="1" customWidth="1"/>
    <col min="8194" max="8194" width="33.85546875" customWidth="1"/>
    <col min="8195" max="8195" width="10.28515625" bestFit="1" customWidth="1"/>
    <col min="8196" max="8196" width="13.85546875" bestFit="1" customWidth="1"/>
    <col min="8197" max="8197" width="6.5703125" bestFit="1" customWidth="1"/>
    <col min="8450" max="8450" width="33.85546875" customWidth="1"/>
    <col min="8451" max="8451" width="10.28515625" bestFit="1" customWidth="1"/>
    <col min="8452" max="8452" width="13.85546875" bestFit="1" customWidth="1"/>
    <col min="8453" max="8453" width="6.5703125" bestFit="1" customWidth="1"/>
    <col min="8706" max="8706" width="33.85546875" customWidth="1"/>
    <col min="8707" max="8707" width="10.28515625" bestFit="1" customWidth="1"/>
    <col min="8708" max="8708" width="13.85546875" bestFit="1" customWidth="1"/>
    <col min="8709" max="8709" width="6.5703125" bestFit="1" customWidth="1"/>
    <col min="8962" max="8962" width="33.85546875" customWidth="1"/>
    <col min="8963" max="8963" width="10.28515625" bestFit="1" customWidth="1"/>
    <col min="8964" max="8964" width="13.85546875" bestFit="1" customWidth="1"/>
    <col min="8965" max="8965" width="6.5703125" bestFit="1" customWidth="1"/>
    <col min="9218" max="9218" width="33.85546875" customWidth="1"/>
    <col min="9219" max="9219" width="10.28515625" bestFit="1" customWidth="1"/>
    <col min="9220" max="9220" width="13.85546875" bestFit="1" customWidth="1"/>
    <col min="9221" max="9221" width="6.5703125" bestFit="1" customWidth="1"/>
    <col min="9474" max="9474" width="33.85546875" customWidth="1"/>
    <col min="9475" max="9475" width="10.28515625" bestFit="1" customWidth="1"/>
    <col min="9476" max="9476" width="13.85546875" bestFit="1" customWidth="1"/>
    <col min="9477" max="9477" width="6.5703125" bestFit="1" customWidth="1"/>
    <col min="9730" max="9730" width="33.85546875" customWidth="1"/>
    <col min="9731" max="9731" width="10.28515625" bestFit="1" customWidth="1"/>
    <col min="9732" max="9732" width="13.85546875" bestFit="1" customWidth="1"/>
    <col min="9733" max="9733" width="6.5703125" bestFit="1" customWidth="1"/>
    <col min="9986" max="9986" width="33.85546875" customWidth="1"/>
    <col min="9987" max="9987" width="10.28515625" bestFit="1" customWidth="1"/>
    <col min="9988" max="9988" width="13.85546875" bestFit="1" customWidth="1"/>
    <col min="9989" max="9989" width="6.5703125" bestFit="1" customWidth="1"/>
    <col min="10242" max="10242" width="33.85546875" customWidth="1"/>
    <col min="10243" max="10243" width="10.28515625" bestFit="1" customWidth="1"/>
    <col min="10244" max="10244" width="13.85546875" bestFit="1" customWidth="1"/>
    <col min="10245" max="10245" width="6.5703125" bestFit="1" customWidth="1"/>
    <col min="10498" max="10498" width="33.85546875" customWidth="1"/>
    <col min="10499" max="10499" width="10.28515625" bestFit="1" customWidth="1"/>
    <col min="10500" max="10500" width="13.85546875" bestFit="1" customWidth="1"/>
    <col min="10501" max="10501" width="6.5703125" bestFit="1" customWidth="1"/>
    <col min="10754" max="10754" width="33.85546875" customWidth="1"/>
    <col min="10755" max="10755" width="10.28515625" bestFit="1" customWidth="1"/>
    <col min="10756" max="10756" width="13.85546875" bestFit="1" customWidth="1"/>
    <col min="10757" max="10757" width="6.5703125" bestFit="1" customWidth="1"/>
    <col min="11010" max="11010" width="33.85546875" customWidth="1"/>
    <col min="11011" max="11011" width="10.28515625" bestFit="1" customWidth="1"/>
    <col min="11012" max="11012" width="13.85546875" bestFit="1" customWidth="1"/>
    <col min="11013" max="11013" width="6.5703125" bestFit="1" customWidth="1"/>
    <col min="11266" max="11266" width="33.85546875" customWidth="1"/>
    <col min="11267" max="11267" width="10.28515625" bestFit="1" customWidth="1"/>
    <col min="11268" max="11268" width="13.85546875" bestFit="1" customWidth="1"/>
    <col min="11269" max="11269" width="6.5703125" bestFit="1" customWidth="1"/>
    <col min="11522" max="11522" width="33.85546875" customWidth="1"/>
    <col min="11523" max="11523" width="10.28515625" bestFit="1" customWidth="1"/>
    <col min="11524" max="11524" width="13.85546875" bestFit="1" customWidth="1"/>
    <col min="11525" max="11525" width="6.5703125" bestFit="1" customWidth="1"/>
    <col min="11778" max="11778" width="33.85546875" customWidth="1"/>
    <col min="11779" max="11779" width="10.28515625" bestFit="1" customWidth="1"/>
    <col min="11780" max="11780" width="13.85546875" bestFit="1" customWidth="1"/>
    <col min="11781" max="11781" width="6.5703125" bestFit="1" customWidth="1"/>
    <col min="12034" max="12034" width="33.85546875" customWidth="1"/>
    <col min="12035" max="12035" width="10.28515625" bestFit="1" customWidth="1"/>
    <col min="12036" max="12036" width="13.85546875" bestFit="1" customWidth="1"/>
    <col min="12037" max="12037" width="6.5703125" bestFit="1" customWidth="1"/>
    <col min="12290" max="12290" width="33.85546875" customWidth="1"/>
    <col min="12291" max="12291" width="10.28515625" bestFit="1" customWidth="1"/>
    <col min="12292" max="12292" width="13.85546875" bestFit="1" customWidth="1"/>
    <col min="12293" max="12293" width="6.5703125" bestFit="1" customWidth="1"/>
    <col min="12546" max="12546" width="33.85546875" customWidth="1"/>
    <col min="12547" max="12547" width="10.28515625" bestFit="1" customWidth="1"/>
    <col min="12548" max="12548" width="13.85546875" bestFit="1" customWidth="1"/>
    <col min="12549" max="12549" width="6.5703125" bestFit="1" customWidth="1"/>
    <col min="12802" max="12802" width="33.85546875" customWidth="1"/>
    <col min="12803" max="12803" width="10.28515625" bestFit="1" customWidth="1"/>
    <col min="12804" max="12804" width="13.85546875" bestFit="1" customWidth="1"/>
    <col min="12805" max="12805" width="6.5703125" bestFit="1" customWidth="1"/>
    <col min="13058" max="13058" width="33.85546875" customWidth="1"/>
    <col min="13059" max="13059" width="10.28515625" bestFit="1" customWidth="1"/>
    <col min="13060" max="13060" width="13.85546875" bestFit="1" customWidth="1"/>
    <col min="13061" max="13061" width="6.5703125" bestFit="1" customWidth="1"/>
    <col min="13314" max="13314" width="33.85546875" customWidth="1"/>
    <col min="13315" max="13315" width="10.28515625" bestFit="1" customWidth="1"/>
    <col min="13316" max="13316" width="13.85546875" bestFit="1" customWidth="1"/>
    <col min="13317" max="13317" width="6.5703125" bestFit="1" customWidth="1"/>
    <col min="13570" max="13570" width="33.85546875" customWidth="1"/>
    <col min="13571" max="13571" width="10.28515625" bestFit="1" customWidth="1"/>
    <col min="13572" max="13572" width="13.85546875" bestFit="1" customWidth="1"/>
    <col min="13573" max="13573" width="6.5703125" bestFit="1" customWidth="1"/>
    <col min="13826" max="13826" width="33.85546875" customWidth="1"/>
    <col min="13827" max="13827" width="10.28515625" bestFit="1" customWidth="1"/>
    <col min="13828" max="13828" width="13.85546875" bestFit="1" customWidth="1"/>
    <col min="13829" max="13829" width="6.5703125" bestFit="1" customWidth="1"/>
    <col min="14082" max="14082" width="33.85546875" customWidth="1"/>
    <col min="14083" max="14083" width="10.28515625" bestFit="1" customWidth="1"/>
    <col min="14084" max="14084" width="13.85546875" bestFit="1" customWidth="1"/>
    <col min="14085" max="14085" width="6.5703125" bestFit="1" customWidth="1"/>
    <col min="14338" max="14338" width="33.85546875" customWidth="1"/>
    <col min="14339" max="14339" width="10.28515625" bestFit="1" customWidth="1"/>
    <col min="14340" max="14340" width="13.85546875" bestFit="1" customWidth="1"/>
    <col min="14341" max="14341" width="6.5703125" bestFit="1" customWidth="1"/>
    <col min="14594" max="14594" width="33.85546875" customWidth="1"/>
    <col min="14595" max="14595" width="10.28515625" bestFit="1" customWidth="1"/>
    <col min="14596" max="14596" width="13.85546875" bestFit="1" customWidth="1"/>
    <col min="14597" max="14597" width="6.5703125" bestFit="1" customWidth="1"/>
    <col min="14850" max="14850" width="33.85546875" customWidth="1"/>
    <col min="14851" max="14851" width="10.28515625" bestFit="1" customWidth="1"/>
    <col min="14852" max="14852" width="13.85546875" bestFit="1" customWidth="1"/>
    <col min="14853" max="14853" width="6.5703125" bestFit="1" customWidth="1"/>
    <col min="15106" max="15106" width="33.85546875" customWidth="1"/>
    <col min="15107" max="15107" width="10.28515625" bestFit="1" customWidth="1"/>
    <col min="15108" max="15108" width="13.85546875" bestFit="1" customWidth="1"/>
    <col min="15109" max="15109" width="6.5703125" bestFit="1" customWidth="1"/>
    <col min="15362" max="15362" width="33.85546875" customWidth="1"/>
    <col min="15363" max="15363" width="10.28515625" bestFit="1" customWidth="1"/>
    <col min="15364" max="15364" width="13.85546875" bestFit="1" customWidth="1"/>
    <col min="15365" max="15365" width="6.5703125" bestFit="1" customWidth="1"/>
    <col min="15618" max="15618" width="33.85546875" customWidth="1"/>
    <col min="15619" max="15619" width="10.28515625" bestFit="1" customWidth="1"/>
    <col min="15620" max="15620" width="13.85546875" bestFit="1" customWidth="1"/>
    <col min="15621" max="15621" width="6.5703125" bestFit="1" customWidth="1"/>
    <col min="15874" max="15874" width="33.85546875" customWidth="1"/>
    <col min="15875" max="15875" width="10.28515625" bestFit="1" customWidth="1"/>
    <col min="15876" max="15876" width="13.85546875" bestFit="1" customWidth="1"/>
    <col min="15877" max="15877" width="6.5703125" bestFit="1" customWidth="1"/>
    <col min="16130" max="16130" width="33.85546875" customWidth="1"/>
    <col min="16131" max="16131" width="10.28515625" bestFit="1" customWidth="1"/>
    <col min="16132" max="16132" width="13.85546875" bestFit="1" customWidth="1"/>
    <col min="16133" max="16133" width="6.5703125" bestFit="1" customWidth="1"/>
  </cols>
  <sheetData>
    <row r="2" spans="2:7" ht="16.5" x14ac:dyDescent="0.3">
      <c r="B2" s="129" t="s">
        <v>1489</v>
      </c>
      <c r="C2" s="128"/>
      <c r="D2" s="128"/>
      <c r="E2" s="128"/>
    </row>
    <row r="3" spans="2:7" ht="15" x14ac:dyDescent="0.3">
      <c r="B3" s="128"/>
      <c r="C3" s="128"/>
      <c r="D3" s="127" t="s">
        <v>1485</v>
      </c>
      <c r="E3" s="127"/>
    </row>
    <row r="4" spans="2:7" ht="16.5" x14ac:dyDescent="0.3">
      <c r="B4" s="126" t="s">
        <v>1484</v>
      </c>
      <c r="C4" s="125" t="s">
        <v>1483</v>
      </c>
      <c r="D4" s="125" t="s">
        <v>1482</v>
      </c>
      <c r="E4" s="125" t="s">
        <v>1481</v>
      </c>
    </row>
    <row r="5" spans="2:7" ht="15" x14ac:dyDescent="0.3">
      <c r="B5" s="124"/>
      <c r="C5" s="123"/>
      <c r="D5" s="123"/>
      <c r="E5" s="123"/>
    </row>
    <row r="6" spans="2:7" ht="15" x14ac:dyDescent="0.3">
      <c r="B6" s="123" t="s">
        <v>1480</v>
      </c>
      <c r="C6" s="122">
        <f>+PTN!N126/10^5</f>
        <v>52.749723946648182</v>
      </c>
      <c r="D6" s="122">
        <f>+PTN!P126/10^5</f>
        <v>4121.4131198046525</v>
      </c>
      <c r="E6" s="121">
        <f t="shared" ref="E6:E13" si="0">+D6/$D$15</f>
        <v>0.16444184819641683</v>
      </c>
      <c r="G6" s="172">
        <f>D6/100</f>
        <v>41.214131198046523</v>
      </c>
    </row>
    <row r="7" spans="2:7" ht="15" x14ac:dyDescent="0.3">
      <c r="B7" s="123" t="s">
        <v>1479</v>
      </c>
      <c r="C7" s="122">
        <f>+DHJ!N162/10^5</f>
        <v>76.34045961638337</v>
      </c>
      <c r="D7" s="122">
        <f>+DHJ!P162/10^5</f>
        <v>4232.0579973145141</v>
      </c>
      <c r="E7" s="121">
        <f t="shared" si="0"/>
        <v>0.16885651074595764</v>
      </c>
      <c r="G7" s="172">
        <f t="shared" ref="G7:G12" si="1">D7/100</f>
        <v>42.320579973145144</v>
      </c>
    </row>
    <row r="8" spans="2:7" ht="15" x14ac:dyDescent="0.3">
      <c r="B8" s="123" t="s">
        <v>1478</v>
      </c>
      <c r="C8" s="122">
        <f>+GHT!N211/10^5</f>
        <v>57.590010002399637</v>
      </c>
      <c r="D8" s="122">
        <f>+GHT!P211/10^5</f>
        <v>7165.9408887848685</v>
      </c>
      <c r="E8" s="121">
        <f t="shared" si="0"/>
        <v>0.2859166333400498</v>
      </c>
      <c r="G8" s="172">
        <f t="shared" si="1"/>
        <v>71.659408887848684</v>
      </c>
    </row>
    <row r="9" spans="2:7" ht="15" x14ac:dyDescent="0.3">
      <c r="B9" s="123" t="s">
        <v>1477</v>
      </c>
      <c r="C9" s="122">
        <f>+PMR!N51/10^5</f>
        <v>8.513498969419647</v>
      </c>
      <c r="D9" s="122">
        <f>+PMR!P51/10^5</f>
        <v>1506.2001697959497</v>
      </c>
      <c r="E9" s="121">
        <f t="shared" si="0"/>
        <v>6.0096460237100066E-2</v>
      </c>
      <c r="G9" s="172">
        <f t="shared" si="1"/>
        <v>15.062001697959497</v>
      </c>
    </row>
    <row r="10" spans="2:7" ht="15" x14ac:dyDescent="0.3">
      <c r="B10" s="123" t="s">
        <v>1476</v>
      </c>
      <c r="C10" s="122">
        <f>+CTGN!N86/10^5</f>
        <v>17.787394474785327</v>
      </c>
      <c r="D10" s="122">
        <f>+CTGN!P86/10^5</f>
        <v>1614.802578414957</v>
      </c>
      <c r="E10" s="121">
        <f t="shared" si="0"/>
        <v>6.44296295343188E-2</v>
      </c>
      <c r="G10" s="172">
        <f t="shared" si="1"/>
        <v>16.148025784149571</v>
      </c>
    </row>
    <row r="11" spans="2:7" ht="15" x14ac:dyDescent="0.3">
      <c r="B11" s="123" t="s">
        <v>1475</v>
      </c>
      <c r="C11" s="122">
        <f>+CKT!N37/10^5</f>
        <v>13.359805799175254</v>
      </c>
      <c r="D11" s="122">
        <f>+CKT!P37/10^5</f>
        <v>556.96955790122922</v>
      </c>
      <c r="E11" s="121">
        <f t="shared" si="0"/>
        <v>2.2222742740907391E-2</v>
      </c>
      <c r="G11" s="172">
        <f t="shared" si="1"/>
        <v>5.5696955790122926</v>
      </c>
    </row>
    <row r="12" spans="2:7" ht="15" x14ac:dyDescent="0.3">
      <c r="B12" s="123" t="s">
        <v>1474</v>
      </c>
      <c r="C12" s="122">
        <f>+CML!N215/10^5</f>
        <v>50.422464304768617</v>
      </c>
      <c r="D12" s="122">
        <f>+CML!P215/10^5</f>
        <v>4221.9633566859857</v>
      </c>
      <c r="E12" s="121">
        <f t="shared" si="0"/>
        <v>0.168453740794589</v>
      </c>
      <c r="G12" s="172">
        <f t="shared" si="1"/>
        <v>42.219633566859855</v>
      </c>
    </row>
    <row r="13" spans="2:7" ht="15" x14ac:dyDescent="0.3">
      <c r="B13" s="123" t="s">
        <v>1473</v>
      </c>
      <c r="C13" s="122"/>
      <c r="D13" s="122">
        <f>+TP!P78/10^5</f>
        <v>1643.6953766536033</v>
      </c>
      <c r="E13" s="121">
        <f t="shared" si="0"/>
        <v>6.5582434410660431E-2</v>
      </c>
      <c r="G13" s="172">
        <f>D13/100</f>
        <v>16.436953766536032</v>
      </c>
    </row>
    <row r="14" spans="2:7" ht="15" x14ac:dyDescent="0.3">
      <c r="B14" s="123"/>
      <c r="C14" s="122"/>
      <c r="D14" s="122"/>
      <c r="E14" s="121"/>
    </row>
    <row r="15" spans="2:7" ht="17.25" thickBot="1" x14ac:dyDescent="0.35">
      <c r="B15" s="120" t="s">
        <v>1472</v>
      </c>
      <c r="C15" s="119">
        <f>SUM(C6:C14)</f>
        <v>276.76335711358001</v>
      </c>
      <c r="D15" s="119">
        <f>SUM(D6:D14)</f>
        <v>25063.04304535576</v>
      </c>
      <c r="E15" s="118">
        <f>SUM(E6:E14)</f>
        <v>0.99999999999999989</v>
      </c>
    </row>
    <row r="16" spans="2:7" ht="13.5" thickTop="1" x14ac:dyDescent="0.2"/>
    <row r="17" spans="3:4" x14ac:dyDescent="0.2">
      <c r="C17" s="117"/>
      <c r="D17" s="117"/>
    </row>
    <row r="19" spans="3:4" x14ac:dyDescent="0.2">
      <c r="D19" s="117"/>
    </row>
    <row r="20" spans="3:4" x14ac:dyDescent="0.2">
      <c r="C20" s="172"/>
      <c r="D20" s="172"/>
    </row>
  </sheetData>
  <hyperlinks>
    <hyperlink ref="B10" location="CTGN!A1" display="Chittegaon"/>
    <hyperlink ref="B11" location="CKT!A1" display="Chikalthana"/>
    <hyperlink ref="B12" location="LL!A1" display="Loan License"/>
    <hyperlink ref="B13" location="TP!A1" display="Third Party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AJ127"/>
  <sheetViews>
    <sheetView workbookViewId="0">
      <selection activeCell="K4" sqref="B2:P124"/>
    </sheetView>
  </sheetViews>
  <sheetFormatPr defaultRowHeight="12" x14ac:dyDescent="0.2"/>
  <cols>
    <col min="1" max="1" width="4.7109375" style="24" customWidth="1"/>
    <col min="2" max="2" width="6.85546875" style="23" customWidth="1"/>
    <col min="3" max="3" width="5" style="23" bestFit="1" customWidth="1"/>
    <col min="4" max="4" width="10.7109375" style="23" bestFit="1" customWidth="1"/>
    <col min="5" max="5" width="38.85546875" style="34" bestFit="1" customWidth="1"/>
    <col min="6" max="6" width="11.7109375" style="23" bestFit="1" customWidth="1"/>
    <col min="7" max="7" width="11" style="34" bestFit="1" customWidth="1"/>
    <col min="8" max="8" width="9.5703125" style="23" bestFit="1" customWidth="1"/>
    <col min="9" max="9" width="7.42578125" style="23" bestFit="1" customWidth="1"/>
    <col min="10" max="10" width="4" style="25" bestFit="1" customWidth="1"/>
    <col min="11" max="11" width="15.5703125" style="25" customWidth="1"/>
    <col min="12" max="12" width="10.7109375" style="25" bestFit="1" customWidth="1"/>
    <col min="13" max="13" width="10.85546875" style="133" bestFit="1" customWidth="1"/>
    <col min="14" max="14" width="12.140625" style="139" bestFit="1" customWidth="1"/>
    <col min="15" max="15" width="10.85546875" style="133" bestFit="1" customWidth="1"/>
    <col min="16" max="16" width="14.42578125" style="139" bestFit="1" customWidth="1"/>
    <col min="17" max="16384" width="9.140625" style="24"/>
  </cols>
  <sheetData>
    <row r="1" spans="2:36" s="29" customFormat="1" x14ac:dyDescent="0.2">
      <c r="B1" s="28"/>
      <c r="C1" s="28"/>
      <c r="D1" s="28"/>
      <c r="F1" s="28"/>
      <c r="H1" s="28"/>
      <c r="I1" s="28"/>
      <c r="J1" s="37"/>
      <c r="K1" s="30"/>
      <c r="L1" s="30"/>
      <c r="M1" s="132"/>
      <c r="N1" s="138"/>
      <c r="O1" s="132"/>
      <c r="P1" s="138"/>
    </row>
    <row r="2" spans="2:36" s="29" customFormat="1" x14ac:dyDescent="0.2">
      <c r="B2" s="18" t="s">
        <v>174</v>
      </c>
      <c r="C2" s="27"/>
      <c r="D2" s="28"/>
      <c r="F2" s="28"/>
      <c r="H2" s="28"/>
      <c r="I2" s="28"/>
      <c r="J2" s="37"/>
      <c r="K2" s="30"/>
      <c r="L2" s="30"/>
      <c r="M2" s="132"/>
      <c r="N2" s="138"/>
      <c r="O2" s="132"/>
      <c r="P2" s="138"/>
    </row>
    <row r="3" spans="2:36" s="29" customFormat="1" x14ac:dyDescent="0.2">
      <c r="B3" s="18" t="s">
        <v>428</v>
      </c>
      <c r="C3" s="27"/>
      <c r="D3" s="28"/>
      <c r="F3" s="28"/>
      <c r="H3" s="28"/>
      <c r="I3" s="28"/>
      <c r="J3" s="40" t="s">
        <v>169</v>
      </c>
      <c r="K3" s="30"/>
      <c r="L3" s="30"/>
      <c r="M3" s="132"/>
      <c r="N3" s="138"/>
      <c r="O3" s="132"/>
      <c r="P3" s="138"/>
    </row>
    <row r="4" spans="2:36" x14ac:dyDescent="0.2">
      <c r="B4" s="32" t="s">
        <v>168</v>
      </c>
      <c r="C4" s="32" t="s">
        <v>196</v>
      </c>
      <c r="D4" s="32" t="s">
        <v>118</v>
      </c>
      <c r="E4" s="20" t="s">
        <v>115</v>
      </c>
      <c r="F4" s="20" t="s">
        <v>423</v>
      </c>
      <c r="G4" s="105" t="s">
        <v>119</v>
      </c>
      <c r="H4" s="19" t="s">
        <v>297</v>
      </c>
      <c r="I4" s="20" t="s">
        <v>172</v>
      </c>
      <c r="J4" s="19" t="s">
        <v>120</v>
      </c>
      <c r="K4" s="33" t="s">
        <v>170</v>
      </c>
      <c r="L4" s="33" t="s">
        <v>173</v>
      </c>
      <c r="M4" s="130" t="s">
        <v>1486</v>
      </c>
      <c r="N4" s="131" t="s">
        <v>1487</v>
      </c>
      <c r="O4" s="130" t="s">
        <v>1488</v>
      </c>
      <c r="P4" s="131" t="s">
        <v>1482</v>
      </c>
      <c r="S4" s="106"/>
      <c r="T4" s="23"/>
      <c r="U4" s="106"/>
      <c r="W4" s="23"/>
      <c r="X4" s="29"/>
      <c r="Z4" s="23"/>
      <c r="AB4" s="103"/>
      <c r="AC4" s="25"/>
      <c r="AD4" s="173"/>
      <c r="AE4" s="133"/>
      <c r="AF4" s="139"/>
      <c r="AG4" s="133"/>
      <c r="AH4" s="139"/>
      <c r="AI4" s="133"/>
      <c r="AJ4" s="23"/>
    </row>
    <row r="5" spans="2:36" x14ac:dyDescent="0.2">
      <c r="B5" s="23">
        <v>1</v>
      </c>
      <c r="C5" s="23" t="s">
        <v>406</v>
      </c>
      <c r="D5" s="106">
        <v>5001213</v>
      </c>
      <c r="E5" s="24" t="s">
        <v>326</v>
      </c>
      <c r="F5" s="23" t="s">
        <v>426</v>
      </c>
      <c r="G5" s="29" t="s">
        <v>159</v>
      </c>
      <c r="H5" s="24" t="s">
        <v>473</v>
      </c>
      <c r="I5" s="23">
        <v>90</v>
      </c>
      <c r="J5" s="24" t="s">
        <v>7</v>
      </c>
      <c r="K5" s="103">
        <v>53937</v>
      </c>
      <c r="L5" s="25">
        <f t="shared" ref="L5:L19" si="0">K5*I5</f>
        <v>4854330</v>
      </c>
      <c r="M5" s="133">
        <v>6.2398969072164956</v>
      </c>
      <c r="N5" s="139">
        <f>+K5*M5</f>
        <v>336561.31948453613</v>
      </c>
      <c r="O5" s="133">
        <v>144.00099996251311</v>
      </c>
      <c r="P5" s="139">
        <f>+K5*O5</f>
        <v>7766981.9349780697</v>
      </c>
      <c r="S5" s="106"/>
      <c r="T5" s="23"/>
      <c r="U5" s="106"/>
      <c r="W5" s="23"/>
      <c r="X5" s="29"/>
      <c r="Z5" s="23"/>
      <c r="AB5" s="103"/>
      <c r="AC5" s="25"/>
      <c r="AD5" s="173"/>
      <c r="AE5" s="133"/>
      <c r="AF5" s="139"/>
      <c r="AG5" s="133"/>
      <c r="AH5" s="139"/>
      <c r="AI5" s="133"/>
      <c r="AJ5" s="23"/>
    </row>
    <row r="6" spans="2:36" x14ac:dyDescent="0.2">
      <c r="B6" s="23">
        <v>2</v>
      </c>
      <c r="C6" s="23" t="s">
        <v>406</v>
      </c>
      <c r="D6" s="106">
        <v>5001041</v>
      </c>
      <c r="E6" s="24" t="s">
        <v>437</v>
      </c>
      <c r="F6" s="23" t="s">
        <v>424</v>
      </c>
      <c r="G6" s="29" t="s">
        <v>159</v>
      </c>
      <c r="H6" s="24" t="s">
        <v>485</v>
      </c>
      <c r="I6" s="23">
        <v>10</v>
      </c>
      <c r="J6" s="24" t="s">
        <v>3</v>
      </c>
      <c r="K6" s="103">
        <v>38613</v>
      </c>
      <c r="L6" s="25">
        <f t="shared" si="0"/>
        <v>386130</v>
      </c>
      <c r="M6" s="133">
        <v>0.74520408163265306</v>
      </c>
      <c r="N6" s="139">
        <f t="shared" ref="N6:N19" si="1">+K6*M6</f>
        <v>28774.565204081631</v>
      </c>
      <c r="O6" s="133">
        <v>47.143599999999985</v>
      </c>
      <c r="P6" s="139">
        <f t="shared" ref="P6:P19" si="2">+K6*O6</f>
        <v>1820355.8267999995</v>
      </c>
      <c r="S6" s="106"/>
      <c r="T6" s="23"/>
      <c r="U6" s="106"/>
      <c r="W6" s="23"/>
      <c r="X6" s="29"/>
      <c r="Z6" s="23"/>
      <c r="AB6" s="103"/>
      <c r="AC6" s="25"/>
      <c r="AD6" s="173"/>
      <c r="AE6" s="133"/>
      <c r="AF6" s="139"/>
      <c r="AG6" s="133"/>
      <c r="AH6" s="139"/>
      <c r="AI6" s="133"/>
      <c r="AJ6" s="23"/>
    </row>
    <row r="7" spans="2:36" x14ac:dyDescent="0.2">
      <c r="B7" s="23">
        <v>3</v>
      </c>
      <c r="C7" s="23" t="s">
        <v>406</v>
      </c>
      <c r="D7" s="106">
        <v>5001212</v>
      </c>
      <c r="E7" s="24" t="s">
        <v>324</v>
      </c>
      <c r="F7" s="23" t="s">
        <v>426</v>
      </c>
      <c r="G7" s="29" t="s">
        <v>159</v>
      </c>
      <c r="H7" s="24" t="s">
        <v>486</v>
      </c>
      <c r="I7" s="23">
        <v>30</v>
      </c>
      <c r="J7" s="24" t="s">
        <v>7</v>
      </c>
      <c r="K7" s="103">
        <v>157468</v>
      </c>
      <c r="L7" s="25">
        <f t="shared" si="0"/>
        <v>4724040</v>
      </c>
      <c r="M7" s="133">
        <v>2.5473195876288663</v>
      </c>
      <c r="N7" s="139">
        <f t="shared" si="1"/>
        <v>401121.32082474232</v>
      </c>
      <c r="O7" s="133">
        <v>60.42</v>
      </c>
      <c r="P7" s="139">
        <f t="shared" si="2"/>
        <v>9514216.5600000005</v>
      </c>
      <c r="S7" s="106"/>
      <c r="T7" s="23"/>
      <c r="U7" s="106"/>
      <c r="W7" s="23"/>
      <c r="X7" s="29"/>
      <c r="Z7" s="23"/>
      <c r="AB7" s="103"/>
      <c r="AC7" s="25"/>
      <c r="AD7" s="173"/>
      <c r="AE7" s="133"/>
      <c r="AF7" s="139"/>
      <c r="AG7" s="133"/>
      <c r="AH7" s="139"/>
      <c r="AI7" s="133"/>
      <c r="AJ7" s="23"/>
    </row>
    <row r="8" spans="2:36" x14ac:dyDescent="0.2">
      <c r="B8" s="23">
        <v>4</v>
      </c>
      <c r="C8" s="23" t="s">
        <v>406</v>
      </c>
      <c r="D8" s="106">
        <v>5001212</v>
      </c>
      <c r="E8" s="24" t="s">
        <v>324</v>
      </c>
      <c r="F8" s="23" t="s">
        <v>426</v>
      </c>
      <c r="G8" s="29" t="s">
        <v>159</v>
      </c>
      <c r="H8" s="24" t="s">
        <v>499</v>
      </c>
      <c r="I8" s="23">
        <v>30</v>
      </c>
      <c r="J8" s="24" t="s">
        <v>7</v>
      </c>
      <c r="K8" s="103">
        <v>160300</v>
      </c>
      <c r="L8" s="25">
        <f t="shared" si="0"/>
        <v>4809000</v>
      </c>
      <c r="M8" s="133">
        <v>2.5473195876288663</v>
      </c>
      <c r="N8" s="139">
        <f t="shared" si="1"/>
        <v>408335.32989690726</v>
      </c>
      <c r="O8" s="133">
        <v>60.42</v>
      </c>
      <c r="P8" s="139">
        <f t="shared" si="2"/>
        <v>9685326</v>
      </c>
      <c r="S8" s="106"/>
      <c r="T8" s="23"/>
      <c r="U8" s="106"/>
      <c r="W8" s="23"/>
      <c r="X8" s="29"/>
      <c r="Z8" s="23"/>
      <c r="AB8" s="103"/>
      <c r="AC8" s="25"/>
      <c r="AD8" s="173"/>
      <c r="AE8" s="133"/>
      <c r="AF8" s="139"/>
      <c r="AG8" s="133"/>
      <c r="AH8" s="139"/>
      <c r="AI8" s="133"/>
      <c r="AJ8" s="23"/>
    </row>
    <row r="9" spans="2:36" x14ac:dyDescent="0.2">
      <c r="B9" s="23">
        <v>5</v>
      </c>
      <c r="C9" s="23" t="s">
        <v>406</v>
      </c>
      <c r="D9" s="106">
        <v>5001211</v>
      </c>
      <c r="E9" s="24" t="s">
        <v>446</v>
      </c>
      <c r="F9" s="23" t="s">
        <v>426</v>
      </c>
      <c r="G9" s="29" t="s">
        <v>159</v>
      </c>
      <c r="H9" s="24" t="s">
        <v>509</v>
      </c>
      <c r="I9" s="23">
        <v>60</v>
      </c>
      <c r="J9" s="24" t="s">
        <v>7</v>
      </c>
      <c r="K9" s="103">
        <v>116262</v>
      </c>
      <c r="L9" s="25">
        <f t="shared" si="0"/>
        <v>6975720</v>
      </c>
      <c r="M9" s="133">
        <v>4.5222448979591841</v>
      </c>
      <c r="N9" s="139">
        <f t="shared" si="1"/>
        <v>525765.23632653069</v>
      </c>
      <c r="O9" s="133">
        <v>67.05</v>
      </c>
      <c r="P9" s="139">
        <f t="shared" si="2"/>
        <v>7795367.0999999996</v>
      </c>
      <c r="S9" s="106"/>
      <c r="T9" s="23"/>
      <c r="U9" s="106"/>
      <c r="W9" s="23"/>
      <c r="X9" s="29"/>
      <c r="Z9" s="23"/>
      <c r="AB9" s="103"/>
      <c r="AC9" s="25"/>
      <c r="AD9" s="173"/>
      <c r="AE9" s="133"/>
      <c r="AF9" s="139"/>
      <c r="AG9" s="133"/>
      <c r="AH9" s="139"/>
      <c r="AI9" s="133"/>
      <c r="AJ9" s="23"/>
    </row>
    <row r="10" spans="2:36" x14ac:dyDescent="0.2">
      <c r="B10" s="23">
        <v>6</v>
      </c>
      <c r="C10" s="23" t="s">
        <v>406</v>
      </c>
      <c r="D10" s="106">
        <v>5006583</v>
      </c>
      <c r="E10" s="24" t="s">
        <v>447</v>
      </c>
      <c r="F10" s="23" t="s">
        <v>424</v>
      </c>
      <c r="G10" s="29" t="s">
        <v>159</v>
      </c>
      <c r="H10" s="24" t="s">
        <v>485</v>
      </c>
      <c r="I10" s="23">
        <v>10</v>
      </c>
      <c r="J10" s="24" t="s">
        <v>3</v>
      </c>
      <c r="K10" s="103">
        <v>29805</v>
      </c>
      <c r="L10" s="25">
        <f t="shared" si="0"/>
        <v>298050</v>
      </c>
      <c r="M10" s="133">
        <v>0.74520408163265306</v>
      </c>
      <c r="N10" s="139">
        <f t="shared" si="1"/>
        <v>22210.807653061223</v>
      </c>
      <c r="O10" s="133">
        <v>37.25</v>
      </c>
      <c r="P10" s="139">
        <f t="shared" si="2"/>
        <v>1110236.25</v>
      </c>
      <c r="S10" s="106"/>
      <c r="T10" s="23"/>
      <c r="U10" s="106"/>
      <c r="W10" s="23"/>
      <c r="X10" s="29"/>
      <c r="Z10" s="23"/>
      <c r="AB10" s="103"/>
      <c r="AC10" s="25"/>
      <c r="AD10" s="173"/>
      <c r="AE10" s="133"/>
      <c r="AF10" s="139"/>
      <c r="AG10" s="133"/>
      <c r="AH10" s="139"/>
      <c r="AI10" s="133"/>
      <c r="AJ10" s="23"/>
    </row>
    <row r="11" spans="2:36" x14ac:dyDescent="0.2">
      <c r="B11" s="23">
        <v>7</v>
      </c>
      <c r="C11" s="23" t="s">
        <v>406</v>
      </c>
      <c r="D11" s="106">
        <v>5001211</v>
      </c>
      <c r="E11" s="24" t="s">
        <v>446</v>
      </c>
      <c r="F11" s="23" t="s">
        <v>426</v>
      </c>
      <c r="G11" s="29" t="s">
        <v>159</v>
      </c>
      <c r="H11" s="24" t="s">
        <v>520</v>
      </c>
      <c r="I11" s="23">
        <v>60</v>
      </c>
      <c r="J11" s="24" t="s">
        <v>7</v>
      </c>
      <c r="K11" s="103">
        <v>119755</v>
      </c>
      <c r="L11" s="25">
        <f t="shared" si="0"/>
        <v>7185300</v>
      </c>
      <c r="M11" s="133">
        <v>4.5222448979591841</v>
      </c>
      <c r="N11" s="139">
        <f t="shared" si="1"/>
        <v>541561.43775510206</v>
      </c>
      <c r="O11" s="133">
        <v>67.05</v>
      </c>
      <c r="P11" s="139">
        <f t="shared" si="2"/>
        <v>8029572.75</v>
      </c>
      <c r="S11" s="106"/>
      <c r="T11" s="23"/>
      <c r="U11" s="106"/>
      <c r="W11" s="23"/>
      <c r="X11" s="29"/>
      <c r="Z11" s="23"/>
      <c r="AB11" s="103"/>
      <c r="AC11" s="25"/>
      <c r="AD11" s="173"/>
      <c r="AE11" s="133"/>
      <c r="AF11" s="139"/>
      <c r="AG11" s="133"/>
      <c r="AH11" s="139"/>
      <c r="AI11" s="133"/>
      <c r="AJ11" s="23"/>
    </row>
    <row r="12" spans="2:36" x14ac:dyDescent="0.2">
      <c r="B12" s="23">
        <v>8</v>
      </c>
      <c r="C12" s="23" t="s">
        <v>406</v>
      </c>
      <c r="D12" s="106">
        <v>5500841</v>
      </c>
      <c r="E12" s="24" t="s">
        <v>412</v>
      </c>
      <c r="F12" s="23" t="s">
        <v>425</v>
      </c>
      <c r="G12" s="29" t="s">
        <v>159</v>
      </c>
      <c r="H12" s="24" t="s">
        <v>526</v>
      </c>
      <c r="I12" s="23">
        <v>20</v>
      </c>
      <c r="J12" s="24" t="s">
        <v>65</v>
      </c>
      <c r="K12" s="103">
        <v>97786</v>
      </c>
      <c r="L12" s="25">
        <f t="shared" si="0"/>
        <v>1955720</v>
      </c>
      <c r="M12" s="133">
        <v>1.97</v>
      </c>
      <c r="N12" s="139">
        <f t="shared" si="1"/>
        <v>192638.41999999998</v>
      </c>
      <c r="O12" s="133">
        <v>10.00004074074074</v>
      </c>
      <c r="P12" s="139">
        <f t="shared" si="2"/>
        <v>977863.98387407407</v>
      </c>
      <c r="S12" s="106"/>
      <c r="T12" s="23"/>
      <c r="U12" s="106"/>
      <c r="W12" s="23"/>
      <c r="X12" s="29"/>
      <c r="Z12" s="23"/>
      <c r="AB12" s="103"/>
      <c r="AC12" s="25"/>
      <c r="AD12" s="173"/>
      <c r="AE12" s="133"/>
      <c r="AF12" s="139"/>
      <c r="AG12" s="133"/>
      <c r="AH12" s="139"/>
      <c r="AI12" s="133"/>
      <c r="AJ12" s="23"/>
    </row>
    <row r="13" spans="2:36" x14ac:dyDescent="0.2">
      <c r="B13" s="23">
        <v>9</v>
      </c>
      <c r="C13" s="23" t="s">
        <v>406</v>
      </c>
      <c r="D13" s="106">
        <v>5002247</v>
      </c>
      <c r="E13" s="24" t="s">
        <v>452</v>
      </c>
      <c r="F13" s="23" t="s">
        <v>426</v>
      </c>
      <c r="G13" s="29" t="s">
        <v>159</v>
      </c>
      <c r="H13" s="24" t="s">
        <v>530</v>
      </c>
      <c r="I13" s="23">
        <v>90</v>
      </c>
      <c r="J13" s="24" t="s">
        <v>7</v>
      </c>
      <c r="K13" s="103">
        <v>1045</v>
      </c>
      <c r="L13" s="25">
        <f t="shared" si="0"/>
        <v>94050</v>
      </c>
      <c r="M13" s="133">
        <v>7.1208235294117648</v>
      </c>
      <c r="N13" s="139">
        <f t="shared" si="1"/>
        <v>7441.2605882352946</v>
      </c>
      <c r="O13" s="133">
        <v>1175.63625</v>
      </c>
      <c r="P13" s="139">
        <f t="shared" si="2"/>
        <v>1228539.8812500001</v>
      </c>
      <c r="S13" s="106"/>
      <c r="T13" s="23"/>
      <c r="U13" s="106"/>
      <c r="W13" s="23"/>
      <c r="X13" s="29"/>
      <c r="Z13" s="23"/>
      <c r="AB13" s="103"/>
      <c r="AC13" s="25"/>
      <c r="AD13" s="173"/>
      <c r="AE13" s="133"/>
      <c r="AF13" s="139"/>
      <c r="AG13" s="133"/>
      <c r="AH13" s="139"/>
      <c r="AI13" s="133"/>
      <c r="AJ13" s="23"/>
    </row>
    <row r="14" spans="2:36" x14ac:dyDescent="0.2">
      <c r="B14" s="23">
        <v>10</v>
      </c>
      <c r="C14" s="23" t="s">
        <v>406</v>
      </c>
      <c r="D14" s="106">
        <v>5001240</v>
      </c>
      <c r="E14" s="24" t="s">
        <v>453</v>
      </c>
      <c r="F14" s="23" t="s">
        <v>424</v>
      </c>
      <c r="G14" s="29" t="s">
        <v>159</v>
      </c>
      <c r="H14" s="24" t="s">
        <v>533</v>
      </c>
      <c r="I14" s="23">
        <v>14</v>
      </c>
      <c r="J14" s="24" t="s">
        <v>7</v>
      </c>
      <c r="K14" s="103">
        <v>28053</v>
      </c>
      <c r="L14" s="25">
        <f t="shared" si="0"/>
        <v>392742</v>
      </c>
      <c r="M14" s="133">
        <v>9.4285714285714292E-2</v>
      </c>
      <c r="N14" s="139">
        <f t="shared" si="1"/>
        <v>2644.997142857143</v>
      </c>
      <c r="O14" s="133">
        <v>29.853446013737745</v>
      </c>
      <c r="P14" s="139">
        <f t="shared" si="2"/>
        <v>837478.72102338495</v>
      </c>
      <c r="S14" s="106"/>
      <c r="T14" s="23"/>
      <c r="U14" s="106"/>
      <c r="W14" s="23"/>
      <c r="X14" s="29"/>
      <c r="Z14" s="23"/>
      <c r="AB14" s="103"/>
      <c r="AC14" s="25"/>
      <c r="AD14" s="173"/>
      <c r="AE14" s="133"/>
      <c r="AF14" s="139"/>
      <c r="AG14" s="133"/>
      <c r="AH14" s="139"/>
      <c r="AI14" s="133"/>
      <c r="AJ14" s="23"/>
    </row>
    <row r="15" spans="2:36" x14ac:dyDescent="0.2">
      <c r="B15" s="23">
        <v>11</v>
      </c>
      <c r="C15" s="23" t="s">
        <v>406</v>
      </c>
      <c r="D15" s="106">
        <v>5002249</v>
      </c>
      <c r="E15" s="24" t="s">
        <v>454</v>
      </c>
      <c r="F15" s="23" t="s">
        <v>426</v>
      </c>
      <c r="G15" s="29" t="s">
        <v>159</v>
      </c>
      <c r="H15" s="24" t="s">
        <v>536</v>
      </c>
      <c r="I15" s="23">
        <v>90</v>
      </c>
      <c r="J15" s="24" t="s">
        <v>7</v>
      </c>
      <c r="K15" s="103">
        <v>348</v>
      </c>
      <c r="L15" s="25">
        <f t="shared" si="0"/>
        <v>31320</v>
      </c>
      <c r="M15" s="133">
        <v>7.1208235294117648</v>
      </c>
      <c r="N15" s="139">
        <f t="shared" si="1"/>
        <v>2478.0465882352942</v>
      </c>
      <c r="O15" s="133">
        <v>3880.9977298850572</v>
      </c>
      <c r="P15" s="139">
        <f t="shared" si="2"/>
        <v>1350587.21</v>
      </c>
      <c r="S15" s="106"/>
      <c r="T15" s="23"/>
      <c r="U15" s="106"/>
      <c r="W15" s="23"/>
      <c r="X15" s="29"/>
      <c r="Z15" s="23"/>
      <c r="AB15" s="103"/>
      <c r="AC15" s="25"/>
      <c r="AD15" s="173"/>
      <c r="AE15" s="133"/>
      <c r="AF15" s="139"/>
      <c r="AG15" s="133"/>
      <c r="AH15" s="139"/>
      <c r="AI15" s="133"/>
      <c r="AJ15" s="23"/>
    </row>
    <row r="16" spans="2:36" x14ac:dyDescent="0.2">
      <c r="B16" s="23">
        <v>12</v>
      </c>
      <c r="C16" s="23" t="s">
        <v>406</v>
      </c>
      <c r="D16" s="106">
        <v>5002249</v>
      </c>
      <c r="E16" s="24" t="s">
        <v>454</v>
      </c>
      <c r="F16" s="23" t="s">
        <v>426</v>
      </c>
      <c r="G16" s="29" t="s">
        <v>159</v>
      </c>
      <c r="H16" s="24" t="s">
        <v>537</v>
      </c>
      <c r="I16" s="23">
        <v>90</v>
      </c>
      <c r="J16" s="24" t="s">
        <v>7</v>
      </c>
      <c r="K16" s="103">
        <v>357</v>
      </c>
      <c r="L16" s="25">
        <f t="shared" si="0"/>
        <v>32130</v>
      </c>
      <c r="M16" s="133">
        <v>7.1208235294117648</v>
      </c>
      <c r="N16" s="139">
        <f t="shared" si="1"/>
        <v>2542.134</v>
      </c>
      <c r="O16" s="133">
        <v>3880.9977298850572</v>
      </c>
      <c r="P16" s="139">
        <f t="shared" si="2"/>
        <v>1385516.1895689655</v>
      </c>
      <c r="S16" s="106"/>
      <c r="T16" s="23"/>
      <c r="U16" s="106"/>
      <c r="W16" s="23"/>
      <c r="X16" s="29"/>
      <c r="Z16" s="23"/>
      <c r="AB16" s="103"/>
      <c r="AC16" s="25"/>
      <c r="AD16" s="173"/>
      <c r="AE16" s="133"/>
      <c r="AF16" s="139"/>
      <c r="AG16" s="133"/>
      <c r="AH16" s="139"/>
      <c r="AI16" s="133"/>
      <c r="AJ16" s="23"/>
    </row>
    <row r="17" spans="2:36" x14ac:dyDescent="0.2">
      <c r="B17" s="23">
        <v>13</v>
      </c>
      <c r="C17" s="23" t="s">
        <v>406</v>
      </c>
      <c r="D17" s="106">
        <v>5001240</v>
      </c>
      <c r="E17" s="24" t="s">
        <v>453</v>
      </c>
      <c r="F17" s="23" t="s">
        <v>424</v>
      </c>
      <c r="G17" s="29" t="s">
        <v>159</v>
      </c>
      <c r="H17" s="24" t="s">
        <v>545</v>
      </c>
      <c r="I17" s="23">
        <v>14</v>
      </c>
      <c r="J17" s="24" t="s">
        <v>7</v>
      </c>
      <c r="K17" s="103">
        <v>27669</v>
      </c>
      <c r="L17" s="25">
        <f t="shared" si="0"/>
        <v>387366</v>
      </c>
      <c r="M17" s="133">
        <v>9.4285714285714292E-2</v>
      </c>
      <c r="N17" s="139">
        <f t="shared" si="1"/>
        <v>2608.7914285714287</v>
      </c>
      <c r="O17" s="133">
        <v>29.853446013737745</v>
      </c>
      <c r="P17" s="139">
        <f t="shared" si="2"/>
        <v>826014.99775410967</v>
      </c>
      <c r="S17" s="106"/>
      <c r="T17" s="23"/>
      <c r="U17" s="106"/>
      <c r="W17" s="23"/>
      <c r="X17" s="29"/>
      <c r="Z17" s="23"/>
      <c r="AB17" s="103"/>
      <c r="AC17" s="25"/>
      <c r="AD17" s="173"/>
      <c r="AE17" s="133"/>
      <c r="AF17" s="139"/>
      <c r="AG17" s="133"/>
      <c r="AH17" s="139"/>
      <c r="AI17" s="133"/>
      <c r="AJ17" s="23"/>
    </row>
    <row r="18" spans="2:36" x14ac:dyDescent="0.2">
      <c r="B18" s="23">
        <v>14</v>
      </c>
      <c r="C18" s="23" t="s">
        <v>406</v>
      </c>
      <c r="D18" s="106">
        <v>5002248</v>
      </c>
      <c r="E18" s="24" t="s">
        <v>463</v>
      </c>
      <c r="F18" s="23" t="s">
        <v>426</v>
      </c>
      <c r="G18" s="29" t="s">
        <v>159</v>
      </c>
      <c r="H18" s="24" t="s">
        <v>558</v>
      </c>
      <c r="I18" s="23">
        <v>90</v>
      </c>
      <c r="J18" s="24" t="s">
        <v>7</v>
      </c>
      <c r="K18" s="103">
        <v>514</v>
      </c>
      <c r="L18" s="25">
        <f t="shared" si="0"/>
        <v>46260</v>
      </c>
      <c r="M18" s="133">
        <v>7.1208235294117648</v>
      </c>
      <c r="N18" s="139">
        <f t="shared" si="1"/>
        <v>3660.1032941176472</v>
      </c>
      <c r="O18" s="133">
        <v>2361.65</v>
      </c>
      <c r="P18" s="139">
        <f t="shared" si="2"/>
        <v>1213888.1000000001</v>
      </c>
      <c r="S18" s="106"/>
      <c r="T18" s="23"/>
      <c r="U18" s="106"/>
      <c r="W18" s="23"/>
      <c r="X18" s="29"/>
      <c r="Z18" s="23"/>
      <c r="AB18" s="103"/>
      <c r="AC18" s="25"/>
      <c r="AD18" s="173"/>
      <c r="AE18" s="133"/>
      <c r="AF18" s="139"/>
      <c r="AG18" s="133"/>
      <c r="AH18" s="139"/>
      <c r="AI18" s="133"/>
      <c r="AJ18" s="23"/>
    </row>
    <row r="19" spans="2:36" x14ac:dyDescent="0.2">
      <c r="B19" s="23">
        <v>15</v>
      </c>
      <c r="C19" s="23" t="s">
        <v>406</v>
      </c>
      <c r="D19" s="106">
        <v>5001278</v>
      </c>
      <c r="E19" s="24" t="s">
        <v>467</v>
      </c>
      <c r="F19" s="23" t="s">
        <v>424</v>
      </c>
      <c r="G19" s="29" t="s">
        <v>159</v>
      </c>
      <c r="H19" s="24" t="s">
        <v>568</v>
      </c>
      <c r="I19" s="23">
        <v>10</v>
      </c>
      <c r="J19" s="24" t="s">
        <v>3</v>
      </c>
      <c r="K19" s="103">
        <v>18894</v>
      </c>
      <c r="L19" s="25">
        <f t="shared" si="0"/>
        <v>188940</v>
      </c>
      <c r="M19" s="133">
        <v>0.7</v>
      </c>
      <c r="N19" s="139">
        <f t="shared" si="1"/>
        <v>13225.8</v>
      </c>
      <c r="O19" s="133">
        <v>94.36666666666666</v>
      </c>
      <c r="P19" s="139">
        <f t="shared" si="2"/>
        <v>1782963.7999999998</v>
      </c>
      <c r="S19" s="106"/>
      <c r="T19" s="23"/>
      <c r="U19" s="106"/>
      <c r="W19" s="23"/>
      <c r="X19" s="47"/>
      <c r="Z19" s="23"/>
      <c r="AB19" s="103"/>
      <c r="AC19" s="25"/>
      <c r="AD19" s="173"/>
      <c r="AE19" s="133"/>
      <c r="AF19" s="139"/>
      <c r="AG19" s="133"/>
      <c r="AH19" s="139"/>
      <c r="AI19" s="133"/>
      <c r="AJ19" s="23"/>
    </row>
    <row r="20" spans="2:36" x14ac:dyDescent="0.2">
      <c r="B20" s="69"/>
      <c r="C20" s="69"/>
      <c r="D20" s="108"/>
      <c r="E20" s="26"/>
      <c r="F20" s="69"/>
      <c r="G20" s="77"/>
      <c r="H20" s="26"/>
      <c r="I20" s="69"/>
      <c r="J20" s="26"/>
      <c r="K20" s="104">
        <f>SUM(K5:K19)</f>
        <v>850806</v>
      </c>
      <c r="L20" s="104">
        <f>SUM(L5:L19)</f>
        <v>32361098</v>
      </c>
      <c r="M20" s="134"/>
      <c r="N20" s="140">
        <f t="shared" ref="N20:P20" si="3">SUM(N5:N19)</f>
        <v>2491569.5701869777</v>
      </c>
      <c r="O20" s="134"/>
      <c r="P20" s="140">
        <f t="shared" si="3"/>
        <v>55324909.305248611</v>
      </c>
      <c r="S20" s="106"/>
      <c r="T20" s="23"/>
      <c r="U20" s="106"/>
      <c r="W20" s="23"/>
      <c r="X20" s="47"/>
      <c r="Z20" s="23"/>
      <c r="AB20" s="103"/>
      <c r="AC20" s="25"/>
      <c r="AD20" s="173"/>
      <c r="AE20" s="133"/>
      <c r="AF20" s="139"/>
      <c r="AG20" s="133"/>
      <c r="AH20" s="139"/>
      <c r="AI20" s="133"/>
      <c r="AJ20" s="23"/>
    </row>
    <row r="21" spans="2:36" x14ac:dyDescent="0.2">
      <c r="B21" s="23">
        <v>16</v>
      </c>
      <c r="C21" s="23" t="s">
        <v>406</v>
      </c>
      <c r="D21" s="106">
        <v>5000670</v>
      </c>
      <c r="E21" s="24" t="s">
        <v>414</v>
      </c>
      <c r="F21" s="23" t="s">
        <v>424</v>
      </c>
      <c r="G21" s="47" t="s">
        <v>331</v>
      </c>
      <c r="H21" s="24" t="s">
        <v>422</v>
      </c>
      <c r="I21" s="23">
        <v>4</v>
      </c>
      <c r="J21" s="24" t="s">
        <v>3</v>
      </c>
      <c r="K21" s="103">
        <v>631</v>
      </c>
      <c r="L21" s="25">
        <f>K21*I21</f>
        <v>2524</v>
      </c>
      <c r="M21" s="133">
        <v>0.26</v>
      </c>
      <c r="N21" s="139">
        <f>+K21*M21</f>
        <v>164.06</v>
      </c>
      <c r="O21" s="133">
        <v>74.5</v>
      </c>
      <c r="P21" s="139">
        <f>+K21*O21</f>
        <v>47009.5</v>
      </c>
      <c r="S21" s="106"/>
      <c r="T21" s="23"/>
      <c r="U21" s="106"/>
      <c r="W21" s="23"/>
      <c r="X21" s="47"/>
      <c r="Z21" s="23"/>
      <c r="AB21" s="103"/>
      <c r="AC21" s="25"/>
      <c r="AD21" s="173"/>
      <c r="AE21" s="133"/>
      <c r="AF21" s="139"/>
      <c r="AG21" s="133"/>
      <c r="AH21" s="139"/>
      <c r="AI21" s="133"/>
      <c r="AJ21" s="23"/>
    </row>
    <row r="22" spans="2:36" x14ac:dyDescent="0.2">
      <c r="B22" s="69"/>
      <c r="C22" s="69"/>
      <c r="D22" s="108"/>
      <c r="E22" s="26"/>
      <c r="F22" s="69"/>
      <c r="G22" s="66"/>
      <c r="H22" s="26"/>
      <c r="I22" s="69"/>
      <c r="J22" s="26"/>
      <c r="K22" s="104">
        <f>SUM(K21)</f>
        <v>631</v>
      </c>
      <c r="L22" s="104">
        <f>SUM(L21)</f>
        <v>2524</v>
      </c>
      <c r="M22" s="134"/>
      <c r="N22" s="140">
        <f t="shared" ref="N22:P22" si="4">SUM(N21)</f>
        <v>164.06</v>
      </c>
      <c r="O22" s="134"/>
      <c r="P22" s="140">
        <f t="shared" si="4"/>
        <v>47009.5</v>
      </c>
      <c r="S22" s="106"/>
      <c r="T22" s="23"/>
      <c r="U22" s="106"/>
      <c r="W22" s="23"/>
      <c r="X22" s="47"/>
      <c r="Z22" s="23"/>
      <c r="AB22" s="103"/>
      <c r="AC22" s="25"/>
      <c r="AD22" s="173"/>
      <c r="AE22" s="133"/>
      <c r="AF22" s="139"/>
      <c r="AG22" s="133"/>
      <c r="AH22" s="139"/>
      <c r="AI22" s="133"/>
      <c r="AJ22" s="23"/>
    </row>
    <row r="23" spans="2:36" x14ac:dyDescent="0.2">
      <c r="B23" s="23">
        <v>17</v>
      </c>
      <c r="C23" s="23" t="s">
        <v>406</v>
      </c>
      <c r="D23" s="106">
        <v>5000095</v>
      </c>
      <c r="E23" s="24" t="s">
        <v>328</v>
      </c>
      <c r="F23" s="23" t="s">
        <v>424</v>
      </c>
      <c r="G23" s="47" t="s">
        <v>158</v>
      </c>
      <c r="H23" s="24" t="s">
        <v>468</v>
      </c>
      <c r="I23" s="23">
        <v>10</v>
      </c>
      <c r="J23" s="24" t="s">
        <v>65</v>
      </c>
      <c r="K23" s="103">
        <v>96546</v>
      </c>
      <c r="L23" s="25">
        <f t="shared" ref="L23:L54" si="5">K23*I23</f>
        <v>965460</v>
      </c>
      <c r="M23" s="133">
        <v>0.6</v>
      </c>
      <c r="N23" s="139">
        <f t="shared" ref="N23:N86" si="6">+K23*M23</f>
        <v>57927.6</v>
      </c>
      <c r="O23" s="133">
        <v>82.545699999999997</v>
      </c>
      <c r="P23" s="139">
        <f t="shared" ref="P23:P86" si="7">+K23*O23</f>
        <v>7969457.1521999994</v>
      </c>
      <c r="S23" s="106"/>
      <c r="T23" s="23"/>
      <c r="U23" s="106"/>
      <c r="W23" s="23"/>
      <c r="X23" s="47"/>
      <c r="Z23" s="23"/>
      <c r="AB23" s="103"/>
      <c r="AC23" s="25"/>
      <c r="AD23" s="173"/>
      <c r="AE23" s="133"/>
      <c r="AF23" s="139"/>
      <c r="AG23" s="133"/>
      <c r="AH23" s="139"/>
      <c r="AI23" s="133"/>
      <c r="AJ23" s="23"/>
    </row>
    <row r="24" spans="2:36" x14ac:dyDescent="0.2">
      <c r="B24" s="23">
        <v>18</v>
      </c>
      <c r="C24" s="23" t="s">
        <v>406</v>
      </c>
      <c r="D24" s="106">
        <v>5000810</v>
      </c>
      <c r="E24" s="24" t="s">
        <v>429</v>
      </c>
      <c r="F24" s="23" t="s">
        <v>424</v>
      </c>
      <c r="G24" s="47" t="s">
        <v>158</v>
      </c>
      <c r="H24" s="24" t="s">
        <v>469</v>
      </c>
      <c r="I24" s="23">
        <v>10</v>
      </c>
      <c r="J24" s="24" t="s">
        <v>3</v>
      </c>
      <c r="K24" s="103">
        <v>19149</v>
      </c>
      <c r="L24" s="25">
        <f t="shared" si="5"/>
        <v>191490</v>
      </c>
      <c r="M24" s="133">
        <v>0.32</v>
      </c>
      <c r="N24" s="139">
        <f t="shared" si="6"/>
        <v>6127.68</v>
      </c>
      <c r="O24" s="133">
        <v>100.07833333333335</v>
      </c>
      <c r="P24" s="139">
        <f t="shared" si="7"/>
        <v>1916400.0050000004</v>
      </c>
      <c r="S24" s="106"/>
      <c r="T24" s="23"/>
      <c r="U24" s="106"/>
      <c r="W24" s="23"/>
      <c r="X24" s="47"/>
      <c r="Z24" s="23"/>
      <c r="AB24" s="103"/>
      <c r="AC24" s="25"/>
      <c r="AD24" s="173"/>
      <c r="AE24" s="133"/>
      <c r="AF24" s="139"/>
      <c r="AG24" s="133"/>
      <c r="AH24" s="139"/>
      <c r="AI24" s="133"/>
      <c r="AJ24" s="23"/>
    </row>
    <row r="25" spans="2:36" x14ac:dyDescent="0.2">
      <c r="B25" s="23">
        <v>19</v>
      </c>
      <c r="C25" s="23" t="s">
        <v>406</v>
      </c>
      <c r="D25" s="106">
        <v>5000943</v>
      </c>
      <c r="E25" s="24" t="s">
        <v>430</v>
      </c>
      <c r="F25" s="23" t="s">
        <v>424</v>
      </c>
      <c r="G25" s="47" t="s">
        <v>158</v>
      </c>
      <c r="H25" s="24" t="s">
        <v>470</v>
      </c>
      <c r="I25" s="23">
        <v>10</v>
      </c>
      <c r="J25" s="24" t="s">
        <v>3</v>
      </c>
      <c r="K25" s="103">
        <v>136728</v>
      </c>
      <c r="L25" s="25">
        <f t="shared" si="5"/>
        <v>1367280</v>
      </c>
      <c r="M25" s="133">
        <v>0.34</v>
      </c>
      <c r="N25" s="139">
        <f t="shared" si="6"/>
        <v>46487.520000000004</v>
      </c>
      <c r="O25" s="133">
        <v>71.425631160688241</v>
      </c>
      <c r="P25" s="139">
        <f t="shared" si="7"/>
        <v>9765883.6973385811</v>
      </c>
      <c r="S25" s="106"/>
      <c r="T25" s="23"/>
      <c r="U25" s="106"/>
      <c r="W25" s="23"/>
      <c r="X25" s="47"/>
      <c r="Z25" s="23"/>
      <c r="AB25" s="103"/>
      <c r="AC25" s="25"/>
      <c r="AD25" s="173"/>
      <c r="AE25" s="133"/>
      <c r="AF25" s="139"/>
      <c r="AG25" s="133"/>
      <c r="AH25" s="139"/>
      <c r="AI25" s="133"/>
      <c r="AJ25" s="23"/>
    </row>
    <row r="26" spans="2:36" x14ac:dyDescent="0.2">
      <c r="B26" s="23">
        <v>20</v>
      </c>
      <c r="C26" s="23" t="s">
        <v>406</v>
      </c>
      <c r="D26" s="106">
        <v>5001143</v>
      </c>
      <c r="E26" s="24" t="s">
        <v>431</v>
      </c>
      <c r="F26" s="23" t="s">
        <v>424</v>
      </c>
      <c r="G26" s="47" t="s">
        <v>158</v>
      </c>
      <c r="H26" s="24" t="s">
        <v>471</v>
      </c>
      <c r="I26" s="23">
        <v>10</v>
      </c>
      <c r="J26" s="24" t="s">
        <v>65</v>
      </c>
      <c r="K26" s="103">
        <v>77595</v>
      </c>
      <c r="L26" s="25">
        <f t="shared" si="5"/>
        <v>775950</v>
      </c>
      <c r="M26" s="133">
        <v>0.3</v>
      </c>
      <c r="N26" s="139">
        <f t="shared" si="6"/>
        <v>23278.5</v>
      </c>
      <c r="O26" s="133">
        <v>57.707843938259721</v>
      </c>
      <c r="P26" s="139">
        <f t="shared" si="7"/>
        <v>4477840.1503892634</v>
      </c>
      <c r="S26" s="106"/>
      <c r="T26" s="23"/>
      <c r="U26" s="106"/>
      <c r="W26" s="23"/>
      <c r="X26" s="47"/>
      <c r="Z26" s="23"/>
      <c r="AB26" s="103"/>
      <c r="AC26" s="25"/>
      <c r="AD26" s="173"/>
      <c r="AE26" s="133"/>
      <c r="AF26" s="139"/>
      <c r="AG26" s="133"/>
      <c r="AH26" s="139"/>
      <c r="AI26" s="133"/>
      <c r="AJ26" s="23"/>
    </row>
    <row r="27" spans="2:36" x14ac:dyDescent="0.2">
      <c r="B27" s="23">
        <v>21</v>
      </c>
      <c r="C27" s="23" t="s">
        <v>406</v>
      </c>
      <c r="D27" s="106">
        <v>5001198</v>
      </c>
      <c r="E27" s="24" t="s">
        <v>432</v>
      </c>
      <c r="F27" s="23" t="s">
        <v>426</v>
      </c>
      <c r="G27" s="47" t="s">
        <v>158</v>
      </c>
      <c r="H27" s="24" t="s">
        <v>472</v>
      </c>
      <c r="I27" s="23">
        <v>30</v>
      </c>
      <c r="J27" s="24" t="s">
        <v>7</v>
      </c>
      <c r="K27" s="103">
        <v>39099</v>
      </c>
      <c r="L27" s="25">
        <f t="shared" si="5"/>
        <v>1172970</v>
      </c>
      <c r="M27" s="133">
        <v>1.1495918367346938</v>
      </c>
      <c r="N27" s="139">
        <f t="shared" si="6"/>
        <v>44947.891224489795</v>
      </c>
      <c r="O27" s="133">
        <v>61.335999934279705</v>
      </c>
      <c r="P27" s="139">
        <f t="shared" si="7"/>
        <v>2398176.2614304023</v>
      </c>
      <c r="S27" s="106"/>
      <c r="T27" s="23"/>
      <c r="U27" s="106"/>
      <c r="W27" s="23"/>
      <c r="X27" s="47"/>
      <c r="Z27" s="23"/>
      <c r="AB27" s="103"/>
      <c r="AC27" s="25"/>
      <c r="AD27" s="173"/>
      <c r="AE27" s="133"/>
      <c r="AF27" s="139"/>
      <c r="AG27" s="133"/>
      <c r="AH27" s="139"/>
      <c r="AI27" s="133"/>
      <c r="AJ27" s="23"/>
    </row>
    <row r="28" spans="2:36" x14ac:dyDescent="0.2">
      <c r="B28" s="23">
        <v>22</v>
      </c>
      <c r="C28" s="23" t="s">
        <v>406</v>
      </c>
      <c r="D28" s="106">
        <v>5001321</v>
      </c>
      <c r="E28" s="24" t="s">
        <v>408</v>
      </c>
      <c r="F28" s="23" t="s">
        <v>424</v>
      </c>
      <c r="G28" s="47" t="s">
        <v>158</v>
      </c>
      <c r="H28" s="24" t="s">
        <v>474</v>
      </c>
      <c r="I28" s="23">
        <v>24</v>
      </c>
      <c r="J28" s="24" t="s">
        <v>3</v>
      </c>
      <c r="K28" s="103">
        <v>294</v>
      </c>
      <c r="L28" s="25">
        <f t="shared" si="5"/>
        <v>7056</v>
      </c>
      <c r="M28" s="133">
        <v>0.67400000000000004</v>
      </c>
      <c r="N28" s="139">
        <f t="shared" si="6"/>
        <v>198.15600000000001</v>
      </c>
      <c r="O28" s="133">
        <v>44.364199924127469</v>
      </c>
      <c r="P28" s="139">
        <f t="shared" si="7"/>
        <v>13043.074777693475</v>
      </c>
      <c r="S28" s="106"/>
      <c r="T28" s="23"/>
      <c r="U28" s="106"/>
      <c r="W28" s="23"/>
      <c r="X28" s="47"/>
      <c r="Z28" s="23"/>
      <c r="AB28" s="103"/>
      <c r="AC28" s="25"/>
      <c r="AD28" s="173"/>
      <c r="AE28" s="133"/>
      <c r="AF28" s="139"/>
      <c r="AG28" s="133"/>
      <c r="AH28" s="139"/>
      <c r="AI28" s="133"/>
      <c r="AJ28" s="23"/>
    </row>
    <row r="29" spans="2:36" x14ac:dyDescent="0.2">
      <c r="B29" s="23">
        <v>23</v>
      </c>
      <c r="C29" s="23" t="s">
        <v>406</v>
      </c>
      <c r="D29" s="106">
        <v>5001599</v>
      </c>
      <c r="E29" s="24" t="s">
        <v>223</v>
      </c>
      <c r="F29" s="23" t="s">
        <v>426</v>
      </c>
      <c r="G29" s="47" t="s">
        <v>158</v>
      </c>
      <c r="H29" s="24" t="s">
        <v>475</v>
      </c>
      <c r="I29" s="23">
        <v>90</v>
      </c>
      <c r="J29" s="24" t="s">
        <v>7</v>
      </c>
      <c r="K29" s="103">
        <v>49284</v>
      </c>
      <c r="L29" s="25">
        <f t="shared" si="5"/>
        <v>4435560</v>
      </c>
      <c r="M29" s="133">
        <v>2.5342708333333333</v>
      </c>
      <c r="N29" s="139">
        <f t="shared" si="6"/>
        <v>124899.00374999999</v>
      </c>
      <c r="O29" s="133">
        <v>121.35599974496301</v>
      </c>
      <c r="P29" s="139">
        <f t="shared" si="7"/>
        <v>5980909.0914307572</v>
      </c>
      <c r="S29" s="106"/>
      <c r="T29" s="23"/>
      <c r="U29" s="106"/>
      <c r="W29" s="23"/>
      <c r="X29" s="47"/>
      <c r="Z29" s="23"/>
      <c r="AB29" s="103"/>
      <c r="AC29" s="25"/>
      <c r="AD29" s="173"/>
      <c r="AE29" s="133"/>
      <c r="AF29" s="139"/>
      <c r="AG29" s="133"/>
      <c r="AH29" s="139"/>
      <c r="AI29" s="133"/>
      <c r="AJ29" s="23"/>
    </row>
    <row r="30" spans="2:36" x14ac:dyDescent="0.2">
      <c r="B30" s="23">
        <v>24</v>
      </c>
      <c r="C30" s="23" t="s">
        <v>406</v>
      </c>
      <c r="D30" s="106">
        <v>5005146</v>
      </c>
      <c r="E30" s="24" t="s">
        <v>433</v>
      </c>
      <c r="F30" s="23" t="s">
        <v>424</v>
      </c>
      <c r="G30" s="47" t="s">
        <v>158</v>
      </c>
      <c r="H30" s="24" t="s">
        <v>476</v>
      </c>
      <c r="I30" s="23">
        <v>10</v>
      </c>
      <c r="J30" s="24" t="s">
        <v>3</v>
      </c>
      <c r="K30" s="103">
        <v>11772</v>
      </c>
      <c r="L30" s="25">
        <f t="shared" si="5"/>
        <v>117720</v>
      </c>
      <c r="M30" s="133">
        <v>0.2879591836734694</v>
      </c>
      <c r="N30" s="139">
        <f t="shared" si="6"/>
        <v>3389.8555102040818</v>
      </c>
      <c r="O30" s="133">
        <v>65.063333333333333</v>
      </c>
      <c r="P30" s="139">
        <f t="shared" si="7"/>
        <v>765925.55999999994</v>
      </c>
      <c r="S30" s="106"/>
      <c r="T30" s="23"/>
      <c r="U30" s="106"/>
      <c r="W30" s="23"/>
      <c r="X30" s="47"/>
      <c r="Z30" s="23"/>
      <c r="AB30" s="103"/>
      <c r="AC30" s="25"/>
      <c r="AD30" s="173"/>
      <c r="AE30" s="133"/>
      <c r="AF30" s="139"/>
      <c r="AG30" s="133"/>
      <c r="AH30" s="139"/>
      <c r="AI30" s="133"/>
      <c r="AJ30" s="23"/>
    </row>
    <row r="31" spans="2:36" x14ac:dyDescent="0.2">
      <c r="B31" s="23">
        <v>25</v>
      </c>
      <c r="C31" s="23" t="s">
        <v>406</v>
      </c>
      <c r="D31" s="106">
        <v>5006014</v>
      </c>
      <c r="E31" s="24" t="s">
        <v>434</v>
      </c>
      <c r="F31" s="23" t="s">
        <v>424</v>
      </c>
      <c r="G31" s="47" t="s">
        <v>158</v>
      </c>
      <c r="H31" s="24" t="s">
        <v>477</v>
      </c>
      <c r="I31" s="23">
        <v>10</v>
      </c>
      <c r="J31" s="24" t="s">
        <v>3</v>
      </c>
      <c r="K31" s="103">
        <v>13920</v>
      </c>
      <c r="L31" s="25">
        <f t="shared" si="5"/>
        <v>139200</v>
      </c>
      <c r="M31" s="133">
        <v>0.29395833333333332</v>
      </c>
      <c r="N31" s="139">
        <f t="shared" si="6"/>
        <v>4091.8999999999996</v>
      </c>
      <c r="O31" s="133">
        <v>58.40257417102967</v>
      </c>
      <c r="P31" s="139">
        <f t="shared" si="7"/>
        <v>812963.83246073301</v>
      </c>
      <c r="S31" s="106"/>
      <c r="T31" s="23"/>
      <c r="U31" s="106"/>
      <c r="W31" s="23"/>
      <c r="X31" s="47"/>
      <c r="Z31" s="23"/>
      <c r="AB31" s="103"/>
      <c r="AC31" s="25"/>
      <c r="AD31" s="173"/>
      <c r="AE31" s="133"/>
      <c r="AF31" s="139"/>
      <c r="AG31" s="133"/>
      <c r="AH31" s="139"/>
      <c r="AI31" s="133"/>
      <c r="AJ31" s="23"/>
    </row>
    <row r="32" spans="2:36" x14ac:dyDescent="0.2">
      <c r="B32" s="23">
        <v>26</v>
      </c>
      <c r="C32" s="23" t="s">
        <v>406</v>
      </c>
      <c r="D32" s="106">
        <v>5000810</v>
      </c>
      <c r="E32" s="24" t="s">
        <v>429</v>
      </c>
      <c r="F32" s="23" t="s">
        <v>424</v>
      </c>
      <c r="G32" s="47" t="s">
        <v>158</v>
      </c>
      <c r="H32" s="24" t="s">
        <v>478</v>
      </c>
      <c r="I32" s="23">
        <v>10</v>
      </c>
      <c r="J32" s="24" t="s">
        <v>3</v>
      </c>
      <c r="K32" s="103">
        <v>19146</v>
      </c>
      <c r="L32" s="25">
        <f t="shared" si="5"/>
        <v>191460</v>
      </c>
      <c r="M32" s="133">
        <v>0.32</v>
      </c>
      <c r="N32" s="139">
        <f t="shared" si="6"/>
        <v>6126.72</v>
      </c>
      <c r="O32" s="133">
        <v>100.07833333333335</v>
      </c>
      <c r="P32" s="139">
        <f t="shared" si="7"/>
        <v>1916099.7700000003</v>
      </c>
      <c r="S32" s="106"/>
      <c r="T32" s="23"/>
      <c r="U32" s="106"/>
      <c r="W32" s="23"/>
      <c r="X32" s="47"/>
      <c r="Z32" s="23"/>
      <c r="AB32" s="103"/>
      <c r="AC32" s="25"/>
      <c r="AD32" s="173"/>
      <c r="AE32" s="133"/>
      <c r="AF32" s="139"/>
      <c r="AG32" s="133"/>
      <c r="AH32" s="139"/>
      <c r="AI32" s="133"/>
      <c r="AJ32" s="23"/>
    </row>
    <row r="33" spans="2:36" x14ac:dyDescent="0.2">
      <c r="B33" s="23">
        <v>27</v>
      </c>
      <c r="C33" s="23" t="s">
        <v>406</v>
      </c>
      <c r="D33" s="106">
        <v>5004390</v>
      </c>
      <c r="E33" s="24" t="s">
        <v>435</v>
      </c>
      <c r="F33" s="23" t="s">
        <v>424</v>
      </c>
      <c r="G33" s="47" t="s">
        <v>158</v>
      </c>
      <c r="H33" s="24" t="s">
        <v>474</v>
      </c>
      <c r="I33" s="23">
        <v>24</v>
      </c>
      <c r="J33" s="24" t="s">
        <v>3</v>
      </c>
      <c r="K33" s="103">
        <v>105936</v>
      </c>
      <c r="L33" s="25">
        <f t="shared" si="5"/>
        <v>2542464</v>
      </c>
      <c r="M33" s="133">
        <v>0.67400000000000004</v>
      </c>
      <c r="N33" s="139">
        <f t="shared" si="6"/>
        <v>71400.864000000001</v>
      </c>
      <c r="O33" s="133">
        <v>37.498333333333328</v>
      </c>
      <c r="P33" s="139">
        <f t="shared" si="7"/>
        <v>3972423.4399999995</v>
      </c>
      <c r="S33" s="106"/>
      <c r="T33" s="23"/>
      <c r="U33" s="106"/>
      <c r="W33" s="23"/>
      <c r="X33" s="47"/>
      <c r="Z33" s="109"/>
      <c r="AB33" s="103"/>
      <c r="AC33" s="25"/>
      <c r="AD33" s="173"/>
      <c r="AE33" s="133"/>
      <c r="AF33" s="139"/>
      <c r="AG33" s="133"/>
      <c r="AH33" s="139"/>
      <c r="AI33" s="133"/>
      <c r="AJ33" s="23"/>
    </row>
    <row r="34" spans="2:36" x14ac:dyDescent="0.2">
      <c r="B34" s="23">
        <v>28</v>
      </c>
      <c r="C34" s="23" t="s">
        <v>406</v>
      </c>
      <c r="D34" s="106">
        <v>5001398</v>
      </c>
      <c r="E34" s="24" t="s">
        <v>436</v>
      </c>
      <c r="F34" s="23" t="s">
        <v>424</v>
      </c>
      <c r="G34" s="47" t="s">
        <v>158</v>
      </c>
      <c r="H34" s="24" t="s">
        <v>479</v>
      </c>
      <c r="I34" s="23">
        <v>10</v>
      </c>
      <c r="J34" s="24" t="s">
        <v>65</v>
      </c>
      <c r="K34" s="103">
        <v>97263</v>
      </c>
      <c r="L34" s="25">
        <f t="shared" si="5"/>
        <v>972630</v>
      </c>
      <c r="M34" s="133">
        <v>0.28000000000000003</v>
      </c>
      <c r="N34" s="139">
        <f t="shared" si="6"/>
        <v>27233.640000000003</v>
      </c>
      <c r="O34" s="133">
        <v>92.239026936026946</v>
      </c>
      <c r="P34" s="139">
        <f t="shared" si="7"/>
        <v>8971444.4768787883</v>
      </c>
      <c r="S34" s="106"/>
      <c r="T34" s="23"/>
      <c r="U34" s="106"/>
      <c r="W34" s="23"/>
      <c r="X34" s="47"/>
      <c r="Z34" s="23"/>
      <c r="AB34" s="103"/>
      <c r="AC34" s="25"/>
      <c r="AD34" s="173"/>
      <c r="AE34" s="133"/>
      <c r="AF34" s="139"/>
      <c r="AG34" s="133"/>
      <c r="AH34" s="139"/>
      <c r="AI34" s="133"/>
      <c r="AJ34" s="23"/>
    </row>
    <row r="35" spans="2:36" x14ac:dyDescent="0.2">
      <c r="B35" s="23">
        <v>29</v>
      </c>
      <c r="C35" s="23" t="s">
        <v>406</v>
      </c>
      <c r="D35" s="106">
        <v>5001599</v>
      </c>
      <c r="E35" s="24" t="s">
        <v>223</v>
      </c>
      <c r="F35" s="23" t="s">
        <v>426</v>
      </c>
      <c r="G35" s="47" t="s">
        <v>158</v>
      </c>
      <c r="H35" s="24" t="s">
        <v>480</v>
      </c>
      <c r="I35" s="23">
        <v>90</v>
      </c>
      <c r="J35" s="24" t="s">
        <v>7</v>
      </c>
      <c r="K35" s="103">
        <v>49215</v>
      </c>
      <c r="L35" s="25">
        <f t="shared" si="5"/>
        <v>4429350</v>
      </c>
      <c r="M35" s="133">
        <v>2.5342708333333333</v>
      </c>
      <c r="N35" s="139">
        <f t="shared" si="6"/>
        <v>124724.13906249999</v>
      </c>
      <c r="O35" s="133">
        <v>121.35599974496301</v>
      </c>
      <c r="P35" s="139">
        <f t="shared" si="7"/>
        <v>5972535.5274483552</v>
      </c>
      <c r="S35" s="106"/>
      <c r="T35" s="23"/>
      <c r="U35" s="106"/>
      <c r="W35" s="23"/>
      <c r="X35" s="47"/>
      <c r="Z35" s="23"/>
      <c r="AB35" s="103"/>
      <c r="AC35" s="25"/>
      <c r="AD35" s="173"/>
      <c r="AE35" s="133"/>
      <c r="AF35" s="139"/>
      <c r="AG35" s="133"/>
      <c r="AH35" s="139"/>
      <c r="AI35" s="133"/>
      <c r="AJ35" s="23"/>
    </row>
    <row r="36" spans="2:36" x14ac:dyDescent="0.2">
      <c r="B36" s="23">
        <v>30</v>
      </c>
      <c r="C36" s="23" t="s">
        <v>406</v>
      </c>
      <c r="D36" s="106">
        <v>5004115</v>
      </c>
      <c r="E36" s="24" t="s">
        <v>368</v>
      </c>
      <c r="F36" s="23" t="s">
        <v>424</v>
      </c>
      <c r="G36" s="47" t="s">
        <v>158</v>
      </c>
      <c r="H36" s="24" t="s">
        <v>481</v>
      </c>
      <c r="I36" s="109">
        <v>10</v>
      </c>
      <c r="J36" s="24" t="s">
        <v>3</v>
      </c>
      <c r="K36" s="103">
        <v>27960</v>
      </c>
      <c r="L36" s="25">
        <f t="shared" si="5"/>
        <v>279600</v>
      </c>
      <c r="M36" s="133">
        <v>0.34177083333333336</v>
      </c>
      <c r="N36" s="139">
        <f t="shared" si="6"/>
        <v>9555.9125000000004</v>
      </c>
      <c r="O36" s="133">
        <v>72.016666666666666</v>
      </c>
      <c r="P36" s="139">
        <f t="shared" si="7"/>
        <v>2013586</v>
      </c>
      <c r="S36" s="106"/>
      <c r="T36" s="23"/>
      <c r="U36" s="106"/>
      <c r="W36" s="23"/>
      <c r="X36" s="47"/>
      <c r="Z36" s="23"/>
      <c r="AB36" s="103"/>
      <c r="AC36" s="25"/>
      <c r="AD36" s="173"/>
      <c r="AE36" s="133"/>
      <c r="AF36" s="139"/>
      <c r="AG36" s="133"/>
      <c r="AH36" s="139"/>
      <c r="AI36" s="133"/>
      <c r="AJ36" s="23"/>
    </row>
    <row r="37" spans="2:36" x14ac:dyDescent="0.2">
      <c r="B37" s="23">
        <v>31</v>
      </c>
      <c r="C37" s="23" t="s">
        <v>406</v>
      </c>
      <c r="D37" s="106">
        <v>5006014</v>
      </c>
      <c r="E37" s="24" t="s">
        <v>434</v>
      </c>
      <c r="F37" s="23" t="s">
        <v>424</v>
      </c>
      <c r="G37" s="47" t="s">
        <v>158</v>
      </c>
      <c r="H37" s="24" t="s">
        <v>482</v>
      </c>
      <c r="I37" s="23">
        <v>10</v>
      </c>
      <c r="J37" s="24" t="s">
        <v>3</v>
      </c>
      <c r="K37" s="103">
        <v>13308</v>
      </c>
      <c r="L37" s="25">
        <f t="shared" si="5"/>
        <v>133080</v>
      </c>
      <c r="M37" s="133">
        <v>0.29395833333333332</v>
      </c>
      <c r="N37" s="139">
        <f t="shared" si="6"/>
        <v>3911.9974999999999</v>
      </c>
      <c r="O37" s="133">
        <v>58.40257417102967</v>
      </c>
      <c r="P37" s="139">
        <f t="shared" si="7"/>
        <v>777221.45706806285</v>
      </c>
      <c r="S37" s="106"/>
      <c r="T37" s="23"/>
      <c r="U37" s="106"/>
      <c r="W37" s="23"/>
      <c r="X37" s="47"/>
      <c r="Z37" s="23"/>
      <c r="AB37" s="103"/>
      <c r="AC37" s="25"/>
      <c r="AD37" s="173"/>
      <c r="AE37" s="133"/>
      <c r="AF37" s="139"/>
      <c r="AG37" s="133"/>
      <c r="AH37" s="139"/>
      <c r="AI37" s="133"/>
      <c r="AJ37" s="23"/>
    </row>
    <row r="38" spans="2:36" x14ac:dyDescent="0.2">
      <c r="B38" s="23">
        <v>32</v>
      </c>
      <c r="C38" s="23" t="s">
        <v>406</v>
      </c>
      <c r="D38" s="106">
        <v>5006014</v>
      </c>
      <c r="E38" s="24" t="s">
        <v>434</v>
      </c>
      <c r="F38" s="23" t="s">
        <v>424</v>
      </c>
      <c r="G38" s="47" t="s">
        <v>158</v>
      </c>
      <c r="H38" s="24" t="s">
        <v>483</v>
      </c>
      <c r="I38" s="23">
        <v>10</v>
      </c>
      <c r="J38" s="24" t="s">
        <v>3</v>
      </c>
      <c r="K38" s="103">
        <v>13863</v>
      </c>
      <c r="L38" s="25">
        <f t="shared" si="5"/>
        <v>138630</v>
      </c>
      <c r="M38" s="133">
        <v>0.29395833333333332</v>
      </c>
      <c r="N38" s="139">
        <f t="shared" si="6"/>
        <v>4075.1443749999999</v>
      </c>
      <c r="O38" s="133">
        <v>58.40257417102967</v>
      </c>
      <c r="P38" s="139">
        <f t="shared" si="7"/>
        <v>809634.88573298429</v>
      </c>
      <c r="S38" s="106"/>
      <c r="T38" s="23"/>
      <c r="U38" s="106"/>
      <c r="W38" s="23"/>
      <c r="X38" s="47"/>
      <c r="Z38" s="23"/>
      <c r="AB38" s="103"/>
      <c r="AC38" s="25"/>
      <c r="AD38" s="173"/>
      <c r="AE38" s="133"/>
      <c r="AF38" s="139"/>
      <c r="AG38" s="133"/>
      <c r="AH38" s="139"/>
      <c r="AI38" s="133"/>
      <c r="AJ38" s="23"/>
    </row>
    <row r="39" spans="2:36" x14ac:dyDescent="0.2">
      <c r="B39" s="23">
        <v>33</v>
      </c>
      <c r="C39" s="23" t="s">
        <v>406</v>
      </c>
      <c r="D39" s="106">
        <v>5000943</v>
      </c>
      <c r="E39" s="24" t="s">
        <v>430</v>
      </c>
      <c r="F39" s="23" t="s">
        <v>424</v>
      </c>
      <c r="G39" s="47" t="s">
        <v>158</v>
      </c>
      <c r="H39" s="24" t="s">
        <v>484</v>
      </c>
      <c r="I39" s="23">
        <v>10</v>
      </c>
      <c r="J39" s="24" t="s">
        <v>3</v>
      </c>
      <c r="K39" s="103">
        <v>137028</v>
      </c>
      <c r="L39" s="25">
        <f t="shared" si="5"/>
        <v>1370280</v>
      </c>
      <c r="M39" s="133">
        <v>0.34</v>
      </c>
      <c r="N39" s="139">
        <f t="shared" si="6"/>
        <v>46589.520000000004</v>
      </c>
      <c r="O39" s="133">
        <v>71.425631160688241</v>
      </c>
      <c r="P39" s="139">
        <f t="shared" si="7"/>
        <v>9787311.3866867889</v>
      </c>
      <c r="S39" s="106"/>
      <c r="T39" s="23"/>
      <c r="U39" s="106"/>
      <c r="W39" s="23"/>
      <c r="X39" s="47"/>
      <c r="Z39" s="109"/>
      <c r="AB39" s="103"/>
      <c r="AC39" s="25"/>
      <c r="AD39" s="173"/>
      <c r="AE39" s="133"/>
      <c r="AF39" s="139"/>
      <c r="AG39" s="133"/>
      <c r="AH39" s="139"/>
      <c r="AI39" s="133"/>
      <c r="AJ39" s="23"/>
    </row>
    <row r="40" spans="2:36" x14ac:dyDescent="0.2">
      <c r="B40" s="23">
        <v>34</v>
      </c>
      <c r="C40" s="23" t="s">
        <v>406</v>
      </c>
      <c r="D40" s="106">
        <v>5002905</v>
      </c>
      <c r="E40" s="24" t="s">
        <v>438</v>
      </c>
      <c r="F40" s="23" t="s">
        <v>424</v>
      </c>
      <c r="G40" s="47" t="s">
        <v>158</v>
      </c>
      <c r="H40" s="24" t="s">
        <v>487</v>
      </c>
      <c r="I40" s="23">
        <v>24</v>
      </c>
      <c r="J40" s="24" t="s">
        <v>3</v>
      </c>
      <c r="K40" s="103">
        <v>143287</v>
      </c>
      <c r="L40" s="25">
        <f t="shared" si="5"/>
        <v>3438888</v>
      </c>
      <c r="M40" s="133">
        <v>0.67400000000000004</v>
      </c>
      <c r="N40" s="139">
        <f t="shared" si="6"/>
        <v>96575.438000000009</v>
      </c>
      <c r="O40" s="133">
        <v>49.929366475462075</v>
      </c>
      <c r="P40" s="139">
        <f t="shared" si="7"/>
        <v>7154229.1341695348</v>
      </c>
      <c r="S40" s="106"/>
      <c r="T40" s="23"/>
      <c r="U40" s="106"/>
      <c r="W40" s="23"/>
      <c r="X40" s="47"/>
      <c r="Z40" s="23"/>
      <c r="AB40" s="103"/>
      <c r="AC40" s="25"/>
      <c r="AD40" s="173"/>
      <c r="AE40" s="133"/>
      <c r="AF40" s="139"/>
      <c r="AG40" s="133"/>
      <c r="AH40" s="139"/>
      <c r="AI40" s="133"/>
      <c r="AJ40" s="23"/>
    </row>
    <row r="41" spans="2:36" x14ac:dyDescent="0.2">
      <c r="B41" s="23">
        <v>35</v>
      </c>
      <c r="C41" s="23" t="s">
        <v>406</v>
      </c>
      <c r="D41" s="106">
        <v>5002905</v>
      </c>
      <c r="E41" s="24" t="s">
        <v>438</v>
      </c>
      <c r="F41" s="23" t="s">
        <v>424</v>
      </c>
      <c r="G41" s="47" t="s">
        <v>158</v>
      </c>
      <c r="H41" s="24" t="s">
        <v>488</v>
      </c>
      <c r="I41" s="23">
        <v>24</v>
      </c>
      <c r="J41" s="24" t="s">
        <v>3</v>
      </c>
      <c r="K41" s="103">
        <v>28434</v>
      </c>
      <c r="L41" s="25">
        <f t="shared" si="5"/>
        <v>682416</v>
      </c>
      <c r="M41" s="133">
        <v>0.67400000000000004</v>
      </c>
      <c r="N41" s="139">
        <f t="shared" si="6"/>
        <v>19164.516</v>
      </c>
      <c r="O41" s="133">
        <v>49.929366475462075</v>
      </c>
      <c r="P41" s="139">
        <f t="shared" si="7"/>
        <v>1419691.6063632886</v>
      </c>
      <c r="S41" s="106"/>
      <c r="T41" s="23"/>
      <c r="U41" s="106"/>
      <c r="W41" s="23"/>
      <c r="X41" s="47"/>
      <c r="Z41" s="23"/>
      <c r="AB41" s="103"/>
      <c r="AC41" s="25"/>
      <c r="AD41" s="173"/>
      <c r="AE41" s="133"/>
      <c r="AF41" s="139"/>
      <c r="AG41" s="133"/>
      <c r="AH41" s="139"/>
      <c r="AI41" s="133"/>
      <c r="AJ41" s="23"/>
    </row>
    <row r="42" spans="2:36" x14ac:dyDescent="0.2">
      <c r="B42" s="23">
        <v>36</v>
      </c>
      <c r="C42" s="23" t="s">
        <v>406</v>
      </c>
      <c r="D42" s="106">
        <v>5004115</v>
      </c>
      <c r="E42" s="24" t="s">
        <v>368</v>
      </c>
      <c r="F42" s="23" t="s">
        <v>424</v>
      </c>
      <c r="G42" s="47" t="s">
        <v>158</v>
      </c>
      <c r="H42" s="24" t="s">
        <v>489</v>
      </c>
      <c r="I42" s="109">
        <v>10</v>
      </c>
      <c r="J42" s="24" t="s">
        <v>3</v>
      </c>
      <c r="K42" s="103">
        <v>28290</v>
      </c>
      <c r="L42" s="25">
        <f t="shared" si="5"/>
        <v>282900</v>
      </c>
      <c r="M42" s="133">
        <v>0.34177083333333336</v>
      </c>
      <c r="N42" s="139">
        <f t="shared" si="6"/>
        <v>9668.6968750000015</v>
      </c>
      <c r="O42" s="133">
        <v>72.016666666666666</v>
      </c>
      <c r="P42" s="139">
        <f t="shared" si="7"/>
        <v>2037351.5</v>
      </c>
      <c r="S42" s="106"/>
      <c r="T42" s="23"/>
      <c r="U42" s="106"/>
      <c r="W42" s="23"/>
      <c r="X42" s="47"/>
      <c r="Z42" s="109"/>
      <c r="AB42" s="103"/>
      <c r="AC42" s="25"/>
      <c r="AD42" s="173"/>
      <c r="AE42" s="133"/>
      <c r="AF42" s="139"/>
      <c r="AG42" s="133"/>
      <c r="AH42" s="139"/>
      <c r="AI42" s="133"/>
      <c r="AJ42" s="23"/>
    </row>
    <row r="43" spans="2:36" x14ac:dyDescent="0.2">
      <c r="B43" s="23">
        <v>37</v>
      </c>
      <c r="C43" s="23" t="s">
        <v>406</v>
      </c>
      <c r="D43" s="106">
        <v>5004375</v>
      </c>
      <c r="E43" s="24" t="s">
        <v>439</v>
      </c>
      <c r="F43" s="23" t="s">
        <v>424</v>
      </c>
      <c r="G43" s="47" t="s">
        <v>158</v>
      </c>
      <c r="H43" s="24" t="s">
        <v>490</v>
      </c>
      <c r="I43" s="23">
        <v>6</v>
      </c>
      <c r="J43" s="24" t="s">
        <v>3</v>
      </c>
      <c r="K43" s="103">
        <v>197116</v>
      </c>
      <c r="L43" s="25">
        <f t="shared" si="5"/>
        <v>1182696</v>
      </c>
      <c r="M43" s="133">
        <v>0.28375510204081633</v>
      </c>
      <c r="N43" s="139">
        <f t="shared" si="6"/>
        <v>55932.670693877553</v>
      </c>
      <c r="O43" s="133">
        <v>17.880000000000003</v>
      </c>
      <c r="P43" s="139">
        <f t="shared" si="7"/>
        <v>3524434.0800000005</v>
      </c>
      <c r="S43" s="106"/>
      <c r="T43" s="23"/>
      <c r="U43" s="106"/>
      <c r="W43" s="23"/>
      <c r="X43" s="47"/>
      <c r="Z43" s="23"/>
      <c r="AB43" s="103"/>
      <c r="AC43" s="25"/>
      <c r="AD43" s="173"/>
      <c r="AE43" s="133"/>
      <c r="AF43" s="139"/>
      <c r="AG43" s="133"/>
      <c r="AH43" s="139"/>
      <c r="AI43" s="133"/>
      <c r="AJ43" s="23"/>
    </row>
    <row r="44" spans="2:36" x14ac:dyDescent="0.2">
      <c r="B44" s="23">
        <v>38</v>
      </c>
      <c r="C44" s="23" t="s">
        <v>406</v>
      </c>
      <c r="D44" s="106">
        <v>5001552</v>
      </c>
      <c r="E44" s="24" t="s">
        <v>330</v>
      </c>
      <c r="F44" s="23" t="s">
        <v>426</v>
      </c>
      <c r="G44" s="47" t="s">
        <v>158</v>
      </c>
      <c r="H44" s="24" t="s">
        <v>491</v>
      </c>
      <c r="I44" s="23">
        <v>30</v>
      </c>
      <c r="J44" s="24" t="s">
        <v>7</v>
      </c>
      <c r="K44" s="103">
        <v>36268</v>
      </c>
      <c r="L44" s="25">
        <f t="shared" si="5"/>
        <v>1088040</v>
      </c>
      <c r="M44" s="133">
        <v>1.3169791666666666</v>
      </c>
      <c r="N44" s="139">
        <f t="shared" si="6"/>
        <v>47764.200416666667</v>
      </c>
      <c r="O44" s="133">
        <v>60.67799988903684</v>
      </c>
      <c r="P44" s="139">
        <f t="shared" si="7"/>
        <v>2200669.6999755884</v>
      </c>
      <c r="S44" s="106"/>
      <c r="T44" s="23"/>
      <c r="U44" s="106"/>
      <c r="W44" s="23"/>
      <c r="X44" s="47"/>
      <c r="Z44" s="23"/>
      <c r="AB44" s="103"/>
      <c r="AC44" s="25"/>
      <c r="AD44" s="173"/>
      <c r="AE44" s="133"/>
      <c r="AF44" s="139"/>
      <c r="AG44" s="133"/>
      <c r="AH44" s="139"/>
      <c r="AI44" s="133"/>
      <c r="AJ44" s="23"/>
    </row>
    <row r="45" spans="2:36" x14ac:dyDescent="0.2">
      <c r="B45" s="23">
        <v>39</v>
      </c>
      <c r="C45" s="23" t="s">
        <v>406</v>
      </c>
      <c r="D45" s="106">
        <v>5004115</v>
      </c>
      <c r="E45" s="24" t="s">
        <v>368</v>
      </c>
      <c r="F45" s="23" t="s">
        <v>424</v>
      </c>
      <c r="G45" s="47" t="s">
        <v>158</v>
      </c>
      <c r="H45" s="24" t="s">
        <v>492</v>
      </c>
      <c r="I45" s="109">
        <v>10</v>
      </c>
      <c r="J45" s="24" t="s">
        <v>3</v>
      </c>
      <c r="K45" s="103">
        <v>20832</v>
      </c>
      <c r="L45" s="25">
        <f t="shared" si="5"/>
        <v>208320</v>
      </c>
      <c r="M45" s="133">
        <v>0.34177083333333336</v>
      </c>
      <c r="N45" s="139">
        <f t="shared" si="6"/>
        <v>7119.77</v>
      </c>
      <c r="O45" s="133">
        <v>72.016666666666666</v>
      </c>
      <c r="P45" s="139">
        <f t="shared" si="7"/>
        <v>1500251.2</v>
      </c>
      <c r="S45" s="106"/>
      <c r="T45" s="23"/>
      <c r="U45" s="106"/>
      <c r="W45" s="23"/>
      <c r="X45" s="47"/>
      <c r="Z45" s="23"/>
      <c r="AB45" s="103"/>
      <c r="AC45" s="25"/>
      <c r="AD45" s="173"/>
      <c r="AE45" s="133"/>
      <c r="AF45" s="139"/>
      <c r="AG45" s="133"/>
      <c r="AH45" s="139"/>
      <c r="AI45" s="133"/>
      <c r="AJ45" s="23"/>
    </row>
    <row r="46" spans="2:36" x14ac:dyDescent="0.2">
      <c r="B46" s="23">
        <v>40</v>
      </c>
      <c r="C46" s="23" t="s">
        <v>406</v>
      </c>
      <c r="D46" s="106">
        <v>5000089</v>
      </c>
      <c r="E46" s="24" t="s">
        <v>440</v>
      </c>
      <c r="F46" s="23" t="s">
        <v>424</v>
      </c>
      <c r="G46" s="47" t="s">
        <v>158</v>
      </c>
      <c r="H46" s="24" t="s">
        <v>471</v>
      </c>
      <c r="I46" s="23">
        <v>10</v>
      </c>
      <c r="J46" s="24" t="s">
        <v>65</v>
      </c>
      <c r="K46" s="103">
        <v>19416</v>
      </c>
      <c r="L46" s="25">
        <f t="shared" si="5"/>
        <v>194160</v>
      </c>
      <c r="M46" s="133">
        <v>0.3</v>
      </c>
      <c r="N46" s="139">
        <f t="shared" si="6"/>
        <v>5824.8</v>
      </c>
      <c r="O46" s="133">
        <v>74.5</v>
      </c>
      <c r="P46" s="139">
        <f t="shared" si="7"/>
        <v>1446492</v>
      </c>
      <c r="S46" s="106"/>
      <c r="T46" s="23"/>
      <c r="U46" s="106"/>
      <c r="W46" s="23"/>
      <c r="X46" s="47"/>
      <c r="Z46" s="23"/>
      <c r="AB46" s="103"/>
      <c r="AC46" s="25"/>
      <c r="AD46" s="173"/>
      <c r="AE46" s="133"/>
      <c r="AF46" s="139"/>
      <c r="AG46" s="133"/>
      <c r="AH46" s="139"/>
      <c r="AI46" s="133"/>
      <c r="AJ46" s="23"/>
    </row>
    <row r="47" spans="2:36" x14ac:dyDescent="0.2">
      <c r="B47" s="23">
        <v>41</v>
      </c>
      <c r="C47" s="23" t="s">
        <v>406</v>
      </c>
      <c r="D47" s="106">
        <v>5001552</v>
      </c>
      <c r="E47" s="24" t="s">
        <v>330</v>
      </c>
      <c r="F47" s="23" t="s">
        <v>426</v>
      </c>
      <c r="G47" s="47" t="s">
        <v>158</v>
      </c>
      <c r="H47" s="24" t="s">
        <v>493</v>
      </c>
      <c r="I47" s="23">
        <v>30</v>
      </c>
      <c r="J47" s="24" t="s">
        <v>7</v>
      </c>
      <c r="K47" s="103">
        <v>36171</v>
      </c>
      <c r="L47" s="25">
        <f t="shared" si="5"/>
        <v>1085130</v>
      </c>
      <c r="M47" s="133">
        <v>1.3169791666666666</v>
      </c>
      <c r="N47" s="139">
        <f t="shared" si="6"/>
        <v>47636.4534375</v>
      </c>
      <c r="O47" s="133">
        <v>60.67799988903684</v>
      </c>
      <c r="P47" s="139">
        <f t="shared" si="7"/>
        <v>2194783.9339863514</v>
      </c>
      <c r="S47" s="106"/>
      <c r="T47" s="23"/>
      <c r="U47" s="106"/>
      <c r="W47" s="23"/>
      <c r="X47" s="47"/>
      <c r="Z47" s="23"/>
      <c r="AB47" s="103"/>
      <c r="AC47" s="25"/>
      <c r="AD47" s="173"/>
      <c r="AE47" s="133"/>
      <c r="AF47" s="139"/>
      <c r="AG47" s="133"/>
      <c r="AH47" s="139"/>
      <c r="AI47" s="133"/>
      <c r="AJ47" s="23"/>
    </row>
    <row r="48" spans="2:36" x14ac:dyDescent="0.2">
      <c r="B48" s="23">
        <v>42</v>
      </c>
      <c r="C48" s="23" t="s">
        <v>406</v>
      </c>
      <c r="D48" s="106">
        <v>5002627</v>
      </c>
      <c r="E48" s="24" t="s">
        <v>441</v>
      </c>
      <c r="F48" s="23" t="s">
        <v>424</v>
      </c>
      <c r="G48" s="47" t="s">
        <v>158</v>
      </c>
      <c r="H48" s="24" t="s">
        <v>494</v>
      </c>
      <c r="I48" s="23">
        <v>4</v>
      </c>
      <c r="J48" s="24" t="s">
        <v>3</v>
      </c>
      <c r="K48" s="103">
        <v>35764</v>
      </c>
      <c r="L48" s="25">
        <f t="shared" si="5"/>
        <v>143056</v>
      </c>
      <c r="M48" s="133">
        <v>0.25545833333333334</v>
      </c>
      <c r="N48" s="139">
        <f t="shared" si="6"/>
        <v>9136.2118333333328</v>
      </c>
      <c r="O48" s="133">
        <v>117.71000000000001</v>
      </c>
      <c r="P48" s="139">
        <f t="shared" si="7"/>
        <v>4209780.4400000004</v>
      </c>
      <c r="S48" s="106"/>
      <c r="T48" s="23"/>
      <c r="U48" s="106"/>
      <c r="W48" s="23"/>
      <c r="X48" s="47"/>
      <c r="Z48" s="23"/>
      <c r="AB48" s="103"/>
      <c r="AC48" s="25"/>
      <c r="AD48" s="173"/>
      <c r="AE48" s="133"/>
      <c r="AF48" s="139"/>
      <c r="AG48" s="133"/>
      <c r="AH48" s="139"/>
      <c r="AI48" s="133"/>
      <c r="AJ48" s="23"/>
    </row>
    <row r="49" spans="2:36" x14ac:dyDescent="0.2">
      <c r="B49" s="23">
        <v>43</v>
      </c>
      <c r="C49" s="23" t="s">
        <v>406</v>
      </c>
      <c r="D49" s="106">
        <v>5002905</v>
      </c>
      <c r="E49" s="24" t="s">
        <v>438</v>
      </c>
      <c r="F49" s="23" t="s">
        <v>424</v>
      </c>
      <c r="G49" s="47" t="s">
        <v>158</v>
      </c>
      <c r="H49" s="24" t="s">
        <v>495</v>
      </c>
      <c r="I49" s="23">
        <v>24</v>
      </c>
      <c r="J49" s="24" t="s">
        <v>3</v>
      </c>
      <c r="K49" s="103">
        <v>143436</v>
      </c>
      <c r="L49" s="25">
        <f t="shared" si="5"/>
        <v>3442464</v>
      </c>
      <c r="M49" s="133">
        <v>0.67400000000000004</v>
      </c>
      <c r="N49" s="139">
        <f t="shared" si="6"/>
        <v>96675.864000000001</v>
      </c>
      <c r="O49" s="133">
        <v>49.929366475462075</v>
      </c>
      <c r="P49" s="139">
        <f t="shared" si="7"/>
        <v>7161668.6097743781</v>
      </c>
      <c r="S49" s="106"/>
      <c r="T49" s="23"/>
      <c r="U49" s="106"/>
      <c r="W49" s="23"/>
      <c r="X49" s="47"/>
      <c r="Z49" s="23"/>
      <c r="AB49" s="103"/>
      <c r="AC49" s="25"/>
      <c r="AD49" s="173"/>
      <c r="AE49" s="133"/>
      <c r="AF49" s="139"/>
      <c r="AG49" s="133"/>
      <c r="AH49" s="139"/>
      <c r="AI49" s="133"/>
      <c r="AJ49" s="23"/>
    </row>
    <row r="50" spans="2:36" x14ac:dyDescent="0.2">
      <c r="B50" s="23">
        <v>44</v>
      </c>
      <c r="C50" s="23" t="s">
        <v>406</v>
      </c>
      <c r="D50" s="106">
        <v>5004272</v>
      </c>
      <c r="E50" s="24" t="s">
        <v>442</v>
      </c>
      <c r="F50" s="23" t="s">
        <v>424</v>
      </c>
      <c r="G50" s="47" t="s">
        <v>158</v>
      </c>
      <c r="H50" s="24" t="s">
        <v>496</v>
      </c>
      <c r="I50" s="23">
        <v>10</v>
      </c>
      <c r="J50" s="24" t="s">
        <v>3</v>
      </c>
      <c r="K50" s="103">
        <v>20793</v>
      </c>
      <c r="L50" s="25">
        <f t="shared" si="5"/>
        <v>207930</v>
      </c>
      <c r="M50" s="133">
        <v>0.34177083333333336</v>
      </c>
      <c r="N50" s="139">
        <f t="shared" si="6"/>
        <v>7106.4409375000005</v>
      </c>
      <c r="O50" s="133">
        <v>58.606666666666662</v>
      </c>
      <c r="P50" s="139">
        <f t="shared" si="7"/>
        <v>1218608.42</v>
      </c>
      <c r="S50" s="106"/>
      <c r="T50" s="23"/>
      <c r="U50" s="106"/>
      <c r="W50" s="23"/>
      <c r="X50" s="47"/>
      <c r="Z50" s="23"/>
      <c r="AB50" s="103"/>
      <c r="AC50" s="25"/>
      <c r="AD50" s="173"/>
      <c r="AE50" s="133"/>
      <c r="AF50" s="139"/>
      <c r="AG50" s="133"/>
      <c r="AH50" s="139"/>
      <c r="AI50" s="133"/>
      <c r="AJ50" s="23"/>
    </row>
    <row r="51" spans="2:36" x14ac:dyDescent="0.2">
      <c r="B51" s="23">
        <v>45</v>
      </c>
      <c r="C51" s="23" t="s">
        <v>406</v>
      </c>
      <c r="D51" s="106">
        <v>5000089</v>
      </c>
      <c r="E51" s="24" t="s">
        <v>440</v>
      </c>
      <c r="F51" s="23" t="s">
        <v>424</v>
      </c>
      <c r="G51" s="47" t="s">
        <v>158</v>
      </c>
      <c r="H51" s="24" t="s">
        <v>497</v>
      </c>
      <c r="I51" s="23">
        <v>10</v>
      </c>
      <c r="J51" s="24" t="s">
        <v>65</v>
      </c>
      <c r="K51" s="103">
        <v>95103</v>
      </c>
      <c r="L51" s="25">
        <f t="shared" si="5"/>
        <v>951030</v>
      </c>
      <c r="M51" s="133">
        <v>0.3</v>
      </c>
      <c r="N51" s="139">
        <f t="shared" si="6"/>
        <v>28530.899999999998</v>
      </c>
      <c r="O51" s="133">
        <v>74.5</v>
      </c>
      <c r="P51" s="139">
        <f t="shared" si="7"/>
        <v>7085173.5</v>
      </c>
      <c r="S51" s="106"/>
      <c r="T51" s="23"/>
      <c r="U51" s="106"/>
      <c r="W51" s="23"/>
      <c r="X51" s="47"/>
      <c r="Z51" s="23"/>
      <c r="AB51" s="103"/>
      <c r="AC51" s="25"/>
      <c r="AD51" s="173"/>
      <c r="AE51" s="133"/>
      <c r="AF51" s="139"/>
      <c r="AG51" s="133"/>
      <c r="AH51" s="139"/>
      <c r="AI51" s="133"/>
      <c r="AJ51" s="23"/>
    </row>
    <row r="52" spans="2:36" x14ac:dyDescent="0.2">
      <c r="B52" s="23">
        <v>46</v>
      </c>
      <c r="C52" s="23" t="s">
        <v>406</v>
      </c>
      <c r="D52" s="106">
        <v>5000943</v>
      </c>
      <c r="E52" s="24" t="s">
        <v>430</v>
      </c>
      <c r="F52" s="23" t="s">
        <v>424</v>
      </c>
      <c r="G52" s="47" t="s">
        <v>158</v>
      </c>
      <c r="H52" s="24" t="s">
        <v>498</v>
      </c>
      <c r="I52" s="23">
        <v>10</v>
      </c>
      <c r="J52" s="24" t="s">
        <v>3</v>
      </c>
      <c r="K52" s="103">
        <v>133491</v>
      </c>
      <c r="L52" s="25">
        <f t="shared" si="5"/>
        <v>1334910</v>
      </c>
      <c r="M52" s="133">
        <v>0.34</v>
      </c>
      <c r="N52" s="139">
        <f t="shared" si="6"/>
        <v>45386.94</v>
      </c>
      <c r="O52" s="133">
        <v>71.425631160688241</v>
      </c>
      <c r="P52" s="139">
        <f t="shared" si="7"/>
        <v>9534678.9292714335</v>
      </c>
      <c r="S52" s="106"/>
      <c r="T52" s="23"/>
      <c r="U52" s="106"/>
      <c r="W52" s="23"/>
      <c r="X52" s="47"/>
      <c r="Z52" s="23"/>
      <c r="AB52" s="103"/>
      <c r="AC52" s="25"/>
      <c r="AD52" s="173"/>
      <c r="AE52" s="133"/>
      <c r="AF52" s="139"/>
      <c r="AG52" s="133"/>
      <c r="AH52" s="139"/>
      <c r="AI52" s="133"/>
      <c r="AJ52" s="23"/>
    </row>
    <row r="53" spans="2:36" x14ac:dyDescent="0.2">
      <c r="B53" s="23">
        <v>47</v>
      </c>
      <c r="C53" s="23" t="s">
        <v>406</v>
      </c>
      <c r="D53" s="106">
        <v>5001352</v>
      </c>
      <c r="E53" s="24" t="s">
        <v>211</v>
      </c>
      <c r="F53" s="23" t="s">
        <v>424</v>
      </c>
      <c r="G53" s="47" t="s">
        <v>158</v>
      </c>
      <c r="H53" s="24" t="s">
        <v>500</v>
      </c>
      <c r="I53" s="23">
        <v>24</v>
      </c>
      <c r="J53" s="24" t="s">
        <v>3</v>
      </c>
      <c r="K53" s="103">
        <v>102037</v>
      </c>
      <c r="L53" s="25">
        <f t="shared" si="5"/>
        <v>2448888</v>
      </c>
      <c r="M53" s="133">
        <v>0.50685714285714278</v>
      </c>
      <c r="N53" s="139">
        <f t="shared" si="6"/>
        <v>51718.182285714276</v>
      </c>
      <c r="O53" s="133">
        <v>44.075208333333329</v>
      </c>
      <c r="P53" s="139">
        <f t="shared" si="7"/>
        <v>4497302.0327083329</v>
      </c>
      <c r="S53" s="106"/>
      <c r="T53" s="23"/>
      <c r="U53" s="106"/>
      <c r="W53" s="23"/>
      <c r="X53" s="47"/>
      <c r="Z53" s="23"/>
      <c r="AB53" s="103"/>
      <c r="AC53" s="25"/>
      <c r="AD53" s="173"/>
      <c r="AE53" s="133"/>
      <c r="AF53" s="139"/>
      <c r="AG53" s="133"/>
      <c r="AH53" s="139"/>
      <c r="AI53" s="133"/>
      <c r="AJ53" s="23"/>
    </row>
    <row r="54" spans="2:36" x14ac:dyDescent="0.2">
      <c r="B54" s="23">
        <v>48</v>
      </c>
      <c r="C54" s="23" t="s">
        <v>406</v>
      </c>
      <c r="D54" s="106">
        <v>5002361</v>
      </c>
      <c r="E54" s="24" t="s">
        <v>254</v>
      </c>
      <c r="F54" s="23" t="s">
        <v>426</v>
      </c>
      <c r="G54" s="47" t="s">
        <v>158</v>
      </c>
      <c r="H54" s="24" t="s">
        <v>501</v>
      </c>
      <c r="I54" s="23">
        <v>500</v>
      </c>
      <c r="J54" s="24" t="s">
        <v>7</v>
      </c>
      <c r="K54" s="103">
        <v>1957</v>
      </c>
      <c r="L54" s="25">
        <f t="shared" si="5"/>
        <v>978500</v>
      </c>
      <c r="M54" s="133">
        <v>9.3350253807106593</v>
      </c>
      <c r="N54" s="139">
        <f t="shared" si="6"/>
        <v>18268.644670050759</v>
      </c>
      <c r="O54" s="133">
        <v>621.94949864498642</v>
      </c>
      <c r="P54" s="139">
        <f t="shared" si="7"/>
        <v>1217155.1688482384</v>
      </c>
      <c r="S54" s="106"/>
      <c r="T54" s="23"/>
      <c r="U54" s="106"/>
      <c r="W54" s="23"/>
      <c r="X54" s="47"/>
      <c r="Z54" s="23"/>
      <c r="AB54" s="103"/>
      <c r="AC54" s="25"/>
      <c r="AD54" s="173"/>
      <c r="AE54" s="133"/>
      <c r="AF54" s="139"/>
      <c r="AG54" s="133"/>
      <c r="AH54" s="139"/>
      <c r="AI54" s="133"/>
      <c r="AJ54" s="23"/>
    </row>
    <row r="55" spans="2:36" x14ac:dyDescent="0.2">
      <c r="B55" s="23">
        <v>49</v>
      </c>
      <c r="C55" s="23" t="s">
        <v>406</v>
      </c>
      <c r="D55" s="106">
        <v>5002627</v>
      </c>
      <c r="E55" s="24" t="s">
        <v>441</v>
      </c>
      <c r="F55" s="23" t="s">
        <v>424</v>
      </c>
      <c r="G55" s="47" t="s">
        <v>158</v>
      </c>
      <c r="H55" s="24" t="s">
        <v>502</v>
      </c>
      <c r="I55" s="23">
        <v>4</v>
      </c>
      <c r="J55" s="24" t="s">
        <v>3</v>
      </c>
      <c r="K55" s="103">
        <v>34963</v>
      </c>
      <c r="L55" s="25">
        <f t="shared" ref="L55:L86" si="8">K55*I55</f>
        <v>139852</v>
      </c>
      <c r="M55" s="133">
        <v>0.25545833333333334</v>
      </c>
      <c r="N55" s="139">
        <f t="shared" si="6"/>
        <v>8931.589708333333</v>
      </c>
      <c r="O55" s="133">
        <v>117.71000000000001</v>
      </c>
      <c r="P55" s="139">
        <f t="shared" si="7"/>
        <v>4115494.7300000004</v>
      </c>
      <c r="S55" s="106"/>
      <c r="T55" s="23"/>
      <c r="U55" s="106"/>
      <c r="W55" s="23"/>
      <c r="X55" s="47"/>
      <c r="Z55" s="23"/>
      <c r="AB55" s="103"/>
      <c r="AC55" s="25"/>
      <c r="AD55" s="173"/>
      <c r="AE55" s="133"/>
      <c r="AF55" s="139"/>
      <c r="AG55" s="133"/>
      <c r="AH55" s="139"/>
      <c r="AI55" s="133"/>
      <c r="AJ55" s="23"/>
    </row>
    <row r="56" spans="2:36" x14ac:dyDescent="0.2">
      <c r="B56" s="23">
        <v>50</v>
      </c>
      <c r="C56" s="23" t="s">
        <v>406</v>
      </c>
      <c r="D56" s="106">
        <v>5003950</v>
      </c>
      <c r="E56" s="24" t="s">
        <v>443</v>
      </c>
      <c r="F56" s="23" t="s">
        <v>426</v>
      </c>
      <c r="G56" s="47" t="s">
        <v>158</v>
      </c>
      <c r="H56" s="24" t="s">
        <v>503</v>
      </c>
      <c r="I56" s="23">
        <v>6</v>
      </c>
      <c r="J56" s="24" t="s">
        <v>3</v>
      </c>
      <c r="K56" s="103">
        <v>19435</v>
      </c>
      <c r="L56" s="25">
        <f t="shared" si="8"/>
        <v>116610</v>
      </c>
      <c r="M56" s="133">
        <v>0.27842857142857147</v>
      </c>
      <c r="N56" s="139">
        <f t="shared" si="6"/>
        <v>5411.2592857142863</v>
      </c>
      <c r="O56" s="133">
        <v>335.25</v>
      </c>
      <c r="P56" s="139">
        <f t="shared" si="7"/>
        <v>6515583.75</v>
      </c>
      <c r="S56" s="106"/>
      <c r="T56" s="23"/>
      <c r="U56" s="106"/>
      <c r="W56" s="23"/>
      <c r="X56" s="47"/>
      <c r="Z56" s="23"/>
      <c r="AB56" s="103"/>
      <c r="AC56" s="25"/>
      <c r="AD56" s="173"/>
      <c r="AE56" s="133"/>
      <c r="AF56" s="139"/>
      <c r="AG56" s="133"/>
      <c r="AH56" s="139"/>
      <c r="AI56" s="133"/>
      <c r="AJ56" s="23"/>
    </row>
    <row r="57" spans="2:36" x14ac:dyDescent="0.2">
      <c r="B57" s="23">
        <v>51</v>
      </c>
      <c r="C57" s="23" t="s">
        <v>406</v>
      </c>
      <c r="D57" s="106">
        <v>5004272</v>
      </c>
      <c r="E57" s="24" t="s">
        <v>442</v>
      </c>
      <c r="F57" s="23" t="s">
        <v>424</v>
      </c>
      <c r="G57" s="47" t="s">
        <v>158</v>
      </c>
      <c r="H57" s="24" t="s">
        <v>504</v>
      </c>
      <c r="I57" s="23">
        <v>10</v>
      </c>
      <c r="J57" s="24" t="s">
        <v>3</v>
      </c>
      <c r="K57" s="103">
        <v>20583</v>
      </c>
      <c r="L57" s="25">
        <f t="shared" si="8"/>
        <v>205830</v>
      </c>
      <c r="M57" s="133">
        <v>0.34177083333333336</v>
      </c>
      <c r="N57" s="139">
        <f t="shared" si="6"/>
        <v>7034.6690625000001</v>
      </c>
      <c r="O57" s="133">
        <v>58.606666666666662</v>
      </c>
      <c r="P57" s="139">
        <f t="shared" si="7"/>
        <v>1206301.02</v>
      </c>
      <c r="S57" s="106"/>
      <c r="T57" s="23"/>
      <c r="U57" s="106"/>
      <c r="W57" s="23"/>
      <c r="X57" s="47"/>
      <c r="Z57" s="23"/>
      <c r="AB57" s="103"/>
      <c r="AC57" s="25"/>
      <c r="AD57" s="173"/>
      <c r="AE57" s="133"/>
      <c r="AF57" s="139"/>
      <c r="AG57" s="133"/>
      <c r="AH57" s="139"/>
      <c r="AI57" s="133"/>
      <c r="AJ57" s="23"/>
    </row>
    <row r="58" spans="2:36" x14ac:dyDescent="0.2">
      <c r="B58" s="23">
        <v>52</v>
      </c>
      <c r="C58" s="23" t="s">
        <v>406</v>
      </c>
      <c r="D58" s="106">
        <v>5001352</v>
      </c>
      <c r="E58" s="24" t="s">
        <v>211</v>
      </c>
      <c r="F58" s="23" t="s">
        <v>424</v>
      </c>
      <c r="G58" s="47" t="s">
        <v>158</v>
      </c>
      <c r="H58" s="24" t="s">
        <v>505</v>
      </c>
      <c r="I58" s="23">
        <v>24</v>
      </c>
      <c r="J58" s="24" t="s">
        <v>3</v>
      </c>
      <c r="K58" s="103">
        <v>115224</v>
      </c>
      <c r="L58" s="25">
        <f t="shared" si="8"/>
        <v>2765376</v>
      </c>
      <c r="M58" s="133">
        <v>0.50685714285714278</v>
      </c>
      <c r="N58" s="139">
        <f t="shared" si="6"/>
        <v>58402.10742857142</v>
      </c>
      <c r="O58" s="133">
        <v>44.075208333333329</v>
      </c>
      <c r="P58" s="139">
        <f t="shared" si="7"/>
        <v>5078521.8049999997</v>
      </c>
      <c r="S58" s="106"/>
      <c r="T58" s="23"/>
      <c r="U58" s="106"/>
      <c r="W58" s="23"/>
      <c r="X58" s="47"/>
      <c r="Z58" s="23"/>
      <c r="AB58" s="103"/>
      <c r="AC58" s="25"/>
      <c r="AD58" s="173"/>
      <c r="AE58" s="133"/>
      <c r="AF58" s="139"/>
      <c r="AG58" s="133"/>
      <c r="AH58" s="139"/>
      <c r="AI58" s="133"/>
      <c r="AJ58" s="23"/>
    </row>
    <row r="59" spans="2:36" x14ac:dyDescent="0.2">
      <c r="B59" s="23">
        <v>53</v>
      </c>
      <c r="C59" s="23" t="s">
        <v>406</v>
      </c>
      <c r="D59" s="106">
        <v>5001297</v>
      </c>
      <c r="E59" s="24" t="s">
        <v>444</v>
      </c>
      <c r="F59" s="23" t="s">
        <v>424</v>
      </c>
      <c r="G59" s="47" t="s">
        <v>158</v>
      </c>
      <c r="H59" s="24" t="s">
        <v>506</v>
      </c>
      <c r="I59" s="23">
        <v>10</v>
      </c>
      <c r="J59" s="24" t="s">
        <v>3</v>
      </c>
      <c r="K59" s="103">
        <v>9636</v>
      </c>
      <c r="L59" s="25">
        <f t="shared" si="8"/>
        <v>96360</v>
      </c>
      <c r="M59" s="133">
        <v>0.3</v>
      </c>
      <c r="N59" s="139">
        <f t="shared" si="6"/>
        <v>2890.7999999999997</v>
      </c>
      <c r="O59" s="133">
        <v>136.83166666666668</v>
      </c>
      <c r="P59" s="139">
        <f t="shared" si="7"/>
        <v>1318509.9400000002</v>
      </c>
      <c r="S59" s="106"/>
      <c r="T59" s="23"/>
      <c r="U59" s="106"/>
      <c r="W59" s="23"/>
      <c r="X59" s="47"/>
      <c r="Z59" s="23"/>
      <c r="AB59" s="103"/>
      <c r="AC59" s="25"/>
      <c r="AD59" s="173"/>
      <c r="AE59" s="133"/>
      <c r="AF59" s="139"/>
      <c r="AG59" s="133"/>
      <c r="AH59" s="139"/>
      <c r="AI59" s="133"/>
      <c r="AJ59" s="23"/>
    </row>
    <row r="60" spans="2:36" x14ac:dyDescent="0.2">
      <c r="B60" s="23">
        <v>54</v>
      </c>
      <c r="C60" s="23" t="s">
        <v>406</v>
      </c>
      <c r="D60" s="106">
        <v>5001550</v>
      </c>
      <c r="E60" s="24" t="s">
        <v>253</v>
      </c>
      <c r="F60" s="23" t="s">
        <v>426</v>
      </c>
      <c r="G60" s="47" t="s">
        <v>158</v>
      </c>
      <c r="H60" s="24" t="s">
        <v>507</v>
      </c>
      <c r="I60" s="23">
        <v>60</v>
      </c>
      <c r="J60" s="24" t="s">
        <v>7</v>
      </c>
      <c r="K60" s="103">
        <v>12615</v>
      </c>
      <c r="L60" s="25">
        <f t="shared" si="8"/>
        <v>756900</v>
      </c>
      <c r="M60" s="133">
        <v>1.7787755102040816</v>
      </c>
      <c r="N60" s="139">
        <f t="shared" si="6"/>
        <v>22439.253061224488</v>
      </c>
      <c r="O60" s="133">
        <v>250.10699984247009</v>
      </c>
      <c r="P60" s="139">
        <f t="shared" si="7"/>
        <v>3155099.8030127604</v>
      </c>
      <c r="S60" s="106"/>
      <c r="T60" s="23"/>
      <c r="U60" s="106"/>
      <c r="W60" s="23"/>
      <c r="X60" s="47"/>
      <c r="Z60" s="23"/>
      <c r="AB60" s="103"/>
      <c r="AC60" s="25"/>
      <c r="AD60" s="173"/>
      <c r="AE60" s="133"/>
      <c r="AF60" s="139"/>
      <c r="AG60" s="133"/>
      <c r="AH60" s="139"/>
      <c r="AI60" s="133"/>
      <c r="AJ60" s="23"/>
    </row>
    <row r="61" spans="2:36" x14ac:dyDescent="0.2">
      <c r="B61" s="23">
        <v>55</v>
      </c>
      <c r="C61" s="23" t="s">
        <v>406</v>
      </c>
      <c r="D61" s="106">
        <v>5004272</v>
      </c>
      <c r="E61" s="24" t="s">
        <v>442</v>
      </c>
      <c r="F61" s="23" t="s">
        <v>424</v>
      </c>
      <c r="G61" s="47" t="s">
        <v>158</v>
      </c>
      <c r="H61" s="24" t="s">
        <v>508</v>
      </c>
      <c r="I61" s="23">
        <v>10</v>
      </c>
      <c r="J61" s="24" t="s">
        <v>3</v>
      </c>
      <c r="K61" s="103">
        <v>20241</v>
      </c>
      <c r="L61" s="25">
        <f t="shared" si="8"/>
        <v>202410</v>
      </c>
      <c r="M61" s="133">
        <v>0.34177083333333336</v>
      </c>
      <c r="N61" s="139">
        <f t="shared" si="6"/>
        <v>6917.7834375000002</v>
      </c>
      <c r="O61" s="133">
        <v>58.606666666666662</v>
      </c>
      <c r="P61" s="139">
        <f t="shared" si="7"/>
        <v>1186257.5399999998</v>
      </c>
      <c r="S61" s="106"/>
      <c r="T61" s="23"/>
      <c r="U61" s="106"/>
      <c r="W61" s="23"/>
      <c r="X61" s="47"/>
      <c r="Z61" s="23"/>
      <c r="AB61" s="103"/>
      <c r="AC61" s="25"/>
      <c r="AD61" s="173"/>
      <c r="AE61" s="133"/>
      <c r="AF61" s="139"/>
      <c r="AG61" s="133"/>
      <c r="AH61" s="139"/>
      <c r="AI61" s="133"/>
      <c r="AJ61" s="23"/>
    </row>
    <row r="62" spans="2:36" x14ac:dyDescent="0.2">
      <c r="B62" s="23">
        <v>56</v>
      </c>
      <c r="C62" s="23" t="s">
        <v>406</v>
      </c>
      <c r="D62" s="106">
        <v>5000854</v>
      </c>
      <c r="E62" s="24" t="s">
        <v>445</v>
      </c>
      <c r="F62" s="23" t="s">
        <v>424</v>
      </c>
      <c r="G62" s="47" t="s">
        <v>158</v>
      </c>
      <c r="H62" s="24" t="s">
        <v>506</v>
      </c>
      <c r="I62" s="23">
        <v>10</v>
      </c>
      <c r="J62" s="24" t="s">
        <v>3</v>
      </c>
      <c r="K62" s="103">
        <v>18933</v>
      </c>
      <c r="L62" s="25">
        <f t="shared" si="8"/>
        <v>189330</v>
      </c>
      <c r="M62" s="133">
        <v>0.34177083333333336</v>
      </c>
      <c r="N62" s="139">
        <f t="shared" si="6"/>
        <v>6470.7471875000001</v>
      </c>
      <c r="O62" s="133">
        <v>168.37</v>
      </c>
      <c r="P62" s="139">
        <f t="shared" si="7"/>
        <v>3187749.21</v>
      </c>
      <c r="S62" s="106"/>
      <c r="T62" s="23"/>
      <c r="U62" s="106"/>
      <c r="W62" s="23"/>
      <c r="X62" s="47"/>
      <c r="Z62" s="23"/>
      <c r="AB62" s="103"/>
      <c r="AC62" s="25"/>
      <c r="AD62" s="173"/>
      <c r="AE62" s="133"/>
      <c r="AF62" s="139"/>
      <c r="AG62" s="133"/>
      <c r="AH62" s="139"/>
      <c r="AI62" s="133"/>
      <c r="AJ62" s="23"/>
    </row>
    <row r="63" spans="2:36" x14ac:dyDescent="0.2">
      <c r="B63" s="23">
        <v>57</v>
      </c>
      <c r="C63" s="23" t="s">
        <v>406</v>
      </c>
      <c r="D63" s="106">
        <v>5001398</v>
      </c>
      <c r="E63" s="24" t="s">
        <v>436</v>
      </c>
      <c r="F63" s="23" t="s">
        <v>424</v>
      </c>
      <c r="G63" s="47" t="s">
        <v>158</v>
      </c>
      <c r="H63" s="24" t="s">
        <v>510</v>
      </c>
      <c r="I63" s="23">
        <v>10</v>
      </c>
      <c r="J63" s="24" t="s">
        <v>65</v>
      </c>
      <c r="K63" s="103">
        <v>94743</v>
      </c>
      <c r="L63" s="25">
        <f t="shared" si="8"/>
        <v>947430</v>
      </c>
      <c r="M63" s="133">
        <v>0.28000000000000003</v>
      </c>
      <c r="N63" s="139">
        <f t="shared" si="6"/>
        <v>26528.04</v>
      </c>
      <c r="O63" s="133">
        <v>92.239026936026946</v>
      </c>
      <c r="P63" s="139">
        <f t="shared" si="7"/>
        <v>8739002.1290000007</v>
      </c>
      <c r="S63" s="106"/>
      <c r="T63" s="23"/>
      <c r="U63" s="106"/>
      <c r="W63" s="23"/>
      <c r="X63" s="47"/>
      <c r="Z63" s="23"/>
      <c r="AB63" s="103"/>
      <c r="AC63" s="25"/>
      <c r="AD63" s="173"/>
      <c r="AE63" s="133"/>
      <c r="AF63" s="139"/>
      <c r="AG63" s="133"/>
      <c r="AH63" s="139"/>
      <c r="AI63" s="133"/>
      <c r="AJ63" s="23"/>
    </row>
    <row r="64" spans="2:36" x14ac:dyDescent="0.2">
      <c r="B64" s="23">
        <v>58</v>
      </c>
      <c r="C64" s="23" t="s">
        <v>406</v>
      </c>
      <c r="D64" s="106">
        <v>5001550</v>
      </c>
      <c r="E64" s="24" t="s">
        <v>253</v>
      </c>
      <c r="F64" s="23" t="s">
        <v>426</v>
      </c>
      <c r="G64" s="47" t="s">
        <v>158</v>
      </c>
      <c r="H64" s="24" t="s">
        <v>511</v>
      </c>
      <c r="I64" s="23">
        <v>60</v>
      </c>
      <c r="J64" s="24" t="s">
        <v>7</v>
      </c>
      <c r="K64" s="103">
        <v>12582</v>
      </c>
      <c r="L64" s="25">
        <f t="shared" si="8"/>
        <v>754920</v>
      </c>
      <c r="M64" s="133">
        <v>1.7787755102040816</v>
      </c>
      <c r="N64" s="139">
        <f t="shared" si="6"/>
        <v>22380.553469387756</v>
      </c>
      <c r="O64" s="133">
        <v>250.10699984247009</v>
      </c>
      <c r="P64" s="139">
        <f t="shared" si="7"/>
        <v>3146846.2720179586</v>
      </c>
      <c r="S64" s="106"/>
      <c r="T64" s="23"/>
      <c r="U64" s="106"/>
      <c r="W64" s="23"/>
      <c r="X64" s="47"/>
      <c r="Z64" s="23"/>
      <c r="AB64" s="103"/>
      <c r="AC64" s="25"/>
      <c r="AD64" s="173"/>
      <c r="AE64" s="133"/>
      <c r="AF64" s="139"/>
      <c r="AG64" s="133"/>
      <c r="AH64" s="139"/>
      <c r="AI64" s="133"/>
      <c r="AJ64" s="23"/>
    </row>
    <row r="65" spans="2:36" x14ac:dyDescent="0.2">
      <c r="B65" s="23">
        <v>59</v>
      </c>
      <c r="C65" s="23" t="s">
        <v>406</v>
      </c>
      <c r="D65" s="106">
        <v>5001552</v>
      </c>
      <c r="E65" s="24" t="s">
        <v>330</v>
      </c>
      <c r="F65" s="23" t="s">
        <v>426</v>
      </c>
      <c r="G65" s="47" t="s">
        <v>158</v>
      </c>
      <c r="H65" s="24" t="s">
        <v>512</v>
      </c>
      <c r="I65" s="23">
        <v>30</v>
      </c>
      <c r="J65" s="24" t="s">
        <v>7</v>
      </c>
      <c r="K65" s="103">
        <v>71123</v>
      </c>
      <c r="L65" s="25">
        <f t="shared" si="8"/>
        <v>2133690</v>
      </c>
      <c r="M65" s="133">
        <v>1.3169791666666666</v>
      </c>
      <c r="N65" s="139">
        <f t="shared" si="6"/>
        <v>93667.509270833325</v>
      </c>
      <c r="O65" s="133">
        <v>60.67799988903684</v>
      </c>
      <c r="P65" s="139">
        <f t="shared" si="7"/>
        <v>4315601.3861079672</v>
      </c>
      <c r="S65" s="106"/>
      <c r="T65" s="23"/>
      <c r="U65" s="106"/>
      <c r="W65" s="23"/>
      <c r="X65" s="47"/>
      <c r="Z65" s="23"/>
      <c r="AB65" s="103"/>
      <c r="AC65" s="25"/>
      <c r="AD65" s="173"/>
      <c r="AE65" s="133"/>
      <c r="AF65" s="139"/>
      <c r="AG65" s="133"/>
      <c r="AH65" s="139"/>
      <c r="AI65" s="133"/>
      <c r="AJ65" s="23"/>
    </row>
    <row r="66" spans="2:36" x14ac:dyDescent="0.2">
      <c r="B66" s="23">
        <v>60</v>
      </c>
      <c r="C66" s="23" t="s">
        <v>406</v>
      </c>
      <c r="D66" s="106">
        <v>5002627</v>
      </c>
      <c r="E66" s="24" t="s">
        <v>441</v>
      </c>
      <c r="F66" s="23" t="s">
        <v>424</v>
      </c>
      <c r="G66" s="47" t="s">
        <v>158</v>
      </c>
      <c r="H66" s="24" t="s">
        <v>513</v>
      </c>
      <c r="I66" s="23">
        <v>4</v>
      </c>
      <c r="J66" s="24" t="s">
        <v>3</v>
      </c>
      <c r="K66" s="103">
        <v>35456</v>
      </c>
      <c r="L66" s="25">
        <f t="shared" si="8"/>
        <v>141824</v>
      </c>
      <c r="M66" s="133">
        <v>0.25545833333333334</v>
      </c>
      <c r="N66" s="139">
        <f t="shared" si="6"/>
        <v>9057.5306666666675</v>
      </c>
      <c r="O66" s="133">
        <v>117.71000000000001</v>
      </c>
      <c r="P66" s="139">
        <f t="shared" si="7"/>
        <v>4173525.7600000002</v>
      </c>
      <c r="S66" s="106"/>
      <c r="T66" s="23"/>
      <c r="U66" s="106"/>
      <c r="W66" s="23"/>
      <c r="X66" s="47"/>
      <c r="Z66" s="23"/>
      <c r="AB66" s="103"/>
      <c r="AC66" s="25"/>
      <c r="AD66" s="173"/>
      <c r="AE66" s="133"/>
      <c r="AF66" s="139"/>
      <c r="AG66" s="133"/>
      <c r="AH66" s="139"/>
      <c r="AI66" s="133"/>
      <c r="AJ66" s="23"/>
    </row>
    <row r="67" spans="2:36" x14ac:dyDescent="0.2">
      <c r="B67" s="23">
        <v>61</v>
      </c>
      <c r="C67" s="23" t="s">
        <v>406</v>
      </c>
      <c r="D67" s="106">
        <v>5000854</v>
      </c>
      <c r="E67" s="24" t="s">
        <v>445</v>
      </c>
      <c r="F67" s="23" t="s">
        <v>424</v>
      </c>
      <c r="G67" s="47" t="s">
        <v>158</v>
      </c>
      <c r="H67" s="24" t="s">
        <v>514</v>
      </c>
      <c r="I67" s="23">
        <v>10</v>
      </c>
      <c r="J67" s="24" t="s">
        <v>3</v>
      </c>
      <c r="K67" s="103">
        <v>28146</v>
      </c>
      <c r="L67" s="25">
        <f t="shared" si="8"/>
        <v>281460</v>
      </c>
      <c r="M67" s="133">
        <v>0.34177083333333336</v>
      </c>
      <c r="N67" s="139">
        <f t="shared" si="6"/>
        <v>9619.4818750000013</v>
      </c>
      <c r="O67" s="133">
        <v>168.37</v>
      </c>
      <c r="P67" s="139">
        <f t="shared" si="7"/>
        <v>4738942.0200000005</v>
      </c>
      <c r="S67" s="106"/>
      <c r="T67" s="23"/>
      <c r="U67" s="106"/>
      <c r="W67" s="23"/>
      <c r="X67" s="47"/>
      <c r="Z67" s="23"/>
      <c r="AB67" s="103"/>
      <c r="AC67" s="25"/>
      <c r="AD67" s="173"/>
      <c r="AE67" s="133"/>
      <c r="AF67" s="139"/>
      <c r="AG67" s="133"/>
      <c r="AH67" s="139"/>
      <c r="AI67" s="133"/>
      <c r="AJ67" s="23"/>
    </row>
    <row r="68" spans="2:36" x14ac:dyDescent="0.2">
      <c r="B68" s="23">
        <v>62</v>
      </c>
      <c r="C68" s="23" t="s">
        <v>406</v>
      </c>
      <c r="D68" s="106">
        <v>5001351</v>
      </c>
      <c r="E68" s="24" t="s">
        <v>222</v>
      </c>
      <c r="F68" s="23" t="s">
        <v>424</v>
      </c>
      <c r="G68" s="47" t="s">
        <v>158</v>
      </c>
      <c r="H68" s="24" t="s">
        <v>505</v>
      </c>
      <c r="I68" s="23">
        <v>18</v>
      </c>
      <c r="J68" s="24" t="s">
        <v>3</v>
      </c>
      <c r="K68" s="103">
        <v>10849</v>
      </c>
      <c r="L68" s="25">
        <f t="shared" si="8"/>
        <v>195282</v>
      </c>
      <c r="M68" s="133">
        <v>0.42861224489795918</v>
      </c>
      <c r="N68" s="139">
        <f t="shared" si="6"/>
        <v>4650.0142448979595</v>
      </c>
      <c r="O68" s="133">
        <v>32.777849881796691</v>
      </c>
      <c r="P68" s="139">
        <f t="shared" si="7"/>
        <v>355606.89336761227</v>
      </c>
      <c r="S68" s="106"/>
      <c r="T68" s="23"/>
      <c r="U68" s="106"/>
      <c r="W68" s="23"/>
      <c r="X68" s="47"/>
      <c r="Z68" s="23"/>
      <c r="AB68" s="103"/>
      <c r="AC68" s="25"/>
      <c r="AD68" s="173"/>
      <c r="AE68" s="133"/>
      <c r="AF68" s="139"/>
      <c r="AG68" s="133"/>
      <c r="AH68" s="139"/>
      <c r="AI68" s="133"/>
      <c r="AJ68" s="23"/>
    </row>
    <row r="69" spans="2:36" x14ac:dyDescent="0.2">
      <c r="B69" s="23">
        <v>63</v>
      </c>
      <c r="C69" s="23" t="s">
        <v>406</v>
      </c>
      <c r="D69" s="106">
        <v>5000854</v>
      </c>
      <c r="E69" s="24" t="s">
        <v>445</v>
      </c>
      <c r="F69" s="23" t="s">
        <v>424</v>
      </c>
      <c r="G69" s="47" t="s">
        <v>158</v>
      </c>
      <c r="H69" s="24" t="s">
        <v>515</v>
      </c>
      <c r="I69" s="23">
        <v>10</v>
      </c>
      <c r="J69" s="24" t="s">
        <v>3</v>
      </c>
      <c r="K69" s="103">
        <v>27441</v>
      </c>
      <c r="L69" s="25">
        <f t="shared" si="8"/>
        <v>274410</v>
      </c>
      <c r="M69" s="133">
        <v>0.34177083333333336</v>
      </c>
      <c r="N69" s="139">
        <f t="shared" si="6"/>
        <v>9378.5334375000002</v>
      </c>
      <c r="O69" s="133">
        <v>168.37</v>
      </c>
      <c r="P69" s="139">
        <f t="shared" si="7"/>
        <v>4620241.17</v>
      </c>
      <c r="S69" s="106"/>
      <c r="T69" s="23"/>
      <c r="U69" s="106"/>
      <c r="W69" s="23"/>
      <c r="X69" s="47"/>
      <c r="Z69" s="23"/>
      <c r="AB69" s="103"/>
      <c r="AC69" s="25"/>
      <c r="AD69" s="173"/>
      <c r="AE69" s="133"/>
      <c r="AF69" s="139"/>
      <c r="AG69" s="133"/>
      <c r="AH69" s="139"/>
      <c r="AI69" s="133"/>
      <c r="AJ69" s="23"/>
    </row>
    <row r="70" spans="2:36" x14ac:dyDescent="0.2">
      <c r="B70" s="23">
        <v>64</v>
      </c>
      <c r="C70" s="23" t="s">
        <v>406</v>
      </c>
      <c r="D70" s="106">
        <v>5000943</v>
      </c>
      <c r="E70" s="24" t="s">
        <v>430</v>
      </c>
      <c r="F70" s="23" t="s">
        <v>424</v>
      </c>
      <c r="G70" s="47" t="s">
        <v>158</v>
      </c>
      <c r="H70" s="24" t="s">
        <v>516</v>
      </c>
      <c r="I70" s="23">
        <v>10</v>
      </c>
      <c r="J70" s="24" t="s">
        <v>3</v>
      </c>
      <c r="K70" s="103">
        <v>136008</v>
      </c>
      <c r="L70" s="25">
        <f t="shared" si="8"/>
        <v>1360080</v>
      </c>
      <c r="M70" s="133">
        <v>0.34</v>
      </c>
      <c r="N70" s="139">
        <f t="shared" si="6"/>
        <v>46242.720000000001</v>
      </c>
      <c r="O70" s="133">
        <v>71.425631160688241</v>
      </c>
      <c r="P70" s="139">
        <f t="shared" si="7"/>
        <v>9714457.2429028861</v>
      </c>
      <c r="S70" s="106"/>
      <c r="T70" s="23"/>
      <c r="U70" s="106"/>
      <c r="W70" s="23"/>
      <c r="X70" s="47"/>
      <c r="Z70" s="23"/>
      <c r="AB70" s="103"/>
      <c r="AC70" s="25"/>
      <c r="AD70" s="173"/>
      <c r="AE70" s="133"/>
      <c r="AF70" s="139"/>
      <c r="AG70" s="133"/>
      <c r="AH70" s="139"/>
      <c r="AI70" s="133"/>
      <c r="AJ70" s="23"/>
    </row>
    <row r="71" spans="2:36" x14ac:dyDescent="0.2">
      <c r="B71" s="23">
        <v>65</v>
      </c>
      <c r="C71" s="23" t="s">
        <v>406</v>
      </c>
      <c r="D71" s="106">
        <v>5001351</v>
      </c>
      <c r="E71" s="24" t="s">
        <v>222</v>
      </c>
      <c r="F71" s="23" t="s">
        <v>424</v>
      </c>
      <c r="G71" s="47" t="s">
        <v>158</v>
      </c>
      <c r="H71" s="24" t="s">
        <v>419</v>
      </c>
      <c r="I71" s="23">
        <v>18</v>
      </c>
      <c r="J71" s="24" t="s">
        <v>3</v>
      </c>
      <c r="K71" s="103">
        <v>73232</v>
      </c>
      <c r="L71" s="25">
        <f t="shared" si="8"/>
        <v>1318176</v>
      </c>
      <c r="M71" s="133">
        <v>0.42861224489795918</v>
      </c>
      <c r="N71" s="139">
        <f t="shared" si="6"/>
        <v>31388.131918367348</v>
      </c>
      <c r="O71" s="133">
        <v>32.777849881796691</v>
      </c>
      <c r="P71" s="139">
        <f t="shared" si="7"/>
        <v>2400387.5025437353</v>
      </c>
      <c r="S71" s="106"/>
      <c r="T71" s="23"/>
      <c r="U71" s="106"/>
      <c r="W71" s="23"/>
      <c r="X71" s="47"/>
      <c r="Z71" s="23"/>
      <c r="AB71" s="103"/>
      <c r="AC71" s="25"/>
      <c r="AD71" s="173"/>
      <c r="AE71" s="133"/>
      <c r="AF71" s="139"/>
      <c r="AG71" s="133"/>
      <c r="AH71" s="139"/>
      <c r="AI71" s="133"/>
      <c r="AJ71" s="23"/>
    </row>
    <row r="72" spans="2:36" x14ac:dyDescent="0.2">
      <c r="B72" s="23">
        <v>66</v>
      </c>
      <c r="C72" s="23" t="s">
        <v>406</v>
      </c>
      <c r="D72" s="106">
        <v>5001552</v>
      </c>
      <c r="E72" s="24" t="s">
        <v>330</v>
      </c>
      <c r="F72" s="23" t="s">
        <v>426</v>
      </c>
      <c r="G72" s="47" t="s">
        <v>158</v>
      </c>
      <c r="H72" s="24" t="s">
        <v>517</v>
      </c>
      <c r="I72" s="23">
        <v>30</v>
      </c>
      <c r="J72" s="24" t="s">
        <v>7</v>
      </c>
      <c r="K72" s="103">
        <v>36315</v>
      </c>
      <c r="L72" s="25">
        <f t="shared" si="8"/>
        <v>1089450</v>
      </c>
      <c r="M72" s="133">
        <v>1.3169791666666666</v>
      </c>
      <c r="N72" s="139">
        <f t="shared" si="6"/>
        <v>47826.098437499997</v>
      </c>
      <c r="O72" s="133">
        <v>60.67799988903684</v>
      </c>
      <c r="P72" s="139">
        <f t="shared" si="7"/>
        <v>2203521.5659703729</v>
      </c>
      <c r="S72" s="106"/>
      <c r="T72" s="23"/>
      <c r="U72" s="106"/>
      <c r="W72" s="23"/>
      <c r="X72" s="47"/>
      <c r="Z72" s="23"/>
      <c r="AB72" s="103"/>
      <c r="AC72" s="25"/>
      <c r="AD72" s="173"/>
      <c r="AE72" s="133"/>
      <c r="AF72" s="139"/>
      <c r="AG72" s="133"/>
      <c r="AH72" s="139"/>
      <c r="AI72" s="133"/>
      <c r="AJ72" s="23"/>
    </row>
    <row r="73" spans="2:36" x14ac:dyDescent="0.2">
      <c r="B73" s="23">
        <v>67</v>
      </c>
      <c r="C73" s="23" t="s">
        <v>406</v>
      </c>
      <c r="D73" s="106">
        <v>5002813</v>
      </c>
      <c r="E73" s="24" t="s">
        <v>252</v>
      </c>
      <c r="F73" s="23" t="s">
        <v>426</v>
      </c>
      <c r="G73" s="47" t="s">
        <v>158</v>
      </c>
      <c r="H73" s="24" t="s">
        <v>518</v>
      </c>
      <c r="I73" s="23">
        <v>500</v>
      </c>
      <c r="J73" s="24" t="s">
        <v>7</v>
      </c>
      <c r="K73" s="103">
        <v>4312</v>
      </c>
      <c r="L73" s="25">
        <f t="shared" si="8"/>
        <v>2156000</v>
      </c>
      <c r="M73" s="133">
        <v>9.578125</v>
      </c>
      <c r="N73" s="139">
        <f t="shared" si="6"/>
        <v>41300.875</v>
      </c>
      <c r="O73" s="133">
        <v>617.01749999999993</v>
      </c>
      <c r="P73" s="139">
        <f t="shared" si="7"/>
        <v>2660579.4599999995</v>
      </c>
      <c r="S73" s="106"/>
      <c r="T73" s="23"/>
      <c r="U73" s="106"/>
      <c r="W73" s="23"/>
      <c r="X73" s="47"/>
      <c r="Z73" s="23"/>
      <c r="AB73" s="103"/>
      <c r="AC73" s="25"/>
      <c r="AD73" s="173"/>
      <c r="AE73" s="133"/>
      <c r="AF73" s="139"/>
      <c r="AG73" s="133"/>
      <c r="AH73" s="139"/>
      <c r="AI73" s="133"/>
      <c r="AJ73" s="23"/>
    </row>
    <row r="74" spans="2:36" x14ac:dyDescent="0.2">
      <c r="B74" s="23">
        <v>68</v>
      </c>
      <c r="C74" s="23" t="s">
        <v>406</v>
      </c>
      <c r="D74" s="106">
        <v>5001171</v>
      </c>
      <c r="E74" s="24" t="s">
        <v>224</v>
      </c>
      <c r="F74" s="23" t="s">
        <v>424</v>
      </c>
      <c r="G74" s="47" t="s">
        <v>158</v>
      </c>
      <c r="H74" s="24" t="s">
        <v>519</v>
      </c>
      <c r="I74" s="23">
        <v>10</v>
      </c>
      <c r="J74" s="24" t="s">
        <v>3</v>
      </c>
      <c r="K74" s="103">
        <v>78126</v>
      </c>
      <c r="L74" s="25">
        <f t="shared" si="8"/>
        <v>781260</v>
      </c>
      <c r="M74" s="133">
        <v>0.16</v>
      </c>
      <c r="N74" s="139">
        <f t="shared" si="6"/>
        <v>12500.16</v>
      </c>
      <c r="O74" s="133">
        <v>17.334456349206352</v>
      </c>
      <c r="P74" s="139">
        <f t="shared" si="7"/>
        <v>1354271.7367380955</v>
      </c>
      <c r="S74" s="106"/>
      <c r="T74" s="23"/>
      <c r="U74" s="106"/>
      <c r="W74" s="23"/>
      <c r="X74" s="47"/>
      <c r="Z74" s="23"/>
      <c r="AB74" s="103"/>
      <c r="AC74" s="25"/>
      <c r="AD74" s="173"/>
      <c r="AE74" s="133"/>
      <c r="AF74" s="139"/>
      <c r="AG74" s="133"/>
      <c r="AH74" s="139"/>
      <c r="AI74" s="133"/>
      <c r="AJ74" s="23"/>
    </row>
    <row r="75" spans="2:36" x14ac:dyDescent="0.2">
      <c r="B75" s="23">
        <v>69</v>
      </c>
      <c r="C75" s="23" t="s">
        <v>406</v>
      </c>
      <c r="D75" s="106">
        <v>5001351</v>
      </c>
      <c r="E75" s="24" t="s">
        <v>222</v>
      </c>
      <c r="F75" s="23" t="s">
        <v>424</v>
      </c>
      <c r="G75" s="47" t="s">
        <v>158</v>
      </c>
      <c r="H75" s="24" t="s">
        <v>488</v>
      </c>
      <c r="I75" s="23">
        <v>18</v>
      </c>
      <c r="J75" s="24" t="s">
        <v>3</v>
      </c>
      <c r="K75" s="103">
        <v>48422</v>
      </c>
      <c r="L75" s="25">
        <f t="shared" si="8"/>
        <v>871596</v>
      </c>
      <c r="M75" s="133">
        <v>0.42861224489795918</v>
      </c>
      <c r="N75" s="139">
        <f t="shared" si="6"/>
        <v>20754.262122448981</v>
      </c>
      <c r="O75" s="133">
        <v>32.777849881796691</v>
      </c>
      <c r="P75" s="139">
        <f t="shared" si="7"/>
        <v>1587169.0469763593</v>
      </c>
      <c r="S75" s="106"/>
      <c r="T75" s="23"/>
      <c r="U75" s="106"/>
      <c r="W75" s="23"/>
      <c r="X75" s="47"/>
      <c r="Z75" s="23"/>
      <c r="AB75" s="103"/>
      <c r="AC75" s="25"/>
      <c r="AD75" s="173"/>
      <c r="AE75" s="133"/>
      <c r="AF75" s="139"/>
      <c r="AG75" s="133"/>
      <c r="AH75" s="139"/>
      <c r="AI75" s="133"/>
      <c r="AJ75" s="23"/>
    </row>
    <row r="76" spans="2:36" x14ac:dyDescent="0.2">
      <c r="B76" s="23">
        <v>70</v>
      </c>
      <c r="C76" s="23" t="s">
        <v>406</v>
      </c>
      <c r="D76" s="106">
        <v>5004271</v>
      </c>
      <c r="E76" s="24" t="s">
        <v>448</v>
      </c>
      <c r="F76" s="23" t="s">
        <v>424</v>
      </c>
      <c r="G76" s="47" t="s">
        <v>158</v>
      </c>
      <c r="H76" s="24" t="s">
        <v>521</v>
      </c>
      <c r="I76" s="23">
        <v>10</v>
      </c>
      <c r="J76" s="24" t="s">
        <v>3</v>
      </c>
      <c r="K76" s="103">
        <v>33768</v>
      </c>
      <c r="L76" s="25">
        <f t="shared" si="8"/>
        <v>337680</v>
      </c>
      <c r="M76" s="133">
        <v>0.40052083333333333</v>
      </c>
      <c r="N76" s="139">
        <f t="shared" si="6"/>
        <v>13524.7875</v>
      </c>
      <c r="O76" s="133">
        <v>79.715000000000003</v>
      </c>
      <c r="P76" s="139">
        <f t="shared" si="7"/>
        <v>2691816.12</v>
      </c>
      <c r="S76" s="106"/>
      <c r="T76" s="23"/>
      <c r="U76" s="106"/>
      <c r="W76" s="23"/>
      <c r="X76" s="47"/>
      <c r="Z76" s="23"/>
      <c r="AB76" s="103"/>
      <c r="AC76" s="25"/>
      <c r="AD76" s="173"/>
      <c r="AE76" s="133"/>
      <c r="AF76" s="139"/>
      <c r="AG76" s="133"/>
      <c r="AH76" s="139"/>
      <c r="AI76" s="133"/>
      <c r="AJ76" s="23"/>
    </row>
    <row r="77" spans="2:36" x14ac:dyDescent="0.2">
      <c r="B77" s="23">
        <v>71</v>
      </c>
      <c r="C77" s="23" t="s">
        <v>406</v>
      </c>
      <c r="D77" s="106">
        <v>5004721</v>
      </c>
      <c r="E77" s="24" t="s">
        <v>449</v>
      </c>
      <c r="F77" s="23" t="s">
        <v>424</v>
      </c>
      <c r="G77" s="47" t="s">
        <v>158</v>
      </c>
      <c r="H77" s="24" t="s">
        <v>522</v>
      </c>
      <c r="I77" s="23">
        <v>3</v>
      </c>
      <c r="J77" s="24" t="s">
        <v>3</v>
      </c>
      <c r="K77" s="103">
        <v>144900</v>
      </c>
      <c r="L77" s="25">
        <f t="shared" si="8"/>
        <v>434700</v>
      </c>
      <c r="M77" s="133">
        <v>0.28766666666666668</v>
      </c>
      <c r="N77" s="139">
        <f t="shared" si="6"/>
        <v>41682.9</v>
      </c>
      <c r="O77" s="133">
        <v>55.875</v>
      </c>
      <c r="P77" s="139">
        <f t="shared" si="7"/>
        <v>8096287.5</v>
      </c>
      <c r="S77" s="106"/>
      <c r="T77" s="23"/>
      <c r="U77" s="106"/>
      <c r="W77" s="23"/>
      <c r="X77" s="47"/>
      <c r="Z77" s="23"/>
      <c r="AB77" s="103"/>
      <c r="AC77" s="25"/>
      <c r="AD77" s="173"/>
      <c r="AE77" s="133"/>
      <c r="AF77" s="139"/>
      <c r="AG77" s="133"/>
      <c r="AH77" s="139"/>
      <c r="AI77" s="133"/>
      <c r="AJ77" s="23"/>
    </row>
    <row r="78" spans="2:36" x14ac:dyDescent="0.2">
      <c r="B78" s="23">
        <v>72</v>
      </c>
      <c r="C78" s="23" t="s">
        <v>406</v>
      </c>
      <c r="D78" s="106">
        <v>5001321</v>
      </c>
      <c r="E78" s="24" t="s">
        <v>408</v>
      </c>
      <c r="F78" s="23" t="s">
        <v>424</v>
      </c>
      <c r="G78" s="47" t="s">
        <v>158</v>
      </c>
      <c r="H78" s="24" t="s">
        <v>488</v>
      </c>
      <c r="I78" s="23">
        <v>24</v>
      </c>
      <c r="J78" s="24" t="s">
        <v>3</v>
      </c>
      <c r="K78" s="103">
        <v>36757</v>
      </c>
      <c r="L78" s="25">
        <f t="shared" si="8"/>
        <v>882168</v>
      </c>
      <c r="M78" s="133">
        <v>0.67400000000000004</v>
      </c>
      <c r="N78" s="139">
        <f t="shared" si="6"/>
        <v>24774.218000000001</v>
      </c>
      <c r="O78" s="133">
        <v>44.364199924127469</v>
      </c>
      <c r="P78" s="139">
        <f t="shared" si="7"/>
        <v>1630694.8966111534</v>
      </c>
      <c r="S78" s="106"/>
      <c r="T78" s="23"/>
      <c r="U78" s="106"/>
      <c r="W78" s="23"/>
      <c r="X78" s="47"/>
      <c r="Z78" s="23"/>
      <c r="AB78" s="103"/>
      <c r="AC78" s="25"/>
      <c r="AD78" s="173"/>
      <c r="AE78" s="133"/>
      <c r="AF78" s="139"/>
      <c r="AG78" s="133"/>
      <c r="AH78" s="139"/>
      <c r="AI78" s="133"/>
      <c r="AJ78" s="23"/>
    </row>
    <row r="79" spans="2:36" x14ac:dyDescent="0.2">
      <c r="B79" s="23">
        <v>73</v>
      </c>
      <c r="C79" s="23" t="s">
        <v>406</v>
      </c>
      <c r="D79" s="106">
        <v>5001552</v>
      </c>
      <c r="E79" s="24" t="s">
        <v>330</v>
      </c>
      <c r="F79" s="23" t="s">
        <v>426</v>
      </c>
      <c r="G79" s="47" t="s">
        <v>158</v>
      </c>
      <c r="H79" s="24" t="s">
        <v>523</v>
      </c>
      <c r="I79" s="23">
        <v>30</v>
      </c>
      <c r="J79" s="24" t="s">
        <v>7</v>
      </c>
      <c r="K79" s="103">
        <v>36219</v>
      </c>
      <c r="L79" s="25">
        <f t="shared" si="8"/>
        <v>1086570</v>
      </c>
      <c r="M79" s="133">
        <v>1.3169791666666666</v>
      </c>
      <c r="N79" s="139">
        <f t="shared" si="6"/>
        <v>47699.668437499997</v>
      </c>
      <c r="O79" s="133">
        <v>60.67799988903684</v>
      </c>
      <c r="P79" s="139">
        <f t="shared" si="7"/>
        <v>2197696.4779810254</v>
      </c>
      <c r="S79" s="106"/>
      <c r="T79" s="23"/>
      <c r="U79" s="106"/>
      <c r="W79" s="23"/>
      <c r="X79" s="47"/>
      <c r="Z79" s="23"/>
      <c r="AB79" s="103"/>
      <c r="AC79" s="25"/>
      <c r="AD79" s="173"/>
      <c r="AE79" s="133"/>
      <c r="AF79" s="139"/>
      <c r="AG79" s="133"/>
      <c r="AH79" s="139"/>
      <c r="AI79" s="133"/>
      <c r="AJ79" s="23"/>
    </row>
    <row r="80" spans="2:36" x14ac:dyDescent="0.2">
      <c r="B80" s="23">
        <v>74</v>
      </c>
      <c r="C80" s="23" t="s">
        <v>406</v>
      </c>
      <c r="D80" s="106">
        <v>5002074</v>
      </c>
      <c r="E80" s="24" t="s">
        <v>450</v>
      </c>
      <c r="F80" s="23" t="s">
        <v>424</v>
      </c>
      <c r="G80" s="47" t="s">
        <v>158</v>
      </c>
      <c r="H80" s="24" t="s">
        <v>524</v>
      </c>
      <c r="I80" s="23">
        <v>10</v>
      </c>
      <c r="J80" s="24" t="s">
        <v>3</v>
      </c>
      <c r="K80" s="103">
        <v>17433</v>
      </c>
      <c r="L80" s="25">
        <f t="shared" si="8"/>
        <v>174330</v>
      </c>
      <c r="M80" s="133">
        <v>0.29395833333333332</v>
      </c>
      <c r="N80" s="139">
        <f t="shared" si="6"/>
        <v>5124.5756249999995</v>
      </c>
      <c r="O80" s="133">
        <v>82.825199882422098</v>
      </c>
      <c r="P80" s="139">
        <f t="shared" si="7"/>
        <v>1443891.7095502645</v>
      </c>
      <c r="S80" s="106"/>
      <c r="T80" s="23"/>
      <c r="U80" s="106"/>
      <c r="W80" s="23"/>
      <c r="X80" s="47"/>
      <c r="Z80" s="23"/>
      <c r="AB80" s="103"/>
      <c r="AC80" s="25"/>
      <c r="AD80" s="173"/>
      <c r="AE80" s="133"/>
      <c r="AF80" s="139"/>
      <c r="AG80" s="133"/>
      <c r="AH80" s="139"/>
      <c r="AI80" s="133"/>
      <c r="AJ80" s="23"/>
    </row>
    <row r="81" spans="2:36" x14ac:dyDescent="0.2">
      <c r="B81" s="23">
        <v>75</v>
      </c>
      <c r="C81" s="23" t="s">
        <v>406</v>
      </c>
      <c r="D81" s="106">
        <v>5002074</v>
      </c>
      <c r="E81" s="24" t="s">
        <v>450</v>
      </c>
      <c r="F81" s="23" t="s">
        <v>424</v>
      </c>
      <c r="G81" s="47" t="s">
        <v>158</v>
      </c>
      <c r="H81" s="24" t="s">
        <v>525</v>
      </c>
      <c r="I81" s="23">
        <v>10</v>
      </c>
      <c r="J81" s="24" t="s">
        <v>3</v>
      </c>
      <c r="K81" s="103">
        <v>17343</v>
      </c>
      <c r="L81" s="25">
        <f t="shared" si="8"/>
        <v>173430</v>
      </c>
      <c r="M81" s="133">
        <v>0.29395833333333332</v>
      </c>
      <c r="N81" s="139">
        <f t="shared" si="6"/>
        <v>5098.1193750000002</v>
      </c>
      <c r="O81" s="133">
        <v>82.825199882422098</v>
      </c>
      <c r="P81" s="139">
        <f t="shared" si="7"/>
        <v>1436437.4415608465</v>
      </c>
      <c r="S81" s="106"/>
      <c r="T81" s="23"/>
      <c r="U81" s="106"/>
      <c r="W81" s="23"/>
      <c r="X81" s="47"/>
      <c r="Z81" s="23"/>
      <c r="AB81" s="103"/>
      <c r="AC81" s="25"/>
      <c r="AD81" s="173"/>
      <c r="AE81" s="133"/>
      <c r="AF81" s="139"/>
      <c r="AG81" s="133"/>
      <c r="AH81" s="139"/>
      <c r="AI81" s="133"/>
      <c r="AJ81" s="23"/>
    </row>
    <row r="82" spans="2:36" x14ac:dyDescent="0.2">
      <c r="B82" s="23">
        <v>76</v>
      </c>
      <c r="C82" s="23" t="s">
        <v>406</v>
      </c>
      <c r="D82" s="106">
        <v>5002074</v>
      </c>
      <c r="E82" s="24" t="s">
        <v>450</v>
      </c>
      <c r="F82" s="23" t="s">
        <v>424</v>
      </c>
      <c r="G82" s="47" t="s">
        <v>158</v>
      </c>
      <c r="H82" s="24" t="s">
        <v>527</v>
      </c>
      <c r="I82" s="23">
        <v>10</v>
      </c>
      <c r="J82" s="24" t="s">
        <v>3</v>
      </c>
      <c r="K82" s="103">
        <v>17250</v>
      </c>
      <c r="L82" s="25">
        <f t="shared" si="8"/>
        <v>172500</v>
      </c>
      <c r="M82" s="133">
        <v>0.29395833333333332</v>
      </c>
      <c r="N82" s="139">
        <f t="shared" si="6"/>
        <v>5070.78125</v>
      </c>
      <c r="O82" s="133">
        <v>82.825199882422098</v>
      </c>
      <c r="P82" s="139">
        <f t="shared" si="7"/>
        <v>1428734.6979717813</v>
      </c>
      <c r="S82" s="106"/>
      <c r="T82" s="23"/>
      <c r="U82" s="106"/>
      <c r="W82" s="23"/>
      <c r="X82" s="47"/>
      <c r="Z82" s="23"/>
      <c r="AB82" s="103"/>
      <c r="AC82" s="25"/>
      <c r="AD82" s="173"/>
      <c r="AE82" s="133"/>
      <c r="AF82" s="139"/>
      <c r="AG82" s="133"/>
      <c r="AH82" s="139"/>
      <c r="AI82" s="133"/>
      <c r="AJ82" s="23"/>
    </row>
    <row r="83" spans="2:36" x14ac:dyDescent="0.2">
      <c r="B83" s="23">
        <v>77</v>
      </c>
      <c r="C83" s="23" t="s">
        <v>406</v>
      </c>
      <c r="D83" s="106">
        <v>5001126</v>
      </c>
      <c r="E83" s="24" t="s">
        <v>451</v>
      </c>
      <c r="F83" s="23" t="s">
        <v>424</v>
      </c>
      <c r="G83" s="47" t="s">
        <v>158</v>
      </c>
      <c r="H83" s="24" t="s">
        <v>528</v>
      </c>
      <c r="I83" s="23">
        <v>10</v>
      </c>
      <c r="J83" s="24" t="s">
        <v>65</v>
      </c>
      <c r="K83" s="103">
        <v>37572</v>
      </c>
      <c r="L83" s="25">
        <f t="shared" si="8"/>
        <v>375720</v>
      </c>
      <c r="M83" s="133">
        <v>0.26</v>
      </c>
      <c r="N83" s="139">
        <f t="shared" si="6"/>
        <v>9768.7200000000012</v>
      </c>
      <c r="O83" s="133">
        <v>59.599999999999994</v>
      </c>
      <c r="P83" s="139">
        <f t="shared" si="7"/>
        <v>2239291.1999999997</v>
      </c>
      <c r="S83" s="106"/>
      <c r="T83" s="23"/>
      <c r="U83" s="106"/>
      <c r="W83" s="23"/>
      <c r="X83" s="47"/>
      <c r="Z83" s="23"/>
      <c r="AB83" s="103"/>
      <c r="AC83" s="25"/>
      <c r="AD83" s="173"/>
      <c r="AE83" s="133"/>
      <c r="AF83" s="139"/>
      <c r="AG83" s="133"/>
      <c r="AH83" s="139"/>
      <c r="AI83" s="133"/>
      <c r="AJ83" s="23"/>
    </row>
    <row r="84" spans="2:36" x14ac:dyDescent="0.2">
      <c r="B84" s="23">
        <v>78</v>
      </c>
      <c r="C84" s="23" t="s">
        <v>406</v>
      </c>
      <c r="D84" s="106">
        <v>5001171</v>
      </c>
      <c r="E84" s="24" t="s">
        <v>224</v>
      </c>
      <c r="F84" s="23" t="s">
        <v>424</v>
      </c>
      <c r="G84" s="47" t="s">
        <v>158</v>
      </c>
      <c r="H84" s="24" t="s">
        <v>529</v>
      </c>
      <c r="I84" s="23">
        <v>10</v>
      </c>
      <c r="J84" s="24" t="s">
        <v>3</v>
      </c>
      <c r="K84" s="103">
        <v>77835</v>
      </c>
      <c r="L84" s="25">
        <f t="shared" si="8"/>
        <v>778350</v>
      </c>
      <c r="M84" s="133">
        <v>0.16</v>
      </c>
      <c r="N84" s="139">
        <f t="shared" si="6"/>
        <v>12453.6</v>
      </c>
      <c r="O84" s="133">
        <v>17.334456349206352</v>
      </c>
      <c r="P84" s="139">
        <f t="shared" si="7"/>
        <v>1349227.4099404765</v>
      </c>
      <c r="S84" s="106"/>
      <c r="T84" s="23"/>
      <c r="U84" s="106"/>
      <c r="W84" s="23"/>
      <c r="X84" s="47"/>
      <c r="Z84" s="23"/>
      <c r="AB84" s="103"/>
      <c r="AC84" s="25"/>
      <c r="AD84" s="173"/>
      <c r="AE84" s="133"/>
      <c r="AF84" s="139"/>
      <c r="AG84" s="133"/>
      <c r="AH84" s="139"/>
      <c r="AI84" s="133"/>
      <c r="AJ84" s="23"/>
    </row>
    <row r="85" spans="2:36" x14ac:dyDescent="0.2">
      <c r="B85" s="23">
        <v>79</v>
      </c>
      <c r="C85" s="23" t="s">
        <v>406</v>
      </c>
      <c r="D85" s="106">
        <v>5004271</v>
      </c>
      <c r="E85" s="24" t="s">
        <v>448</v>
      </c>
      <c r="F85" s="23" t="s">
        <v>424</v>
      </c>
      <c r="G85" s="47" t="s">
        <v>158</v>
      </c>
      <c r="H85" s="24" t="s">
        <v>531</v>
      </c>
      <c r="I85" s="23">
        <v>10</v>
      </c>
      <c r="J85" s="24" t="s">
        <v>3</v>
      </c>
      <c r="K85" s="103">
        <v>33738</v>
      </c>
      <c r="L85" s="25">
        <f t="shared" si="8"/>
        <v>337380</v>
      </c>
      <c r="M85" s="133">
        <v>0.40052083333333333</v>
      </c>
      <c r="N85" s="139">
        <f t="shared" si="6"/>
        <v>13512.771875</v>
      </c>
      <c r="O85" s="133">
        <v>79.715000000000003</v>
      </c>
      <c r="P85" s="139">
        <f t="shared" si="7"/>
        <v>2689424.67</v>
      </c>
      <c r="S85" s="106"/>
      <c r="T85" s="23"/>
      <c r="U85" s="106"/>
      <c r="W85" s="23"/>
      <c r="X85" s="47"/>
      <c r="Z85" s="23"/>
      <c r="AB85" s="103"/>
      <c r="AC85" s="25"/>
      <c r="AD85" s="173"/>
      <c r="AE85" s="133"/>
      <c r="AF85" s="139"/>
      <c r="AG85" s="133"/>
      <c r="AH85" s="139"/>
      <c r="AI85" s="133"/>
      <c r="AJ85" s="23"/>
    </row>
    <row r="86" spans="2:36" x14ac:dyDescent="0.2">
      <c r="B86" s="23">
        <v>80</v>
      </c>
      <c r="C86" s="23" t="s">
        <v>406</v>
      </c>
      <c r="D86" s="106">
        <v>5001171</v>
      </c>
      <c r="E86" s="24" t="s">
        <v>224</v>
      </c>
      <c r="F86" s="23" t="s">
        <v>424</v>
      </c>
      <c r="G86" s="47" t="s">
        <v>158</v>
      </c>
      <c r="H86" s="24" t="s">
        <v>532</v>
      </c>
      <c r="I86" s="23">
        <v>10</v>
      </c>
      <c r="J86" s="24" t="s">
        <v>3</v>
      </c>
      <c r="K86" s="103">
        <v>76542</v>
      </c>
      <c r="L86" s="25">
        <f t="shared" si="8"/>
        <v>765420</v>
      </c>
      <c r="M86" s="133">
        <v>0.16</v>
      </c>
      <c r="N86" s="139">
        <f t="shared" si="6"/>
        <v>12246.720000000001</v>
      </c>
      <c r="O86" s="133">
        <v>17.334456349206352</v>
      </c>
      <c r="P86" s="139">
        <f t="shared" si="7"/>
        <v>1326813.9578809526</v>
      </c>
      <c r="S86" s="106"/>
      <c r="T86" s="23"/>
      <c r="U86" s="106"/>
      <c r="W86" s="23"/>
      <c r="X86" s="47"/>
      <c r="Z86" s="23"/>
      <c r="AB86" s="103"/>
      <c r="AC86" s="25"/>
      <c r="AD86" s="173"/>
      <c r="AE86" s="133"/>
      <c r="AF86" s="139"/>
      <c r="AG86" s="133"/>
      <c r="AH86" s="139"/>
      <c r="AI86" s="133"/>
      <c r="AJ86" s="23"/>
    </row>
    <row r="87" spans="2:36" x14ac:dyDescent="0.2">
      <c r="B87" s="23">
        <v>81</v>
      </c>
      <c r="C87" s="23" t="s">
        <v>406</v>
      </c>
      <c r="D87" s="106">
        <v>5001321</v>
      </c>
      <c r="E87" s="24" t="s">
        <v>408</v>
      </c>
      <c r="F87" s="23" t="s">
        <v>424</v>
      </c>
      <c r="G87" s="47" t="s">
        <v>158</v>
      </c>
      <c r="H87" s="24" t="s">
        <v>534</v>
      </c>
      <c r="I87" s="23">
        <v>24</v>
      </c>
      <c r="J87" s="24" t="s">
        <v>3</v>
      </c>
      <c r="K87" s="103">
        <v>143316</v>
      </c>
      <c r="L87" s="25">
        <f t="shared" ref="L87:L118" si="9">K87*I87</f>
        <v>3439584</v>
      </c>
      <c r="M87" s="133">
        <v>0.67400000000000004</v>
      </c>
      <c r="N87" s="139">
        <f t="shared" ref="N87:N123" si="10">+K87*M87</f>
        <v>96594.984000000011</v>
      </c>
      <c r="O87" s="133">
        <v>44.364199924127469</v>
      </c>
      <c r="P87" s="139">
        <f t="shared" ref="P87:P123" si="11">+K87*O87</f>
        <v>6358099.6763262525</v>
      </c>
      <c r="S87" s="106"/>
      <c r="T87" s="23"/>
      <c r="U87" s="106"/>
      <c r="W87" s="23"/>
      <c r="X87" s="47"/>
      <c r="Z87" s="23"/>
      <c r="AB87" s="103"/>
      <c r="AC87" s="25"/>
      <c r="AD87" s="173"/>
      <c r="AE87" s="133"/>
      <c r="AF87" s="139"/>
      <c r="AG87" s="133"/>
      <c r="AH87" s="139"/>
      <c r="AI87" s="133"/>
      <c r="AJ87" s="23"/>
    </row>
    <row r="88" spans="2:36" x14ac:dyDescent="0.2">
      <c r="B88" s="23">
        <v>82</v>
      </c>
      <c r="C88" s="23" t="s">
        <v>406</v>
      </c>
      <c r="D88" s="106">
        <v>5001552</v>
      </c>
      <c r="E88" s="24" t="s">
        <v>330</v>
      </c>
      <c r="F88" s="23" t="s">
        <v>426</v>
      </c>
      <c r="G88" s="47" t="s">
        <v>158</v>
      </c>
      <c r="H88" s="24" t="s">
        <v>535</v>
      </c>
      <c r="I88" s="23">
        <v>30</v>
      </c>
      <c r="J88" s="24" t="s">
        <v>7</v>
      </c>
      <c r="K88" s="103">
        <v>36220</v>
      </c>
      <c r="L88" s="25">
        <f t="shared" si="9"/>
        <v>1086600</v>
      </c>
      <c r="M88" s="133">
        <v>1.3169791666666666</v>
      </c>
      <c r="N88" s="139">
        <f t="shared" si="10"/>
        <v>47700.985416666663</v>
      </c>
      <c r="O88" s="133">
        <v>60.67799988903684</v>
      </c>
      <c r="P88" s="139">
        <f t="shared" si="11"/>
        <v>2197757.1559809144</v>
      </c>
      <c r="S88" s="106"/>
      <c r="T88" s="23"/>
      <c r="U88" s="106"/>
      <c r="W88" s="23"/>
      <c r="X88" s="47"/>
      <c r="Z88" s="23"/>
      <c r="AB88" s="103"/>
      <c r="AC88" s="25"/>
      <c r="AD88" s="173"/>
      <c r="AE88" s="133"/>
      <c r="AF88" s="139"/>
      <c r="AG88" s="133"/>
      <c r="AH88" s="139"/>
      <c r="AI88" s="133"/>
      <c r="AJ88" s="23"/>
    </row>
    <row r="89" spans="2:36" x14ac:dyDescent="0.2">
      <c r="B89" s="23">
        <v>83</v>
      </c>
      <c r="C89" s="23" t="s">
        <v>406</v>
      </c>
      <c r="D89" s="106">
        <v>5000944</v>
      </c>
      <c r="E89" s="24" t="s">
        <v>329</v>
      </c>
      <c r="F89" s="23" t="s">
        <v>424</v>
      </c>
      <c r="G89" s="47" t="s">
        <v>158</v>
      </c>
      <c r="H89" s="24" t="s">
        <v>538</v>
      </c>
      <c r="I89" s="23">
        <v>10</v>
      </c>
      <c r="J89" s="24" t="s">
        <v>3</v>
      </c>
      <c r="K89" s="103">
        <v>59142</v>
      </c>
      <c r="L89" s="25">
        <f t="shared" si="9"/>
        <v>591420</v>
      </c>
      <c r="M89" s="133">
        <v>0.34177083333333336</v>
      </c>
      <c r="N89" s="139">
        <f t="shared" si="10"/>
        <v>20213.010625000003</v>
      </c>
      <c r="O89" s="133">
        <v>87.746463104976129</v>
      </c>
      <c r="P89" s="139">
        <f t="shared" si="11"/>
        <v>5189501.3209544979</v>
      </c>
      <c r="S89" s="106"/>
      <c r="T89" s="23"/>
      <c r="U89" s="106"/>
      <c r="W89" s="23"/>
      <c r="X89" s="47"/>
      <c r="Z89" s="23"/>
      <c r="AB89" s="103"/>
      <c r="AC89" s="25"/>
      <c r="AD89" s="173"/>
      <c r="AE89" s="133"/>
      <c r="AF89" s="139"/>
      <c r="AG89" s="133"/>
      <c r="AH89" s="139"/>
      <c r="AI89" s="133"/>
      <c r="AJ89" s="23"/>
    </row>
    <row r="90" spans="2:36" x14ac:dyDescent="0.2">
      <c r="B90" s="23">
        <v>84</v>
      </c>
      <c r="C90" s="23" t="s">
        <v>406</v>
      </c>
      <c r="D90" s="106">
        <v>5004271</v>
      </c>
      <c r="E90" s="24" t="s">
        <v>448</v>
      </c>
      <c r="F90" s="23" t="s">
        <v>424</v>
      </c>
      <c r="G90" s="47" t="s">
        <v>158</v>
      </c>
      <c r="H90" s="24" t="s">
        <v>539</v>
      </c>
      <c r="I90" s="23">
        <v>10</v>
      </c>
      <c r="J90" s="24" t="s">
        <v>3</v>
      </c>
      <c r="K90" s="103">
        <v>33702</v>
      </c>
      <c r="L90" s="25">
        <f t="shared" si="9"/>
        <v>337020</v>
      </c>
      <c r="M90" s="133">
        <v>0.40052083333333333</v>
      </c>
      <c r="N90" s="139">
        <f t="shared" si="10"/>
        <v>13498.353125</v>
      </c>
      <c r="O90" s="133">
        <v>79.715000000000003</v>
      </c>
      <c r="P90" s="139">
        <f t="shared" si="11"/>
        <v>2686554.93</v>
      </c>
      <c r="S90" s="106"/>
      <c r="T90" s="23"/>
      <c r="U90" s="106"/>
      <c r="W90" s="23"/>
      <c r="X90" s="47"/>
      <c r="Z90" s="23"/>
      <c r="AB90" s="103"/>
      <c r="AC90" s="25"/>
      <c r="AD90" s="173"/>
      <c r="AE90" s="133"/>
      <c r="AF90" s="139"/>
      <c r="AG90" s="133"/>
      <c r="AH90" s="139"/>
      <c r="AI90" s="133"/>
      <c r="AJ90" s="23"/>
    </row>
    <row r="91" spans="2:36" x14ac:dyDescent="0.2">
      <c r="B91" s="23">
        <v>85</v>
      </c>
      <c r="C91" s="23" t="s">
        <v>406</v>
      </c>
      <c r="D91" s="106">
        <v>5000944</v>
      </c>
      <c r="E91" s="24" t="s">
        <v>329</v>
      </c>
      <c r="F91" s="23" t="s">
        <v>424</v>
      </c>
      <c r="G91" s="47" t="s">
        <v>158</v>
      </c>
      <c r="H91" s="24" t="s">
        <v>540</v>
      </c>
      <c r="I91" s="23">
        <v>10</v>
      </c>
      <c r="J91" s="24" t="s">
        <v>3</v>
      </c>
      <c r="K91" s="103">
        <v>58788</v>
      </c>
      <c r="L91" s="25">
        <f t="shared" si="9"/>
        <v>587880</v>
      </c>
      <c r="M91" s="133">
        <v>0.34177083333333336</v>
      </c>
      <c r="N91" s="139">
        <f t="shared" si="10"/>
        <v>20092.02375</v>
      </c>
      <c r="O91" s="133">
        <v>87.746463104976129</v>
      </c>
      <c r="P91" s="139">
        <f t="shared" si="11"/>
        <v>5158439.0730153369</v>
      </c>
      <c r="S91" s="106"/>
      <c r="T91" s="23"/>
      <c r="U91" s="106"/>
      <c r="W91" s="23"/>
      <c r="X91" s="47"/>
      <c r="Z91" s="23"/>
      <c r="AB91" s="103"/>
      <c r="AC91" s="25"/>
      <c r="AD91" s="173"/>
      <c r="AE91" s="133"/>
      <c r="AF91" s="139"/>
      <c r="AG91" s="133"/>
      <c r="AH91" s="139"/>
      <c r="AI91" s="133"/>
      <c r="AJ91" s="23"/>
    </row>
    <row r="92" spans="2:36" x14ac:dyDescent="0.2">
      <c r="B92" s="23">
        <v>86</v>
      </c>
      <c r="C92" s="23" t="s">
        <v>406</v>
      </c>
      <c r="D92" s="106">
        <v>5001267</v>
      </c>
      <c r="E92" s="24" t="s">
        <v>417</v>
      </c>
      <c r="F92" s="23" t="s">
        <v>426</v>
      </c>
      <c r="G92" s="47" t="s">
        <v>158</v>
      </c>
      <c r="H92" s="24" t="s">
        <v>541</v>
      </c>
      <c r="I92" s="23">
        <v>90</v>
      </c>
      <c r="J92" s="24" t="s">
        <v>7</v>
      </c>
      <c r="K92" s="103">
        <v>1281</v>
      </c>
      <c r="L92" s="25">
        <f t="shared" si="9"/>
        <v>115290</v>
      </c>
      <c r="M92" s="133">
        <v>2.5342708333333333</v>
      </c>
      <c r="N92" s="139">
        <f t="shared" si="10"/>
        <v>3246.4009375000001</v>
      </c>
      <c r="O92" s="133">
        <v>500.59349537037042</v>
      </c>
      <c r="P92" s="139">
        <f t="shared" si="11"/>
        <v>641260.26756944449</v>
      </c>
      <c r="S92" s="106"/>
      <c r="T92" s="23"/>
      <c r="U92" s="106"/>
      <c r="W92" s="23"/>
      <c r="X92" s="47"/>
      <c r="Z92" s="23"/>
      <c r="AB92" s="103"/>
      <c r="AC92" s="25"/>
      <c r="AD92" s="173"/>
      <c r="AE92" s="133"/>
      <c r="AF92" s="139"/>
      <c r="AG92" s="133"/>
      <c r="AH92" s="139"/>
      <c r="AI92" s="133"/>
      <c r="AJ92" s="23"/>
    </row>
    <row r="93" spans="2:36" x14ac:dyDescent="0.2">
      <c r="B93" s="23">
        <v>87</v>
      </c>
      <c r="C93" s="23" t="s">
        <v>406</v>
      </c>
      <c r="D93" s="106">
        <v>5001321</v>
      </c>
      <c r="E93" s="24" t="s">
        <v>408</v>
      </c>
      <c r="F93" s="23" t="s">
        <v>424</v>
      </c>
      <c r="G93" s="47" t="s">
        <v>158</v>
      </c>
      <c r="H93" s="24" t="s">
        <v>542</v>
      </c>
      <c r="I93" s="23">
        <v>24</v>
      </c>
      <c r="J93" s="24" t="s">
        <v>3</v>
      </c>
      <c r="K93" s="103">
        <v>142236</v>
      </c>
      <c r="L93" s="25">
        <f t="shared" si="9"/>
        <v>3413664</v>
      </c>
      <c r="M93" s="133">
        <v>0.67400000000000004</v>
      </c>
      <c r="N93" s="139">
        <f t="shared" si="10"/>
        <v>95867.064000000013</v>
      </c>
      <c r="O93" s="133">
        <v>44.364199924127469</v>
      </c>
      <c r="P93" s="139">
        <f t="shared" si="11"/>
        <v>6310186.3404081948</v>
      </c>
      <c r="S93" s="106"/>
      <c r="T93" s="23"/>
      <c r="U93" s="106"/>
      <c r="W93" s="23"/>
      <c r="X93" s="47"/>
      <c r="Z93" s="23"/>
      <c r="AB93" s="103"/>
      <c r="AC93" s="25"/>
      <c r="AD93" s="173"/>
      <c r="AE93" s="133"/>
      <c r="AF93" s="139"/>
      <c r="AG93" s="133"/>
      <c r="AH93" s="139"/>
      <c r="AI93" s="133"/>
      <c r="AJ93" s="23"/>
    </row>
    <row r="94" spans="2:36" x14ac:dyDescent="0.2">
      <c r="B94" s="23">
        <v>88</v>
      </c>
      <c r="C94" s="23" t="s">
        <v>406</v>
      </c>
      <c r="D94" s="106">
        <v>5001333</v>
      </c>
      <c r="E94" s="24" t="s">
        <v>410</v>
      </c>
      <c r="F94" s="23" t="s">
        <v>424</v>
      </c>
      <c r="G94" s="47" t="s">
        <v>158</v>
      </c>
      <c r="H94" s="24" t="s">
        <v>420</v>
      </c>
      <c r="I94" s="23">
        <v>6</v>
      </c>
      <c r="J94" s="24" t="s">
        <v>3</v>
      </c>
      <c r="K94" s="103">
        <v>282091</v>
      </c>
      <c r="L94" s="25">
        <f t="shared" si="9"/>
        <v>1692546</v>
      </c>
      <c r="M94" s="133">
        <v>0.28375510204081633</v>
      </c>
      <c r="N94" s="139">
        <f t="shared" si="10"/>
        <v>80044.760489795925</v>
      </c>
      <c r="O94" s="133">
        <v>40.058010181818183</v>
      </c>
      <c r="P94" s="139">
        <f t="shared" si="11"/>
        <v>11300004.150199274</v>
      </c>
      <c r="S94" s="106"/>
      <c r="T94" s="23"/>
      <c r="U94" s="106"/>
      <c r="W94" s="23"/>
      <c r="X94" s="47"/>
      <c r="Z94" s="23"/>
      <c r="AB94" s="103"/>
      <c r="AC94" s="25"/>
      <c r="AD94" s="173"/>
      <c r="AE94" s="133"/>
      <c r="AF94" s="139"/>
      <c r="AG94" s="133"/>
      <c r="AH94" s="139"/>
      <c r="AI94" s="133"/>
      <c r="AJ94" s="23"/>
    </row>
    <row r="95" spans="2:36" x14ac:dyDescent="0.2">
      <c r="B95" s="23">
        <v>89</v>
      </c>
      <c r="C95" s="23" t="s">
        <v>406</v>
      </c>
      <c r="D95" s="106">
        <v>5001070</v>
      </c>
      <c r="E95" s="24" t="s">
        <v>455</v>
      </c>
      <c r="F95" s="23" t="s">
        <v>424</v>
      </c>
      <c r="G95" s="47" t="s">
        <v>158</v>
      </c>
      <c r="H95" s="24" t="s">
        <v>418</v>
      </c>
      <c r="I95" s="23">
        <v>10</v>
      </c>
      <c r="J95" s="24" t="s">
        <v>65</v>
      </c>
      <c r="K95" s="103">
        <v>112040</v>
      </c>
      <c r="L95" s="25">
        <f t="shared" si="9"/>
        <v>1120400</v>
      </c>
      <c r="M95" s="133">
        <v>0.28375510204081633</v>
      </c>
      <c r="N95" s="139">
        <f t="shared" si="10"/>
        <v>31791.921632653062</v>
      </c>
      <c r="O95" s="133">
        <v>70.774999999999991</v>
      </c>
      <c r="P95" s="139">
        <f t="shared" si="11"/>
        <v>7929630.9999999991</v>
      </c>
      <c r="S95" s="106"/>
      <c r="T95" s="23"/>
      <c r="U95" s="106"/>
      <c r="W95" s="23"/>
      <c r="X95" s="47"/>
      <c r="Z95" s="23"/>
      <c r="AB95" s="103"/>
      <c r="AC95" s="25"/>
      <c r="AD95" s="173"/>
      <c r="AE95" s="133"/>
      <c r="AF95" s="139"/>
      <c r="AG95" s="133"/>
      <c r="AH95" s="139"/>
      <c r="AI95" s="133"/>
      <c r="AJ95" s="23"/>
    </row>
    <row r="96" spans="2:36" x14ac:dyDescent="0.2">
      <c r="B96" s="23">
        <v>90</v>
      </c>
      <c r="C96" s="23" t="s">
        <v>406</v>
      </c>
      <c r="D96" s="106">
        <v>5001372</v>
      </c>
      <c r="E96" s="24" t="s">
        <v>456</v>
      </c>
      <c r="F96" s="23" t="s">
        <v>424</v>
      </c>
      <c r="G96" s="47" t="s">
        <v>158</v>
      </c>
      <c r="H96" s="24" t="s">
        <v>543</v>
      </c>
      <c r="I96" s="23">
        <v>2</v>
      </c>
      <c r="J96" s="24" t="s">
        <v>3</v>
      </c>
      <c r="K96" s="103">
        <v>132125</v>
      </c>
      <c r="L96" s="25">
        <f t="shared" si="9"/>
        <v>264250</v>
      </c>
      <c r="M96" s="133">
        <v>0.22668749999999999</v>
      </c>
      <c r="N96" s="139">
        <f t="shared" si="10"/>
        <v>29951.0859375</v>
      </c>
      <c r="O96" s="133">
        <v>27.192499999999999</v>
      </c>
      <c r="P96" s="139">
        <f t="shared" si="11"/>
        <v>3592809.0625</v>
      </c>
      <c r="S96" s="106"/>
      <c r="T96" s="23"/>
      <c r="U96" s="106"/>
      <c r="W96" s="23"/>
      <c r="X96" s="47"/>
      <c r="Z96" s="23"/>
      <c r="AB96" s="103"/>
      <c r="AC96" s="25"/>
      <c r="AD96" s="173"/>
      <c r="AE96" s="133"/>
      <c r="AF96" s="139"/>
      <c r="AG96" s="133"/>
      <c r="AH96" s="139"/>
      <c r="AI96" s="133"/>
      <c r="AJ96" s="23"/>
    </row>
    <row r="97" spans="2:36" x14ac:dyDescent="0.2">
      <c r="B97" s="23">
        <v>91</v>
      </c>
      <c r="C97" s="23" t="s">
        <v>406</v>
      </c>
      <c r="D97" s="106">
        <v>5001635</v>
      </c>
      <c r="E97" s="24" t="s">
        <v>457</v>
      </c>
      <c r="F97" s="23" t="s">
        <v>424</v>
      </c>
      <c r="G97" s="47" t="s">
        <v>158</v>
      </c>
      <c r="H97" s="24" t="s">
        <v>544</v>
      </c>
      <c r="I97" s="23">
        <v>3</v>
      </c>
      <c r="J97" s="24" t="s">
        <v>3</v>
      </c>
      <c r="K97" s="103">
        <v>55417</v>
      </c>
      <c r="L97" s="25">
        <f t="shared" si="9"/>
        <v>166251</v>
      </c>
      <c r="M97" s="133">
        <v>0.1</v>
      </c>
      <c r="N97" s="139">
        <f t="shared" si="10"/>
        <v>5541.7000000000007</v>
      </c>
      <c r="O97" s="133">
        <v>121.39649999999999</v>
      </c>
      <c r="P97" s="139">
        <f t="shared" si="11"/>
        <v>6727429.840499999</v>
      </c>
      <c r="S97" s="106"/>
      <c r="T97" s="23"/>
      <c r="U97" s="106"/>
      <c r="W97" s="23"/>
      <c r="X97" s="47"/>
      <c r="Z97" s="23"/>
      <c r="AB97" s="103"/>
      <c r="AC97" s="25"/>
      <c r="AD97" s="173"/>
      <c r="AE97" s="133"/>
      <c r="AF97" s="139"/>
      <c r="AG97" s="133"/>
      <c r="AH97" s="139"/>
      <c r="AI97" s="133"/>
      <c r="AJ97" s="23"/>
    </row>
    <row r="98" spans="2:36" x14ac:dyDescent="0.2">
      <c r="B98" s="23">
        <v>92</v>
      </c>
      <c r="C98" s="23" t="s">
        <v>406</v>
      </c>
      <c r="D98" s="106">
        <v>5001321</v>
      </c>
      <c r="E98" s="24" t="s">
        <v>408</v>
      </c>
      <c r="F98" s="23" t="s">
        <v>424</v>
      </c>
      <c r="G98" s="47" t="s">
        <v>158</v>
      </c>
      <c r="H98" s="24" t="s">
        <v>546</v>
      </c>
      <c r="I98" s="23">
        <v>24</v>
      </c>
      <c r="J98" s="24" t="s">
        <v>3</v>
      </c>
      <c r="K98" s="103">
        <v>142356</v>
      </c>
      <c r="L98" s="25">
        <f t="shared" si="9"/>
        <v>3416544</v>
      </c>
      <c r="M98" s="133">
        <v>0.67400000000000004</v>
      </c>
      <c r="N98" s="139">
        <f t="shared" si="10"/>
        <v>95947.944000000003</v>
      </c>
      <c r="O98" s="133">
        <v>44.364199924127469</v>
      </c>
      <c r="P98" s="139">
        <f t="shared" si="11"/>
        <v>6315510.0443990901</v>
      </c>
      <c r="S98" s="106"/>
      <c r="T98" s="23"/>
      <c r="U98" s="106"/>
      <c r="W98" s="23"/>
      <c r="X98" s="47"/>
      <c r="Z98" s="23"/>
      <c r="AB98" s="103"/>
      <c r="AC98" s="25"/>
      <c r="AD98" s="173"/>
      <c r="AE98" s="133"/>
      <c r="AF98" s="139"/>
      <c r="AG98" s="133"/>
      <c r="AH98" s="139"/>
      <c r="AI98" s="133"/>
      <c r="AJ98" s="23"/>
    </row>
    <row r="99" spans="2:36" x14ac:dyDescent="0.2">
      <c r="B99" s="23">
        <v>93</v>
      </c>
      <c r="C99" s="23" t="s">
        <v>406</v>
      </c>
      <c r="D99" s="106">
        <v>5001372</v>
      </c>
      <c r="E99" s="24" t="s">
        <v>456</v>
      </c>
      <c r="F99" s="23" t="s">
        <v>424</v>
      </c>
      <c r="G99" s="47" t="s">
        <v>158</v>
      </c>
      <c r="H99" s="24" t="s">
        <v>547</v>
      </c>
      <c r="I99" s="23">
        <v>2</v>
      </c>
      <c r="J99" s="24" t="s">
        <v>3</v>
      </c>
      <c r="K99" s="103">
        <v>221325</v>
      </c>
      <c r="L99" s="25">
        <f t="shared" si="9"/>
        <v>442650</v>
      </c>
      <c r="M99" s="133">
        <v>0.22668749999999999</v>
      </c>
      <c r="N99" s="139">
        <f t="shared" si="10"/>
        <v>50171.610937499994</v>
      </c>
      <c r="O99" s="133">
        <v>27.192499999999999</v>
      </c>
      <c r="P99" s="139">
        <f t="shared" si="11"/>
        <v>6018380.0625</v>
      </c>
      <c r="S99" s="106"/>
      <c r="T99" s="23"/>
      <c r="U99" s="106"/>
      <c r="W99" s="23"/>
      <c r="X99" s="47"/>
      <c r="Z99" s="23"/>
      <c r="AB99" s="103"/>
      <c r="AC99" s="25"/>
      <c r="AD99" s="173"/>
      <c r="AE99" s="133"/>
      <c r="AF99" s="139"/>
      <c r="AG99" s="133"/>
      <c r="AH99" s="139"/>
      <c r="AI99" s="133"/>
      <c r="AJ99" s="23"/>
    </row>
    <row r="100" spans="2:36" x14ac:dyDescent="0.2">
      <c r="B100" s="23">
        <v>94</v>
      </c>
      <c r="C100" s="23" t="s">
        <v>406</v>
      </c>
      <c r="D100" s="106">
        <v>5001551</v>
      </c>
      <c r="E100" s="24" t="s">
        <v>458</v>
      </c>
      <c r="F100" s="23" t="s">
        <v>426</v>
      </c>
      <c r="G100" s="47" t="s">
        <v>158</v>
      </c>
      <c r="H100" s="24" t="s">
        <v>548</v>
      </c>
      <c r="I100" s="23">
        <v>30</v>
      </c>
      <c r="J100" s="24" t="s">
        <v>7</v>
      </c>
      <c r="K100" s="103">
        <v>10965</v>
      </c>
      <c r="L100" s="25">
        <f t="shared" si="9"/>
        <v>328950</v>
      </c>
      <c r="M100" s="133">
        <v>1.3169791666666666</v>
      </c>
      <c r="N100" s="139">
        <f t="shared" si="10"/>
        <v>14440.676562499999</v>
      </c>
      <c r="O100" s="133">
        <v>45.508499999999998</v>
      </c>
      <c r="P100" s="139">
        <f t="shared" si="11"/>
        <v>499000.70249999996</v>
      </c>
      <c r="S100" s="106"/>
      <c r="T100" s="23"/>
      <c r="U100" s="106"/>
      <c r="W100" s="23"/>
      <c r="X100" s="47"/>
      <c r="Z100" s="23"/>
      <c r="AB100" s="103"/>
      <c r="AC100" s="25"/>
      <c r="AD100" s="173"/>
      <c r="AE100" s="133"/>
      <c r="AF100" s="139"/>
      <c r="AG100" s="133"/>
      <c r="AH100" s="139"/>
      <c r="AI100" s="133"/>
      <c r="AJ100" s="23"/>
    </row>
    <row r="101" spans="2:36" x14ac:dyDescent="0.2">
      <c r="B101" s="23">
        <v>95</v>
      </c>
      <c r="C101" s="23" t="s">
        <v>406</v>
      </c>
      <c r="D101" s="106">
        <v>5004111</v>
      </c>
      <c r="E101" s="24" t="s">
        <v>459</v>
      </c>
      <c r="F101" s="23" t="s">
        <v>424</v>
      </c>
      <c r="G101" s="47" t="s">
        <v>158</v>
      </c>
      <c r="H101" s="24" t="s">
        <v>549</v>
      </c>
      <c r="I101" s="23">
        <v>10</v>
      </c>
      <c r="J101" s="24" t="s">
        <v>3</v>
      </c>
      <c r="K101" s="103">
        <v>45030</v>
      </c>
      <c r="L101" s="25">
        <f t="shared" si="9"/>
        <v>450300</v>
      </c>
      <c r="M101" s="133">
        <v>0.40052083333333333</v>
      </c>
      <c r="N101" s="139">
        <f t="shared" si="10"/>
        <v>18035.453125</v>
      </c>
      <c r="O101" s="133">
        <v>99.613049945711168</v>
      </c>
      <c r="P101" s="139">
        <f t="shared" si="11"/>
        <v>4485575.6390553741</v>
      </c>
      <c r="S101" s="106"/>
      <c r="T101" s="23"/>
      <c r="U101" s="106"/>
      <c r="W101" s="23"/>
      <c r="X101" s="47"/>
      <c r="Z101" s="23"/>
      <c r="AB101" s="103"/>
      <c r="AC101" s="25"/>
      <c r="AD101" s="173"/>
      <c r="AE101" s="133"/>
      <c r="AF101" s="139"/>
      <c r="AG101" s="133"/>
      <c r="AH101" s="139"/>
      <c r="AI101" s="133"/>
      <c r="AJ101" s="23"/>
    </row>
    <row r="102" spans="2:36" x14ac:dyDescent="0.2">
      <c r="B102" s="23">
        <v>96</v>
      </c>
      <c r="C102" s="23" t="s">
        <v>406</v>
      </c>
      <c r="D102" s="106">
        <v>5001309</v>
      </c>
      <c r="E102" s="24" t="s">
        <v>460</v>
      </c>
      <c r="F102" s="23" t="s">
        <v>424</v>
      </c>
      <c r="G102" s="47" t="s">
        <v>158</v>
      </c>
      <c r="H102" s="24" t="s">
        <v>550</v>
      </c>
      <c r="I102" s="23">
        <v>6</v>
      </c>
      <c r="J102" s="24" t="s">
        <v>3</v>
      </c>
      <c r="K102" s="103">
        <v>24016</v>
      </c>
      <c r="L102" s="25">
        <f t="shared" si="9"/>
        <v>144096</v>
      </c>
      <c r="M102" s="133">
        <v>0.37741666666666668</v>
      </c>
      <c r="N102" s="139">
        <f t="shared" si="10"/>
        <v>9064.0386666666673</v>
      </c>
      <c r="O102" s="133">
        <v>68.568749720670397</v>
      </c>
      <c r="P102" s="139">
        <f t="shared" si="11"/>
        <v>1646747.0932916203</v>
      </c>
      <c r="S102" s="106"/>
      <c r="T102" s="23"/>
      <c r="U102" s="106"/>
      <c r="W102" s="23"/>
      <c r="X102" s="47"/>
      <c r="Z102" s="23"/>
      <c r="AB102" s="103"/>
      <c r="AC102" s="25"/>
      <c r="AD102" s="173"/>
      <c r="AE102" s="133"/>
      <c r="AF102" s="139"/>
      <c r="AG102" s="133"/>
      <c r="AH102" s="139"/>
      <c r="AI102" s="133"/>
      <c r="AJ102" s="23"/>
    </row>
    <row r="103" spans="2:36" x14ac:dyDescent="0.2">
      <c r="B103" s="23">
        <v>97</v>
      </c>
      <c r="C103" s="23" t="s">
        <v>406</v>
      </c>
      <c r="D103" s="106">
        <v>5001329</v>
      </c>
      <c r="E103" s="24" t="s">
        <v>461</v>
      </c>
      <c r="F103" s="23" t="s">
        <v>424</v>
      </c>
      <c r="G103" s="47" t="s">
        <v>158</v>
      </c>
      <c r="H103" s="24" t="s">
        <v>551</v>
      </c>
      <c r="I103" s="23">
        <v>12</v>
      </c>
      <c r="J103" s="24" t="s">
        <v>3</v>
      </c>
      <c r="K103" s="103">
        <v>98477</v>
      </c>
      <c r="L103" s="25">
        <f t="shared" si="9"/>
        <v>1181724</v>
      </c>
      <c r="M103" s="133">
        <v>0.3742448979591837</v>
      </c>
      <c r="N103" s="139">
        <f t="shared" si="10"/>
        <v>36854.514816326533</v>
      </c>
      <c r="O103" s="133">
        <v>41.912646605302491</v>
      </c>
      <c r="P103" s="139">
        <f t="shared" si="11"/>
        <v>4127431.6997503736</v>
      </c>
      <c r="S103" s="106"/>
      <c r="T103" s="23"/>
      <c r="U103" s="106"/>
      <c r="W103" s="23"/>
      <c r="X103" s="47"/>
      <c r="Z103" s="23"/>
      <c r="AB103" s="103"/>
      <c r="AC103" s="25"/>
      <c r="AD103" s="173"/>
      <c r="AE103" s="133"/>
      <c r="AF103" s="139"/>
      <c r="AG103" s="133"/>
      <c r="AH103" s="139"/>
      <c r="AI103" s="133"/>
      <c r="AJ103" s="23"/>
    </row>
    <row r="104" spans="2:36" x14ac:dyDescent="0.2">
      <c r="B104" s="23">
        <v>98</v>
      </c>
      <c r="C104" s="23" t="s">
        <v>406</v>
      </c>
      <c r="D104" s="106">
        <v>5002706</v>
      </c>
      <c r="E104" s="24" t="s">
        <v>413</v>
      </c>
      <c r="F104" s="23" t="s">
        <v>426</v>
      </c>
      <c r="G104" s="47" t="s">
        <v>158</v>
      </c>
      <c r="H104" s="24" t="s">
        <v>552</v>
      </c>
      <c r="I104" s="23">
        <v>100</v>
      </c>
      <c r="J104" s="24" t="s">
        <v>7</v>
      </c>
      <c r="K104" s="103">
        <v>10629</v>
      </c>
      <c r="L104" s="25">
        <f t="shared" si="9"/>
        <v>1062900</v>
      </c>
      <c r="M104" s="133">
        <v>2.6781250000000001</v>
      </c>
      <c r="N104" s="139">
        <f t="shared" si="10"/>
        <v>28465.790625000001</v>
      </c>
      <c r="O104" s="133">
        <v>356.21299847793</v>
      </c>
      <c r="P104" s="139">
        <f t="shared" si="11"/>
        <v>3786187.9608219177</v>
      </c>
      <c r="S104" s="106"/>
      <c r="T104" s="23"/>
      <c r="U104" s="106"/>
      <c r="W104" s="23"/>
      <c r="X104" s="47"/>
      <c r="Z104" s="23"/>
      <c r="AB104" s="103"/>
      <c r="AC104" s="25"/>
      <c r="AD104" s="173"/>
      <c r="AE104" s="133"/>
      <c r="AF104" s="139"/>
      <c r="AG104" s="133"/>
      <c r="AH104" s="139"/>
      <c r="AI104" s="133"/>
      <c r="AJ104" s="23"/>
    </row>
    <row r="105" spans="2:36" x14ac:dyDescent="0.2">
      <c r="B105" s="23">
        <v>99</v>
      </c>
      <c r="C105" s="23" t="s">
        <v>406</v>
      </c>
      <c r="D105" s="106">
        <v>5001309</v>
      </c>
      <c r="E105" s="24" t="s">
        <v>460</v>
      </c>
      <c r="F105" s="23" t="s">
        <v>424</v>
      </c>
      <c r="G105" s="47" t="s">
        <v>158</v>
      </c>
      <c r="H105" s="24" t="s">
        <v>553</v>
      </c>
      <c r="I105" s="23">
        <v>6</v>
      </c>
      <c r="J105" s="24" t="s">
        <v>3</v>
      </c>
      <c r="K105" s="103">
        <v>23786</v>
      </c>
      <c r="L105" s="25">
        <f t="shared" si="9"/>
        <v>142716</v>
      </c>
      <c r="M105" s="133">
        <v>0.37741666666666668</v>
      </c>
      <c r="N105" s="139">
        <f t="shared" si="10"/>
        <v>8977.2328333333335</v>
      </c>
      <c r="O105" s="133">
        <v>68.568749720670397</v>
      </c>
      <c r="P105" s="139">
        <f t="shared" si="11"/>
        <v>1630976.2808558661</v>
      </c>
      <c r="S105" s="106"/>
      <c r="T105" s="23"/>
      <c r="U105" s="106"/>
      <c r="W105" s="23"/>
      <c r="X105" s="47"/>
      <c r="Z105" s="23"/>
      <c r="AB105" s="103"/>
      <c r="AC105" s="25"/>
      <c r="AD105" s="173"/>
      <c r="AE105" s="133"/>
      <c r="AF105" s="139"/>
      <c r="AG105" s="133"/>
      <c r="AH105" s="139"/>
      <c r="AI105" s="133"/>
      <c r="AJ105" s="23"/>
    </row>
    <row r="106" spans="2:36" x14ac:dyDescent="0.2">
      <c r="B106" s="23">
        <v>100</v>
      </c>
      <c r="C106" s="23" t="s">
        <v>406</v>
      </c>
      <c r="D106" s="106">
        <v>5001309</v>
      </c>
      <c r="E106" s="24" t="s">
        <v>460</v>
      </c>
      <c r="F106" s="23" t="s">
        <v>424</v>
      </c>
      <c r="G106" s="47" t="s">
        <v>158</v>
      </c>
      <c r="H106" s="24" t="s">
        <v>554</v>
      </c>
      <c r="I106" s="23">
        <v>6</v>
      </c>
      <c r="J106" s="24" t="s">
        <v>3</v>
      </c>
      <c r="K106" s="103">
        <v>23397</v>
      </c>
      <c r="L106" s="25">
        <f t="shared" si="9"/>
        <v>140382</v>
      </c>
      <c r="M106" s="133">
        <v>0.37741666666666668</v>
      </c>
      <c r="N106" s="139">
        <f t="shared" si="10"/>
        <v>8830.4177500000005</v>
      </c>
      <c r="O106" s="133">
        <v>68.568749720670397</v>
      </c>
      <c r="P106" s="139">
        <f t="shared" si="11"/>
        <v>1604303.0372145253</v>
      </c>
      <c r="S106" s="106"/>
      <c r="T106" s="23"/>
      <c r="U106" s="106"/>
      <c r="W106" s="23"/>
      <c r="X106" s="47"/>
      <c r="Z106" s="23"/>
      <c r="AB106" s="103"/>
      <c r="AC106" s="25"/>
      <c r="AD106" s="173"/>
      <c r="AE106" s="133"/>
      <c r="AF106" s="139"/>
      <c r="AG106" s="133"/>
      <c r="AH106" s="139"/>
      <c r="AI106" s="133"/>
      <c r="AJ106" s="23"/>
    </row>
    <row r="107" spans="2:36" x14ac:dyDescent="0.2">
      <c r="B107" s="23">
        <v>101</v>
      </c>
      <c r="C107" s="23" t="s">
        <v>406</v>
      </c>
      <c r="D107" s="106">
        <v>5001551</v>
      </c>
      <c r="E107" s="24" t="s">
        <v>458</v>
      </c>
      <c r="F107" s="23" t="s">
        <v>426</v>
      </c>
      <c r="G107" s="47" t="s">
        <v>158</v>
      </c>
      <c r="H107" s="24" t="s">
        <v>555</v>
      </c>
      <c r="I107" s="23">
        <v>30</v>
      </c>
      <c r="J107" s="24" t="s">
        <v>7</v>
      </c>
      <c r="K107" s="103">
        <v>12751</v>
      </c>
      <c r="L107" s="25">
        <f t="shared" si="9"/>
        <v>382530</v>
      </c>
      <c r="M107" s="133">
        <v>1.3169791666666666</v>
      </c>
      <c r="N107" s="139">
        <f t="shared" si="10"/>
        <v>16792.801354166666</v>
      </c>
      <c r="O107" s="133">
        <v>45.508499999999998</v>
      </c>
      <c r="P107" s="139">
        <f t="shared" si="11"/>
        <v>580278.8835</v>
      </c>
      <c r="S107" s="106"/>
      <c r="T107" s="23"/>
      <c r="U107" s="106"/>
      <c r="W107" s="23"/>
      <c r="X107" s="47"/>
      <c r="Z107" s="23"/>
      <c r="AB107" s="103"/>
      <c r="AC107" s="25"/>
      <c r="AD107" s="173"/>
      <c r="AE107" s="133"/>
      <c r="AF107" s="139"/>
      <c r="AG107" s="133"/>
      <c r="AH107" s="139"/>
      <c r="AI107" s="133"/>
      <c r="AJ107" s="23"/>
    </row>
    <row r="108" spans="2:36" x14ac:dyDescent="0.2">
      <c r="B108" s="23">
        <v>102</v>
      </c>
      <c r="C108" s="23" t="s">
        <v>406</v>
      </c>
      <c r="D108" s="106">
        <v>5002812</v>
      </c>
      <c r="E108" s="24" t="s">
        <v>462</v>
      </c>
      <c r="F108" s="23" t="s">
        <v>426</v>
      </c>
      <c r="G108" s="47" t="s">
        <v>158</v>
      </c>
      <c r="H108" s="24" t="s">
        <v>548</v>
      </c>
      <c r="I108" s="23">
        <v>500</v>
      </c>
      <c r="J108" s="24" t="s">
        <v>7</v>
      </c>
      <c r="K108" s="103">
        <v>116</v>
      </c>
      <c r="L108" s="25">
        <f t="shared" si="9"/>
        <v>58000</v>
      </c>
      <c r="M108" s="133">
        <v>9.578125</v>
      </c>
      <c r="N108" s="139">
        <f t="shared" si="10"/>
        <v>1111.0625</v>
      </c>
      <c r="O108" s="133">
        <v>715.19999999999993</v>
      </c>
      <c r="P108" s="139">
        <f t="shared" si="11"/>
        <v>82963.199999999997</v>
      </c>
      <c r="S108" s="106"/>
      <c r="T108" s="23"/>
      <c r="U108" s="106"/>
      <c r="W108" s="23"/>
      <c r="X108" s="47"/>
      <c r="Z108" s="23"/>
      <c r="AB108" s="103"/>
      <c r="AC108" s="25"/>
      <c r="AD108" s="173"/>
      <c r="AE108" s="133"/>
      <c r="AF108" s="139"/>
      <c r="AG108" s="133"/>
      <c r="AH108" s="139"/>
      <c r="AI108" s="133"/>
      <c r="AJ108" s="23"/>
    </row>
    <row r="109" spans="2:36" x14ac:dyDescent="0.2">
      <c r="B109" s="23">
        <v>103</v>
      </c>
      <c r="C109" s="23" t="s">
        <v>406</v>
      </c>
      <c r="D109" s="106">
        <v>5004111</v>
      </c>
      <c r="E109" s="24" t="s">
        <v>459</v>
      </c>
      <c r="F109" s="23" t="s">
        <v>424</v>
      </c>
      <c r="G109" s="47" t="s">
        <v>158</v>
      </c>
      <c r="H109" s="24" t="s">
        <v>556</v>
      </c>
      <c r="I109" s="23">
        <v>10</v>
      </c>
      <c r="J109" s="24" t="s">
        <v>3</v>
      </c>
      <c r="K109" s="103">
        <v>46257</v>
      </c>
      <c r="L109" s="25">
        <f t="shared" si="9"/>
        <v>462570</v>
      </c>
      <c r="M109" s="133">
        <v>0.40052083333333333</v>
      </c>
      <c r="N109" s="139">
        <f t="shared" si="10"/>
        <v>18526.892187500001</v>
      </c>
      <c r="O109" s="133">
        <v>99.613049945711168</v>
      </c>
      <c r="P109" s="139">
        <f t="shared" si="11"/>
        <v>4607800.8513387619</v>
      </c>
      <c r="S109" s="106"/>
      <c r="T109" s="23"/>
      <c r="U109" s="106"/>
      <c r="W109" s="23"/>
      <c r="X109" s="47"/>
      <c r="Z109" s="23"/>
      <c r="AB109" s="103"/>
      <c r="AC109" s="25"/>
      <c r="AD109" s="173"/>
      <c r="AE109" s="133"/>
      <c r="AF109" s="139"/>
      <c r="AG109" s="133"/>
      <c r="AH109" s="139"/>
      <c r="AI109" s="133"/>
      <c r="AJ109" s="23"/>
    </row>
    <row r="110" spans="2:36" x14ac:dyDescent="0.2">
      <c r="B110" s="23">
        <v>104</v>
      </c>
      <c r="C110" s="23" t="s">
        <v>406</v>
      </c>
      <c r="D110" s="106">
        <v>5001328</v>
      </c>
      <c r="E110" s="24" t="s">
        <v>409</v>
      </c>
      <c r="F110" s="23" t="s">
        <v>424</v>
      </c>
      <c r="G110" s="47" t="s">
        <v>158</v>
      </c>
      <c r="H110" s="24" t="s">
        <v>551</v>
      </c>
      <c r="I110" s="23">
        <v>6</v>
      </c>
      <c r="J110" s="24" t="s">
        <v>3</v>
      </c>
      <c r="K110" s="103">
        <v>131416</v>
      </c>
      <c r="L110" s="25">
        <f t="shared" si="9"/>
        <v>788496</v>
      </c>
      <c r="M110" s="133">
        <v>0.30763265306122445</v>
      </c>
      <c r="N110" s="139">
        <f t="shared" si="10"/>
        <v>40427.852734693872</v>
      </c>
      <c r="O110" s="133">
        <v>25.870666666666668</v>
      </c>
      <c r="P110" s="139">
        <f t="shared" si="11"/>
        <v>3399819.530666667</v>
      </c>
      <c r="S110" s="106"/>
      <c r="T110" s="23"/>
      <c r="U110" s="106"/>
      <c r="W110" s="23"/>
      <c r="X110" s="47"/>
      <c r="Z110" s="23"/>
      <c r="AB110" s="103"/>
      <c r="AC110" s="25"/>
      <c r="AD110" s="173"/>
      <c r="AE110" s="133"/>
      <c r="AF110" s="139"/>
      <c r="AG110" s="133"/>
      <c r="AH110" s="139"/>
      <c r="AI110" s="133"/>
      <c r="AJ110" s="23"/>
    </row>
    <row r="111" spans="2:36" x14ac:dyDescent="0.2">
      <c r="B111" s="23">
        <v>105</v>
      </c>
      <c r="C111" s="23" t="s">
        <v>406</v>
      </c>
      <c r="D111" s="106">
        <v>5001352</v>
      </c>
      <c r="E111" s="24" t="s">
        <v>211</v>
      </c>
      <c r="F111" s="23" t="s">
        <v>424</v>
      </c>
      <c r="G111" s="47" t="s">
        <v>158</v>
      </c>
      <c r="H111" s="24" t="s">
        <v>419</v>
      </c>
      <c r="I111" s="23">
        <v>24</v>
      </c>
      <c r="J111" s="24" t="s">
        <v>3</v>
      </c>
      <c r="K111" s="103">
        <v>33714</v>
      </c>
      <c r="L111" s="25">
        <f t="shared" si="9"/>
        <v>809136</v>
      </c>
      <c r="M111" s="133">
        <v>0.50685714285714278</v>
      </c>
      <c r="N111" s="139">
        <f t="shared" si="10"/>
        <v>17088.181714285711</v>
      </c>
      <c r="O111" s="133">
        <v>44.075208333333329</v>
      </c>
      <c r="P111" s="139">
        <f t="shared" si="11"/>
        <v>1485951.5737499997</v>
      </c>
      <c r="S111" s="106"/>
      <c r="T111" s="23"/>
      <c r="U111" s="106"/>
      <c r="W111" s="23"/>
      <c r="X111" s="47"/>
      <c r="Z111" s="23"/>
      <c r="AB111" s="103"/>
      <c r="AC111" s="25"/>
      <c r="AD111" s="173"/>
      <c r="AE111" s="133"/>
      <c r="AF111" s="139"/>
      <c r="AG111" s="133"/>
      <c r="AH111" s="139"/>
      <c r="AI111" s="133"/>
      <c r="AJ111" s="23"/>
    </row>
    <row r="112" spans="2:36" x14ac:dyDescent="0.2">
      <c r="B112" s="23">
        <v>106</v>
      </c>
      <c r="C112" s="23" t="s">
        <v>406</v>
      </c>
      <c r="D112" s="106">
        <v>5001372</v>
      </c>
      <c r="E112" s="24" t="s">
        <v>456</v>
      </c>
      <c r="F112" s="23" t="s">
        <v>424</v>
      </c>
      <c r="G112" s="47" t="s">
        <v>158</v>
      </c>
      <c r="H112" s="24" t="s">
        <v>557</v>
      </c>
      <c r="I112" s="23">
        <v>2</v>
      </c>
      <c r="J112" s="24" t="s">
        <v>3</v>
      </c>
      <c r="K112" s="103">
        <v>199617</v>
      </c>
      <c r="L112" s="25">
        <f t="shared" si="9"/>
        <v>399234</v>
      </c>
      <c r="M112" s="133">
        <v>0.22668749999999999</v>
      </c>
      <c r="N112" s="139">
        <f t="shared" si="10"/>
        <v>45250.678687499996</v>
      </c>
      <c r="O112" s="133">
        <v>27.192499999999999</v>
      </c>
      <c r="P112" s="139">
        <f t="shared" si="11"/>
        <v>5428085.2725</v>
      </c>
      <c r="S112" s="106"/>
      <c r="T112" s="23"/>
      <c r="U112" s="106"/>
      <c r="W112" s="23"/>
      <c r="X112" s="47"/>
      <c r="Z112" s="23"/>
      <c r="AB112" s="103"/>
      <c r="AC112" s="25"/>
      <c r="AD112" s="173"/>
      <c r="AE112" s="133"/>
      <c r="AF112" s="139"/>
      <c r="AG112" s="133"/>
      <c r="AH112" s="139"/>
      <c r="AI112" s="133"/>
      <c r="AJ112" s="23"/>
    </row>
    <row r="113" spans="2:36" x14ac:dyDescent="0.2">
      <c r="B113" s="23">
        <v>107</v>
      </c>
      <c r="C113" s="23" t="s">
        <v>406</v>
      </c>
      <c r="D113" s="106">
        <v>5004111</v>
      </c>
      <c r="E113" s="24" t="s">
        <v>459</v>
      </c>
      <c r="F113" s="23" t="s">
        <v>424</v>
      </c>
      <c r="G113" s="47" t="s">
        <v>158</v>
      </c>
      <c r="H113" s="24" t="s">
        <v>559</v>
      </c>
      <c r="I113" s="23">
        <v>10</v>
      </c>
      <c r="J113" s="24" t="s">
        <v>3</v>
      </c>
      <c r="K113" s="103">
        <v>43179</v>
      </c>
      <c r="L113" s="25">
        <f t="shared" si="9"/>
        <v>431790</v>
      </c>
      <c r="M113" s="133">
        <v>0.40052083333333333</v>
      </c>
      <c r="N113" s="139">
        <f t="shared" si="10"/>
        <v>17294.089062499999</v>
      </c>
      <c r="O113" s="133">
        <v>99.613049945711168</v>
      </c>
      <c r="P113" s="139">
        <f t="shared" si="11"/>
        <v>4301191.883605863</v>
      </c>
      <c r="S113" s="106"/>
      <c r="T113" s="23"/>
      <c r="U113" s="106"/>
      <c r="W113" s="23"/>
      <c r="X113" s="47"/>
      <c r="Z113" s="23"/>
      <c r="AB113" s="103"/>
      <c r="AC113" s="25"/>
      <c r="AD113" s="173"/>
      <c r="AE113" s="133"/>
      <c r="AF113" s="139"/>
      <c r="AG113" s="133"/>
      <c r="AH113" s="139"/>
      <c r="AI113" s="133"/>
      <c r="AJ113" s="23"/>
    </row>
    <row r="114" spans="2:36" x14ac:dyDescent="0.2">
      <c r="B114" s="23">
        <v>108</v>
      </c>
      <c r="C114" s="23" t="s">
        <v>406</v>
      </c>
      <c r="D114" s="106">
        <v>5000318</v>
      </c>
      <c r="E114" s="24" t="s">
        <v>407</v>
      </c>
      <c r="F114" s="23" t="s">
        <v>424</v>
      </c>
      <c r="G114" s="47" t="s">
        <v>158</v>
      </c>
      <c r="H114" s="24" t="s">
        <v>560</v>
      </c>
      <c r="I114" s="23">
        <v>10</v>
      </c>
      <c r="J114" s="24" t="s">
        <v>3</v>
      </c>
      <c r="K114" s="103">
        <v>39057</v>
      </c>
      <c r="L114" s="25">
        <f t="shared" si="9"/>
        <v>390570</v>
      </c>
      <c r="M114" s="133">
        <v>0.3</v>
      </c>
      <c r="N114" s="139">
        <f t="shared" si="10"/>
        <v>11717.1</v>
      </c>
      <c r="O114" s="133">
        <v>91.023099941585699</v>
      </c>
      <c r="P114" s="139">
        <f t="shared" si="11"/>
        <v>3555089.2144185128</v>
      </c>
      <c r="S114" s="106"/>
      <c r="T114" s="23"/>
      <c r="U114" s="106"/>
      <c r="W114" s="23"/>
      <c r="X114" s="47"/>
      <c r="Z114" s="23"/>
      <c r="AB114" s="103"/>
      <c r="AC114" s="25"/>
      <c r="AD114" s="173"/>
      <c r="AE114" s="133"/>
      <c r="AF114" s="139"/>
      <c r="AG114" s="133"/>
      <c r="AH114" s="139"/>
      <c r="AI114" s="133"/>
      <c r="AJ114" s="23"/>
    </row>
    <row r="115" spans="2:36" x14ac:dyDescent="0.2">
      <c r="B115" s="23">
        <v>109</v>
      </c>
      <c r="C115" s="23" t="s">
        <v>406</v>
      </c>
      <c r="D115" s="106">
        <v>5001551</v>
      </c>
      <c r="E115" s="24" t="s">
        <v>458</v>
      </c>
      <c r="F115" s="23" t="s">
        <v>426</v>
      </c>
      <c r="G115" s="47" t="s">
        <v>158</v>
      </c>
      <c r="H115" s="24" t="s">
        <v>561</v>
      </c>
      <c r="I115" s="23">
        <v>30</v>
      </c>
      <c r="J115" s="24" t="s">
        <v>7</v>
      </c>
      <c r="K115" s="103">
        <v>12581</v>
      </c>
      <c r="L115" s="25">
        <f t="shared" si="9"/>
        <v>377430</v>
      </c>
      <c r="M115" s="133">
        <v>1.3169791666666666</v>
      </c>
      <c r="N115" s="139">
        <f t="shared" si="10"/>
        <v>16568.914895833332</v>
      </c>
      <c r="O115" s="133">
        <v>45.508499999999998</v>
      </c>
      <c r="P115" s="139">
        <f t="shared" si="11"/>
        <v>572542.43849999993</v>
      </c>
      <c r="S115" s="106"/>
      <c r="T115" s="23"/>
      <c r="U115" s="106"/>
      <c r="W115" s="23"/>
      <c r="X115" s="47"/>
      <c r="Z115" s="23"/>
      <c r="AB115" s="103"/>
      <c r="AC115" s="25"/>
      <c r="AD115" s="173"/>
      <c r="AE115" s="133"/>
      <c r="AF115" s="139"/>
      <c r="AG115" s="133"/>
      <c r="AH115" s="139"/>
      <c r="AI115" s="133"/>
      <c r="AJ115" s="23"/>
    </row>
    <row r="116" spans="2:36" x14ac:dyDescent="0.2">
      <c r="B116" s="23">
        <v>110</v>
      </c>
      <c r="C116" s="23" t="s">
        <v>406</v>
      </c>
      <c r="D116" s="106">
        <v>5000034</v>
      </c>
      <c r="E116" s="24" t="s">
        <v>464</v>
      </c>
      <c r="F116" s="23" t="s">
        <v>426</v>
      </c>
      <c r="G116" s="47" t="s">
        <v>158</v>
      </c>
      <c r="H116" s="24" t="s">
        <v>562</v>
      </c>
      <c r="I116" s="23">
        <v>500</v>
      </c>
      <c r="J116" s="24" t="s">
        <v>7</v>
      </c>
      <c r="K116" s="103">
        <v>487</v>
      </c>
      <c r="L116" s="25">
        <f t="shared" si="9"/>
        <v>243500</v>
      </c>
      <c r="M116" s="133">
        <v>7.5824175824175821</v>
      </c>
      <c r="N116" s="139">
        <f t="shared" si="10"/>
        <v>3692.6373626373625</v>
      </c>
      <c r="O116" s="133">
        <v>1050.45</v>
      </c>
      <c r="P116" s="139">
        <f t="shared" si="11"/>
        <v>511569.15</v>
      </c>
      <c r="S116" s="106"/>
      <c r="T116" s="23"/>
      <c r="U116" s="106"/>
      <c r="W116" s="23"/>
      <c r="X116" s="47"/>
      <c r="Z116" s="23"/>
      <c r="AB116" s="103"/>
      <c r="AC116" s="25"/>
      <c r="AD116" s="173"/>
      <c r="AE116" s="133"/>
      <c r="AF116" s="139"/>
      <c r="AG116" s="133"/>
      <c r="AH116" s="139"/>
      <c r="AI116" s="133"/>
      <c r="AJ116" s="23"/>
    </row>
    <row r="117" spans="2:36" x14ac:dyDescent="0.2">
      <c r="B117" s="23">
        <v>111</v>
      </c>
      <c r="C117" s="23" t="s">
        <v>406</v>
      </c>
      <c r="D117" s="106">
        <v>5000318</v>
      </c>
      <c r="E117" s="24" t="s">
        <v>407</v>
      </c>
      <c r="F117" s="23" t="s">
        <v>424</v>
      </c>
      <c r="G117" s="47" t="s">
        <v>158</v>
      </c>
      <c r="H117" s="24" t="s">
        <v>563</v>
      </c>
      <c r="I117" s="23">
        <v>10</v>
      </c>
      <c r="J117" s="24" t="s">
        <v>3</v>
      </c>
      <c r="K117" s="103">
        <v>37944</v>
      </c>
      <c r="L117" s="25">
        <f t="shared" si="9"/>
        <v>379440</v>
      </c>
      <c r="M117" s="133">
        <v>0.3</v>
      </c>
      <c r="N117" s="139">
        <f t="shared" si="10"/>
        <v>11383.199999999999</v>
      </c>
      <c r="O117" s="133">
        <v>91.023099941585699</v>
      </c>
      <c r="P117" s="139">
        <f t="shared" si="11"/>
        <v>3453780.5041835275</v>
      </c>
      <c r="S117" s="106"/>
      <c r="T117" s="23"/>
      <c r="U117" s="106"/>
      <c r="W117" s="23"/>
      <c r="X117" s="47"/>
      <c r="Z117" s="23"/>
      <c r="AB117" s="103"/>
      <c r="AC117" s="25"/>
      <c r="AD117" s="173"/>
      <c r="AE117" s="133"/>
      <c r="AF117" s="139"/>
      <c r="AG117" s="133"/>
      <c r="AH117" s="139"/>
      <c r="AI117" s="133"/>
      <c r="AJ117" s="23"/>
    </row>
    <row r="118" spans="2:36" x14ac:dyDescent="0.2">
      <c r="B118" s="23">
        <v>112</v>
      </c>
      <c r="C118" s="23" t="s">
        <v>406</v>
      </c>
      <c r="D118" s="106">
        <v>5001471</v>
      </c>
      <c r="E118" s="24" t="s">
        <v>465</v>
      </c>
      <c r="F118" s="23" t="s">
        <v>424</v>
      </c>
      <c r="G118" s="47" t="s">
        <v>158</v>
      </c>
      <c r="H118" s="24" t="s">
        <v>564</v>
      </c>
      <c r="I118" s="23">
        <v>10</v>
      </c>
      <c r="J118" s="24" t="s">
        <v>3</v>
      </c>
      <c r="K118" s="103">
        <v>11478</v>
      </c>
      <c r="L118" s="25">
        <f t="shared" si="9"/>
        <v>114780</v>
      </c>
      <c r="M118" s="133">
        <v>0.03</v>
      </c>
      <c r="N118" s="139">
        <f t="shared" si="10"/>
        <v>344.34</v>
      </c>
      <c r="O118" s="133">
        <v>55.875</v>
      </c>
      <c r="P118" s="139">
        <f t="shared" si="11"/>
        <v>641333.25</v>
      </c>
      <c r="S118" s="106"/>
      <c r="T118" s="23"/>
      <c r="U118" s="106"/>
      <c r="W118" s="23"/>
      <c r="X118" s="47"/>
      <c r="Z118" s="23"/>
      <c r="AB118" s="103"/>
      <c r="AC118" s="25"/>
      <c r="AD118" s="173"/>
      <c r="AE118" s="133"/>
      <c r="AF118" s="139"/>
      <c r="AG118" s="133"/>
      <c r="AH118" s="139"/>
      <c r="AI118" s="133"/>
      <c r="AJ118" s="23"/>
    </row>
    <row r="119" spans="2:36" x14ac:dyDescent="0.2">
      <c r="B119" s="23">
        <v>113</v>
      </c>
      <c r="C119" s="23" t="s">
        <v>406</v>
      </c>
      <c r="D119" s="106">
        <v>5001471</v>
      </c>
      <c r="E119" s="24" t="s">
        <v>465</v>
      </c>
      <c r="F119" s="23" t="s">
        <v>424</v>
      </c>
      <c r="G119" s="47" t="s">
        <v>158</v>
      </c>
      <c r="H119" s="24" t="s">
        <v>565</v>
      </c>
      <c r="I119" s="23">
        <v>10</v>
      </c>
      <c r="J119" s="24" t="s">
        <v>3</v>
      </c>
      <c r="K119" s="103">
        <v>11838</v>
      </c>
      <c r="L119" s="25">
        <f t="shared" ref="L119:L123" si="12">K119*I119</f>
        <v>118380</v>
      </c>
      <c r="M119" s="133">
        <v>0.03</v>
      </c>
      <c r="N119" s="139">
        <f t="shared" si="10"/>
        <v>355.14</v>
      </c>
      <c r="O119" s="133">
        <v>55.875</v>
      </c>
      <c r="P119" s="139">
        <f t="shared" si="11"/>
        <v>661448.25</v>
      </c>
      <c r="S119" s="106"/>
      <c r="T119" s="23"/>
      <c r="U119" s="106"/>
      <c r="W119" s="23"/>
      <c r="X119" s="47"/>
      <c r="Z119" s="23"/>
      <c r="AB119" s="103"/>
      <c r="AC119" s="25"/>
      <c r="AD119" s="173"/>
      <c r="AE119" s="133"/>
      <c r="AF119" s="139"/>
      <c r="AG119" s="133"/>
      <c r="AH119" s="139"/>
      <c r="AI119" s="133"/>
      <c r="AJ119" s="23"/>
    </row>
    <row r="120" spans="2:36" x14ac:dyDescent="0.2">
      <c r="B120" s="23">
        <v>114</v>
      </c>
      <c r="C120" s="23" t="s">
        <v>406</v>
      </c>
      <c r="D120" s="106">
        <v>5002185</v>
      </c>
      <c r="E120" s="24" t="s">
        <v>466</v>
      </c>
      <c r="F120" s="23" t="s">
        <v>426</v>
      </c>
      <c r="G120" s="47" t="s">
        <v>158</v>
      </c>
      <c r="H120" s="24" t="s">
        <v>421</v>
      </c>
      <c r="I120" s="23">
        <v>100</v>
      </c>
      <c r="J120" s="24" t="s">
        <v>7</v>
      </c>
      <c r="K120" s="103">
        <v>3403</v>
      </c>
      <c r="L120" s="25">
        <f t="shared" si="12"/>
        <v>340300</v>
      </c>
      <c r="M120" s="133">
        <v>2.1551020408163266</v>
      </c>
      <c r="N120" s="139">
        <f t="shared" si="10"/>
        <v>7333.8122448979593</v>
      </c>
      <c r="O120" s="133">
        <v>722.65</v>
      </c>
      <c r="P120" s="139">
        <f t="shared" si="11"/>
        <v>2459177.9499999997</v>
      </c>
      <c r="S120" s="106"/>
      <c r="T120" s="23"/>
      <c r="U120" s="106"/>
      <c r="W120" s="23"/>
      <c r="X120" s="47"/>
      <c r="Z120" s="23"/>
      <c r="AB120" s="103"/>
      <c r="AC120" s="25"/>
      <c r="AD120" s="173"/>
      <c r="AE120" s="133"/>
      <c r="AF120" s="139"/>
      <c r="AG120" s="133"/>
      <c r="AH120" s="139"/>
      <c r="AI120" s="133"/>
      <c r="AJ120" s="23"/>
    </row>
    <row r="121" spans="2:36" x14ac:dyDescent="0.2">
      <c r="B121" s="23">
        <v>115</v>
      </c>
      <c r="C121" s="23" t="s">
        <v>406</v>
      </c>
      <c r="D121" s="106">
        <v>5004020</v>
      </c>
      <c r="E121" s="24" t="s">
        <v>411</v>
      </c>
      <c r="F121" s="23" t="s">
        <v>426</v>
      </c>
      <c r="G121" s="47" t="s">
        <v>158</v>
      </c>
      <c r="H121" s="24" t="s">
        <v>566</v>
      </c>
      <c r="I121" s="23">
        <v>100</v>
      </c>
      <c r="J121" s="24" t="s">
        <v>7</v>
      </c>
      <c r="K121" s="103">
        <v>2816</v>
      </c>
      <c r="L121" s="25">
        <f t="shared" si="12"/>
        <v>281600</v>
      </c>
      <c r="M121" s="133">
        <v>4.1448979591836732</v>
      </c>
      <c r="N121" s="139">
        <f t="shared" si="10"/>
        <v>11672.032653061224</v>
      </c>
      <c r="O121" s="133">
        <v>1616.4469985569986</v>
      </c>
      <c r="P121" s="139">
        <f t="shared" si="11"/>
        <v>4551914.7479365077</v>
      </c>
      <c r="S121" s="106"/>
    </row>
    <row r="122" spans="2:36" x14ac:dyDescent="0.2">
      <c r="B122" s="23">
        <v>116</v>
      </c>
      <c r="C122" s="23" t="s">
        <v>406</v>
      </c>
      <c r="D122" s="106">
        <v>5004020</v>
      </c>
      <c r="E122" s="24" t="s">
        <v>411</v>
      </c>
      <c r="F122" s="23" t="s">
        <v>426</v>
      </c>
      <c r="G122" s="47" t="s">
        <v>158</v>
      </c>
      <c r="H122" s="24" t="s">
        <v>567</v>
      </c>
      <c r="I122" s="23">
        <v>100</v>
      </c>
      <c r="J122" s="24" t="s">
        <v>7</v>
      </c>
      <c r="K122" s="103">
        <v>2841</v>
      </c>
      <c r="L122" s="25">
        <f t="shared" si="12"/>
        <v>284100</v>
      </c>
      <c r="M122" s="133">
        <v>4.1448979591836732</v>
      </c>
      <c r="N122" s="139">
        <f t="shared" si="10"/>
        <v>11775.655102040815</v>
      </c>
      <c r="O122" s="133">
        <v>1616.4469985569986</v>
      </c>
      <c r="P122" s="139">
        <f t="shared" si="11"/>
        <v>4592325.9229004327</v>
      </c>
      <c r="S122" s="106"/>
    </row>
    <row r="123" spans="2:36" x14ac:dyDescent="0.2">
      <c r="B123" s="23">
        <v>117</v>
      </c>
      <c r="C123" s="23" t="s">
        <v>406</v>
      </c>
      <c r="D123" s="106">
        <v>5001471</v>
      </c>
      <c r="E123" s="24" t="s">
        <v>465</v>
      </c>
      <c r="F123" s="23" t="s">
        <v>424</v>
      </c>
      <c r="G123" s="47" t="s">
        <v>158</v>
      </c>
      <c r="H123" s="24" t="s">
        <v>569</v>
      </c>
      <c r="I123" s="23">
        <v>10</v>
      </c>
      <c r="J123" s="24" t="s">
        <v>3</v>
      </c>
      <c r="K123" s="103">
        <v>11655</v>
      </c>
      <c r="L123" s="25">
        <f t="shared" si="12"/>
        <v>116550</v>
      </c>
      <c r="M123" s="133">
        <v>0.03</v>
      </c>
      <c r="N123" s="139">
        <f t="shared" si="10"/>
        <v>349.65</v>
      </c>
      <c r="O123" s="133">
        <v>55.875</v>
      </c>
      <c r="P123" s="139">
        <f t="shared" si="11"/>
        <v>651223.125</v>
      </c>
    </row>
    <row r="124" spans="2:36" x14ac:dyDescent="0.2">
      <c r="B124" s="69"/>
      <c r="C124" s="69"/>
      <c r="D124" s="69"/>
      <c r="E124" s="70"/>
      <c r="F124" s="69"/>
      <c r="G124" s="70"/>
      <c r="H124" s="69"/>
      <c r="I124" s="69"/>
      <c r="J124" s="95"/>
      <c r="K124" s="72">
        <f>SUM(K23:K123)</f>
        <v>5645732</v>
      </c>
      <c r="L124" s="72">
        <f>SUM(L23:L123)</f>
        <v>85299575</v>
      </c>
      <c r="M124" s="135"/>
      <c r="N124" s="141">
        <f t="shared" ref="N124:P124" si="13">SUM(N23:N123)</f>
        <v>2783238.7644778411</v>
      </c>
      <c r="O124" s="135"/>
      <c r="P124" s="141">
        <f t="shared" si="13"/>
        <v>356769393.17521662</v>
      </c>
    </row>
    <row r="125" spans="2:36" x14ac:dyDescent="0.2">
      <c r="L125" s="24"/>
      <c r="M125" s="136"/>
      <c r="N125" s="142"/>
      <c r="O125" s="136"/>
      <c r="P125" s="142"/>
    </row>
    <row r="126" spans="2:36" x14ac:dyDescent="0.2">
      <c r="J126" s="67" t="s">
        <v>197</v>
      </c>
      <c r="K126" s="68">
        <f>K124+K22+K20</f>
        <v>6497169</v>
      </c>
      <c r="L126" s="68">
        <f>L124+L22+L20</f>
        <v>117663197</v>
      </c>
      <c r="M126" s="137"/>
      <c r="N126" s="143">
        <f t="shared" ref="N126:P126" si="14">N124+N22+N20</f>
        <v>5274972.3946648184</v>
      </c>
      <c r="O126" s="137"/>
      <c r="P126" s="143">
        <f t="shared" si="14"/>
        <v>412141311.98046523</v>
      </c>
    </row>
    <row r="127" spans="2:36" x14ac:dyDescent="0.2">
      <c r="L127" s="24"/>
      <c r="M127" s="136"/>
      <c r="N127" s="142"/>
      <c r="O127" s="136"/>
      <c r="P127" s="142"/>
    </row>
  </sheetData>
  <autoFilter ref="B4:P130"/>
  <sortState ref="B5:L123">
    <sortCondition ref="G5:G123"/>
  </sortState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15"/>
  <sheetViews>
    <sheetView workbookViewId="0">
      <selection activeCell="A15" sqref="A15"/>
    </sheetView>
  </sheetViews>
  <sheetFormatPr defaultRowHeight="12.75" x14ac:dyDescent="0.2"/>
  <cols>
    <col min="1" max="1" width="19.140625" customWidth="1"/>
  </cols>
  <sheetData>
    <row r="1" spans="1:1" x14ac:dyDescent="0.2">
      <c r="A1" s="29" t="s">
        <v>159</v>
      </c>
    </row>
    <row r="2" spans="1:1" x14ac:dyDescent="0.2">
      <c r="A2" s="47" t="s">
        <v>331</v>
      </c>
    </row>
    <row r="3" spans="1:1" x14ac:dyDescent="0.2">
      <c r="A3" s="47" t="s">
        <v>158</v>
      </c>
    </row>
    <row r="4" spans="1:1" x14ac:dyDescent="0.2">
      <c r="A4" s="44" t="s">
        <v>155</v>
      </c>
    </row>
    <row r="5" spans="1:1" x14ac:dyDescent="0.2">
      <c r="A5" s="100" t="s">
        <v>208</v>
      </c>
    </row>
    <row r="6" spans="1:1" x14ac:dyDescent="0.2">
      <c r="A6" s="101" t="s">
        <v>163</v>
      </c>
    </row>
    <row r="7" spans="1:1" x14ac:dyDescent="0.2">
      <c r="A7" s="34" t="s">
        <v>957</v>
      </c>
    </row>
    <row r="8" spans="1:1" x14ac:dyDescent="0.2">
      <c r="A8" s="100" t="s">
        <v>209</v>
      </c>
    </row>
    <row r="9" spans="1:1" x14ac:dyDescent="0.2">
      <c r="A9" s="34" t="s">
        <v>299</v>
      </c>
    </row>
    <row r="10" spans="1:1" x14ac:dyDescent="0.2">
      <c r="A10" s="29" t="s">
        <v>301</v>
      </c>
    </row>
    <row r="11" spans="1:1" x14ac:dyDescent="0.2">
      <c r="A11" s="29" t="s">
        <v>157</v>
      </c>
    </row>
    <row r="12" spans="1:1" x14ac:dyDescent="0.2">
      <c r="A12" s="100" t="s">
        <v>1384</v>
      </c>
    </row>
    <row r="13" spans="1:1" x14ac:dyDescent="0.2">
      <c r="A13" s="100" t="s">
        <v>162</v>
      </c>
    </row>
    <row r="14" spans="1:1" x14ac:dyDescent="0.2">
      <c r="A14" s="100" t="s">
        <v>164</v>
      </c>
    </row>
    <row r="15" spans="1:1" x14ac:dyDescent="0.2">
      <c r="A15" s="102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30"/>
  <sheetViews>
    <sheetView tabSelected="1" workbookViewId="0">
      <selection activeCell="E27" sqref="E27"/>
    </sheetView>
  </sheetViews>
  <sheetFormatPr defaultRowHeight="12.75" x14ac:dyDescent="0.2"/>
  <cols>
    <col min="1" max="1" width="10.140625" bestFit="1" customWidth="1"/>
    <col min="2" max="2" width="13.85546875" bestFit="1" customWidth="1"/>
  </cols>
  <sheetData>
    <row r="1" spans="1:2" x14ac:dyDescent="0.2">
      <c r="A1" s="177" t="s">
        <v>116</v>
      </c>
      <c r="B1" s="177" t="s">
        <v>117</v>
      </c>
    </row>
    <row r="2" spans="1:2" x14ac:dyDescent="0.2">
      <c r="A2" s="178" t="s">
        <v>406</v>
      </c>
      <c r="B2" s="181" t="s">
        <v>1480</v>
      </c>
    </row>
    <row r="3" spans="1:2" x14ac:dyDescent="0.2">
      <c r="A3" s="178" t="s">
        <v>389</v>
      </c>
      <c r="B3" s="181" t="s">
        <v>1511</v>
      </c>
    </row>
    <row r="4" spans="1:2" x14ac:dyDescent="0.2">
      <c r="A4" s="178" t="s">
        <v>386</v>
      </c>
      <c r="B4" s="181" t="s">
        <v>1512</v>
      </c>
    </row>
    <row r="5" spans="1:2" x14ac:dyDescent="0.2">
      <c r="A5" s="178" t="s">
        <v>958</v>
      </c>
      <c r="B5" s="181" t="s">
        <v>1513</v>
      </c>
    </row>
    <row r="6" spans="1:2" x14ac:dyDescent="0.2">
      <c r="A6" s="178" t="s">
        <v>1009</v>
      </c>
      <c r="B6" s="181" t="s">
        <v>1514</v>
      </c>
    </row>
    <row r="7" spans="1:2" x14ac:dyDescent="0.2">
      <c r="A7" s="179" t="s">
        <v>1510</v>
      </c>
      <c r="B7" s="181" t="s">
        <v>1515</v>
      </c>
    </row>
    <row r="8" spans="1:2" x14ac:dyDescent="0.2">
      <c r="A8" s="178" t="s">
        <v>1159</v>
      </c>
      <c r="B8" s="181" t="s">
        <v>206</v>
      </c>
    </row>
    <row r="9" spans="1:2" x14ac:dyDescent="0.2">
      <c r="A9" s="178" t="s">
        <v>1147</v>
      </c>
      <c r="B9" s="181" t="s">
        <v>206</v>
      </c>
    </row>
    <row r="10" spans="1:2" x14ac:dyDescent="0.2">
      <c r="A10" s="180" t="s">
        <v>1161</v>
      </c>
      <c r="B10" s="181" t="s">
        <v>206</v>
      </c>
    </row>
    <row r="11" spans="1:2" x14ac:dyDescent="0.2">
      <c r="A11" s="180" t="s">
        <v>1162</v>
      </c>
      <c r="B11" s="181" t="s">
        <v>206</v>
      </c>
    </row>
    <row r="12" spans="1:2" x14ac:dyDescent="0.2">
      <c r="A12" s="180" t="s">
        <v>1152</v>
      </c>
      <c r="B12" s="181" t="s">
        <v>206</v>
      </c>
    </row>
    <row r="13" spans="1:2" x14ac:dyDescent="0.2">
      <c r="A13" s="180" t="s">
        <v>1151</v>
      </c>
      <c r="B13" s="181" t="s">
        <v>206</v>
      </c>
    </row>
    <row r="14" spans="1:2" x14ac:dyDescent="0.2">
      <c r="A14" s="180" t="s">
        <v>1155</v>
      </c>
      <c r="B14" s="181" t="s">
        <v>206</v>
      </c>
    </row>
    <row r="15" spans="1:2" x14ac:dyDescent="0.2">
      <c r="A15" s="180" t="s">
        <v>1149</v>
      </c>
      <c r="B15" s="181" t="s">
        <v>206</v>
      </c>
    </row>
    <row r="16" spans="1:2" x14ac:dyDescent="0.2">
      <c r="A16" s="180" t="s">
        <v>1156</v>
      </c>
      <c r="B16" s="181" t="s">
        <v>206</v>
      </c>
    </row>
    <row r="17" spans="1:2" x14ac:dyDescent="0.2">
      <c r="A17" s="180" t="s">
        <v>1157</v>
      </c>
      <c r="B17" s="181" t="s">
        <v>206</v>
      </c>
    </row>
    <row r="18" spans="1:2" x14ac:dyDescent="0.2">
      <c r="A18" s="180" t="s">
        <v>1163</v>
      </c>
      <c r="B18" s="181" t="s">
        <v>206</v>
      </c>
    </row>
    <row r="19" spans="1:2" x14ac:dyDescent="0.2">
      <c r="A19" s="180" t="s">
        <v>1167</v>
      </c>
      <c r="B19" s="181" t="s">
        <v>206</v>
      </c>
    </row>
    <row r="20" spans="1:2" x14ac:dyDescent="0.2">
      <c r="A20" s="180" t="s">
        <v>1146</v>
      </c>
      <c r="B20" s="181" t="s">
        <v>206</v>
      </c>
    </row>
    <row r="21" spans="1:2" x14ac:dyDescent="0.2">
      <c r="A21" s="180" t="s">
        <v>1148</v>
      </c>
      <c r="B21" s="181" t="s">
        <v>206</v>
      </c>
    </row>
    <row r="22" spans="1:2" x14ac:dyDescent="0.2">
      <c r="A22" s="180" t="s">
        <v>1154</v>
      </c>
      <c r="B22" s="181" t="s">
        <v>206</v>
      </c>
    </row>
    <row r="23" spans="1:2" x14ac:dyDescent="0.2">
      <c r="A23" s="180" t="s">
        <v>1158</v>
      </c>
      <c r="B23" s="181" t="s">
        <v>206</v>
      </c>
    </row>
    <row r="24" spans="1:2" x14ac:dyDescent="0.2">
      <c r="A24" s="180" t="s">
        <v>1153</v>
      </c>
      <c r="B24" s="181" t="s">
        <v>206</v>
      </c>
    </row>
    <row r="25" spans="1:2" x14ac:dyDescent="0.2">
      <c r="A25" s="180" t="s">
        <v>1150</v>
      </c>
      <c r="B25" s="181" t="s">
        <v>206</v>
      </c>
    </row>
    <row r="26" spans="1:2" x14ac:dyDescent="0.2">
      <c r="A26" s="180" t="s">
        <v>1160</v>
      </c>
      <c r="B26" s="181" t="s">
        <v>206</v>
      </c>
    </row>
    <row r="27" spans="1:2" x14ac:dyDescent="0.2">
      <c r="A27" s="180" t="s">
        <v>1164</v>
      </c>
      <c r="B27" s="181" t="s">
        <v>206</v>
      </c>
    </row>
    <row r="28" spans="1:2" x14ac:dyDescent="0.2">
      <c r="A28" s="180" t="s">
        <v>1165</v>
      </c>
      <c r="B28" s="181" t="s">
        <v>206</v>
      </c>
    </row>
    <row r="29" spans="1:2" x14ac:dyDescent="0.2">
      <c r="A29" s="180" t="s">
        <v>1166</v>
      </c>
      <c r="B29" s="181" t="s">
        <v>206</v>
      </c>
    </row>
    <row r="30" spans="1:2" x14ac:dyDescent="0.2">
      <c r="A30" s="180" t="s">
        <v>1168</v>
      </c>
      <c r="B30" s="181" t="s">
        <v>206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P162"/>
  <sheetViews>
    <sheetView topLeftCell="A5" workbookViewId="0">
      <selection activeCell="G5" sqref="B2:P160"/>
    </sheetView>
  </sheetViews>
  <sheetFormatPr defaultRowHeight="12" x14ac:dyDescent="0.2"/>
  <cols>
    <col min="1" max="1" width="5.28515625" style="45" customWidth="1"/>
    <col min="2" max="2" width="8.7109375" style="45" customWidth="1"/>
    <col min="3" max="3" width="7.7109375" style="44" customWidth="1"/>
    <col min="4" max="4" width="10.7109375" style="44" bestFit="1" customWidth="1"/>
    <col min="5" max="5" width="37.140625" style="47" bestFit="1" customWidth="1"/>
    <col min="6" max="6" width="11.7109375" style="47" bestFit="1" customWidth="1"/>
    <col min="7" max="7" width="19.140625" style="44" bestFit="1" customWidth="1"/>
    <col min="8" max="8" width="9.140625" style="44" bestFit="1" customWidth="1"/>
    <col min="9" max="9" width="7.42578125" style="44" bestFit="1" customWidth="1"/>
    <col min="10" max="10" width="4" style="46" bestFit="1" customWidth="1"/>
    <col min="11" max="11" width="15.5703125" style="46" bestFit="1" customWidth="1"/>
    <col min="12" max="12" width="10.7109375" style="46" bestFit="1" customWidth="1"/>
    <col min="13" max="13" width="10.85546875" style="144" bestFit="1" customWidth="1"/>
    <col min="14" max="14" width="12.140625" style="146" bestFit="1" customWidth="1"/>
    <col min="15" max="15" width="10.85546875" style="144" bestFit="1" customWidth="1"/>
    <col min="16" max="16" width="14.42578125" style="146" bestFit="1" customWidth="1"/>
    <col min="17" max="16384" width="9.140625" style="45"/>
  </cols>
  <sheetData>
    <row r="1" spans="2:16" s="29" customFormat="1" x14ac:dyDescent="0.2">
      <c r="C1" s="28"/>
      <c r="D1" s="28"/>
      <c r="G1" s="28"/>
      <c r="H1" s="28"/>
      <c r="I1" s="28"/>
      <c r="J1" s="37"/>
      <c r="K1" s="30"/>
      <c r="L1" s="30"/>
      <c r="M1" s="132"/>
      <c r="N1" s="138"/>
      <c r="O1" s="132"/>
      <c r="P1" s="138"/>
    </row>
    <row r="2" spans="2:16" s="29" customFormat="1" x14ac:dyDescent="0.2">
      <c r="B2" s="18" t="s">
        <v>176</v>
      </c>
      <c r="C2" s="27"/>
      <c r="D2" s="28"/>
      <c r="G2" s="28"/>
      <c r="H2" s="28"/>
      <c r="I2" s="28"/>
      <c r="J2" s="37"/>
      <c r="K2" s="30"/>
      <c r="L2" s="30"/>
      <c r="M2" s="132"/>
      <c r="N2" s="138"/>
      <c r="O2" s="132"/>
      <c r="P2" s="138"/>
    </row>
    <row r="3" spans="2:16" s="29" customFormat="1" x14ac:dyDescent="0.2">
      <c r="B3" s="18" t="s">
        <v>428</v>
      </c>
      <c r="C3" s="27"/>
      <c r="D3" s="28"/>
      <c r="G3" s="28"/>
      <c r="H3" s="28"/>
      <c r="I3" s="28"/>
      <c r="J3" s="40" t="s">
        <v>169</v>
      </c>
      <c r="K3" s="30"/>
      <c r="L3" s="30"/>
      <c r="M3" s="132"/>
      <c r="N3" s="138"/>
      <c r="O3" s="132"/>
      <c r="P3" s="138"/>
    </row>
    <row r="4" spans="2:16" s="44" customFormat="1" x14ac:dyDescent="0.2">
      <c r="B4" s="32" t="s">
        <v>168</v>
      </c>
      <c r="C4" s="32" t="s">
        <v>196</v>
      </c>
      <c r="D4" s="32" t="s">
        <v>118</v>
      </c>
      <c r="E4" s="20" t="s">
        <v>115</v>
      </c>
      <c r="F4" s="105" t="s">
        <v>423</v>
      </c>
      <c r="G4" s="20" t="s">
        <v>119</v>
      </c>
      <c r="H4" s="19" t="s">
        <v>297</v>
      </c>
      <c r="I4" s="20" t="s">
        <v>172</v>
      </c>
      <c r="J4" s="19" t="s">
        <v>120</v>
      </c>
      <c r="K4" s="33" t="s">
        <v>170</v>
      </c>
      <c r="L4" s="33" t="s">
        <v>173</v>
      </c>
      <c r="M4" s="130" t="s">
        <v>1486</v>
      </c>
      <c r="N4" s="131" t="s">
        <v>1487</v>
      </c>
      <c r="O4" s="130" t="s">
        <v>1488</v>
      </c>
      <c r="P4" s="131" t="s">
        <v>1482</v>
      </c>
    </row>
    <row r="5" spans="2:16" x14ac:dyDescent="0.2">
      <c r="B5" s="44">
        <v>1</v>
      </c>
      <c r="C5" s="23" t="s">
        <v>389</v>
      </c>
      <c r="D5" s="106">
        <v>5000212</v>
      </c>
      <c r="E5" s="24" t="s">
        <v>570</v>
      </c>
      <c r="F5" s="44" t="s">
        <v>426</v>
      </c>
      <c r="G5" s="28" t="s">
        <v>159</v>
      </c>
      <c r="H5" s="24" t="s">
        <v>589</v>
      </c>
      <c r="I5" s="44">
        <v>500</v>
      </c>
      <c r="J5" s="24" t="s">
        <v>7</v>
      </c>
      <c r="K5" s="103">
        <v>2479</v>
      </c>
      <c r="L5" s="46">
        <f>I5*K5</f>
        <v>1239500</v>
      </c>
      <c r="M5" s="144">
        <v>29.903061224489797</v>
      </c>
      <c r="N5" s="146">
        <f>+K5*M5</f>
        <v>74129.688775510207</v>
      </c>
      <c r="O5" s="144">
        <v>3032.15</v>
      </c>
      <c r="P5" s="146">
        <f>+K5*O5</f>
        <v>7516699.8500000006</v>
      </c>
    </row>
    <row r="6" spans="2:16" x14ac:dyDescent="0.2">
      <c r="B6" s="44">
        <v>2</v>
      </c>
      <c r="C6" s="23" t="s">
        <v>389</v>
      </c>
      <c r="D6" s="106">
        <v>5000351</v>
      </c>
      <c r="E6" s="24" t="s">
        <v>210</v>
      </c>
      <c r="F6" s="44" t="s">
        <v>424</v>
      </c>
      <c r="G6" s="28" t="s">
        <v>159</v>
      </c>
      <c r="H6" s="24" t="s">
        <v>590</v>
      </c>
      <c r="I6" s="44">
        <v>7</v>
      </c>
      <c r="J6" s="24" t="s">
        <v>65</v>
      </c>
      <c r="K6" s="103">
        <v>281478</v>
      </c>
      <c r="L6" s="46">
        <f t="shared" ref="L6:L71" si="0">I6*K6</f>
        <v>1970346</v>
      </c>
      <c r="M6" s="144">
        <v>0.57686294416243655</v>
      </c>
      <c r="N6" s="146">
        <f t="shared" ref="N6:N43" si="1">+K6*M6</f>
        <v>162374.22779695431</v>
      </c>
      <c r="O6" s="144">
        <v>15.092000000000001</v>
      </c>
      <c r="P6" s="146">
        <f t="shared" ref="P6:P43" si="2">+K6*O6</f>
        <v>4248065.9759999998</v>
      </c>
    </row>
    <row r="7" spans="2:16" x14ac:dyDescent="0.2">
      <c r="B7" s="44">
        <v>3</v>
      </c>
      <c r="C7" s="23" t="s">
        <v>389</v>
      </c>
      <c r="D7" s="106">
        <v>5000351</v>
      </c>
      <c r="E7" s="24" t="s">
        <v>210</v>
      </c>
      <c r="F7" s="44" t="s">
        <v>424</v>
      </c>
      <c r="G7" s="28" t="s">
        <v>159</v>
      </c>
      <c r="H7" s="24" t="s">
        <v>597</v>
      </c>
      <c r="I7" s="44">
        <v>7</v>
      </c>
      <c r="J7" s="24" t="s">
        <v>65</v>
      </c>
      <c r="K7" s="103">
        <v>281878</v>
      </c>
      <c r="L7" s="46">
        <f t="shared" si="0"/>
        <v>1973146</v>
      </c>
      <c r="M7" s="144">
        <v>0.57686294416243655</v>
      </c>
      <c r="N7" s="146">
        <f t="shared" si="1"/>
        <v>162604.9729746193</v>
      </c>
      <c r="O7" s="144">
        <v>15.092000000000001</v>
      </c>
      <c r="P7" s="146">
        <f t="shared" si="2"/>
        <v>4254102.7760000005</v>
      </c>
    </row>
    <row r="8" spans="2:16" x14ac:dyDescent="0.2">
      <c r="B8" s="44">
        <v>4</v>
      </c>
      <c r="C8" s="23" t="s">
        <v>389</v>
      </c>
      <c r="D8" s="106">
        <v>5001212</v>
      </c>
      <c r="E8" s="24" t="s">
        <v>324</v>
      </c>
      <c r="F8" s="44" t="s">
        <v>426</v>
      </c>
      <c r="G8" s="28" t="s">
        <v>159</v>
      </c>
      <c r="H8" s="24" t="s">
        <v>603</v>
      </c>
      <c r="I8" s="44">
        <v>30</v>
      </c>
      <c r="J8" s="24" t="s">
        <v>7</v>
      </c>
      <c r="K8" s="103">
        <v>160011</v>
      </c>
      <c r="L8" s="46">
        <f t="shared" si="0"/>
        <v>4800330</v>
      </c>
      <c r="M8" s="144">
        <v>2.5473195876288663</v>
      </c>
      <c r="N8" s="146">
        <f t="shared" si="1"/>
        <v>407599.15453608253</v>
      </c>
      <c r="O8" s="144">
        <v>60.42</v>
      </c>
      <c r="P8" s="146">
        <f t="shared" si="2"/>
        <v>9667864.620000001</v>
      </c>
    </row>
    <row r="9" spans="2:16" x14ac:dyDescent="0.2">
      <c r="B9" s="44">
        <v>5</v>
      </c>
      <c r="C9" s="23" t="s">
        <v>389</v>
      </c>
      <c r="D9" s="106">
        <v>5000351</v>
      </c>
      <c r="E9" s="24" t="s">
        <v>210</v>
      </c>
      <c r="F9" s="44" t="s">
        <v>424</v>
      </c>
      <c r="G9" s="28" t="s">
        <v>159</v>
      </c>
      <c r="H9" s="24" t="s">
        <v>616</v>
      </c>
      <c r="I9" s="44">
        <v>7</v>
      </c>
      <c r="J9" s="24" t="s">
        <v>65</v>
      </c>
      <c r="K9" s="103">
        <v>280878</v>
      </c>
      <c r="L9" s="46">
        <f t="shared" si="0"/>
        <v>1966146</v>
      </c>
      <c r="M9" s="144">
        <v>0.57686294416243655</v>
      </c>
      <c r="N9" s="146">
        <f t="shared" si="1"/>
        <v>162028.11003045685</v>
      </c>
      <c r="O9" s="144">
        <v>15.092000000000001</v>
      </c>
      <c r="P9" s="146">
        <f t="shared" si="2"/>
        <v>4239010.7760000005</v>
      </c>
    </row>
    <row r="10" spans="2:16" x14ac:dyDescent="0.2">
      <c r="B10" s="44">
        <v>6</v>
      </c>
      <c r="C10" s="23" t="s">
        <v>389</v>
      </c>
      <c r="D10" s="106">
        <v>5000351</v>
      </c>
      <c r="E10" s="24" t="s">
        <v>210</v>
      </c>
      <c r="F10" s="44" t="s">
        <v>424</v>
      </c>
      <c r="G10" s="28" t="s">
        <v>159</v>
      </c>
      <c r="H10" s="24" t="s">
        <v>617</v>
      </c>
      <c r="I10" s="44">
        <v>7</v>
      </c>
      <c r="J10" s="24" t="s">
        <v>65</v>
      </c>
      <c r="K10" s="103">
        <v>283278</v>
      </c>
      <c r="L10" s="46">
        <f t="shared" si="0"/>
        <v>1982946</v>
      </c>
      <c r="M10" s="144">
        <v>0.57686294416243655</v>
      </c>
      <c r="N10" s="146">
        <f t="shared" si="1"/>
        <v>163412.58109644669</v>
      </c>
      <c r="O10" s="144">
        <v>15.092000000000001</v>
      </c>
      <c r="P10" s="146">
        <f t="shared" si="2"/>
        <v>4275231.5760000004</v>
      </c>
    </row>
    <row r="11" spans="2:16" x14ac:dyDescent="0.2">
      <c r="B11" s="44">
        <v>7</v>
      </c>
      <c r="C11" s="23" t="s">
        <v>389</v>
      </c>
      <c r="D11" s="106">
        <v>5001514</v>
      </c>
      <c r="E11" s="24" t="s">
        <v>212</v>
      </c>
      <c r="F11" s="44" t="s">
        <v>426</v>
      </c>
      <c r="G11" s="28" t="s">
        <v>159</v>
      </c>
      <c r="H11" s="24" t="s">
        <v>628</v>
      </c>
      <c r="I11" s="44">
        <v>1000</v>
      </c>
      <c r="J11" s="24" t="s">
        <v>7</v>
      </c>
      <c r="K11" s="103">
        <v>1243</v>
      </c>
      <c r="L11" s="46">
        <f t="shared" si="0"/>
        <v>1243000</v>
      </c>
      <c r="M11" s="144">
        <v>58.071428571428569</v>
      </c>
      <c r="N11" s="146">
        <f t="shared" si="1"/>
        <v>72182.78571428571</v>
      </c>
      <c r="O11" s="144">
        <v>4994.5609829059831</v>
      </c>
      <c r="P11" s="146">
        <f t="shared" si="2"/>
        <v>6208239.301752137</v>
      </c>
    </row>
    <row r="12" spans="2:16" x14ac:dyDescent="0.2">
      <c r="B12" s="44">
        <v>8</v>
      </c>
      <c r="C12" s="23" t="s">
        <v>389</v>
      </c>
      <c r="D12" s="106">
        <v>5001620</v>
      </c>
      <c r="E12" s="24" t="s">
        <v>576</v>
      </c>
      <c r="F12" s="44" t="s">
        <v>426</v>
      </c>
      <c r="G12" s="28" t="s">
        <v>159</v>
      </c>
      <c r="H12" s="24" t="s">
        <v>629</v>
      </c>
      <c r="I12" s="44">
        <v>30</v>
      </c>
      <c r="J12" s="24" t="s">
        <v>7</v>
      </c>
      <c r="K12" s="103">
        <v>4005</v>
      </c>
      <c r="L12" s="46">
        <f t="shared" si="0"/>
        <v>120150</v>
      </c>
      <c r="M12" s="144">
        <v>2.521326530612245</v>
      </c>
      <c r="N12" s="146">
        <f t="shared" si="1"/>
        <v>10097.912755102041</v>
      </c>
      <c r="O12" s="144">
        <v>461.90000000000003</v>
      </c>
      <c r="P12" s="146">
        <f t="shared" si="2"/>
        <v>1849909.5000000002</v>
      </c>
    </row>
    <row r="13" spans="2:16" x14ac:dyDescent="0.2">
      <c r="B13" s="44">
        <v>9</v>
      </c>
      <c r="C13" s="23" t="s">
        <v>389</v>
      </c>
      <c r="D13" s="106">
        <v>5000500</v>
      </c>
      <c r="E13" s="24" t="s">
        <v>390</v>
      </c>
      <c r="F13" s="44" t="s">
        <v>426</v>
      </c>
      <c r="G13" s="28" t="s">
        <v>159</v>
      </c>
      <c r="H13" s="24" t="s">
        <v>633</v>
      </c>
      <c r="I13" s="44">
        <v>30</v>
      </c>
      <c r="J13" s="24" t="s">
        <v>7</v>
      </c>
      <c r="K13" s="103">
        <v>20355</v>
      </c>
      <c r="L13" s="46">
        <f t="shared" si="0"/>
        <v>610650</v>
      </c>
      <c r="M13" s="144">
        <v>2.521326530612245</v>
      </c>
      <c r="N13" s="146">
        <f t="shared" si="1"/>
        <v>51321.60153061225</v>
      </c>
      <c r="O13" s="144">
        <v>310.97474953509999</v>
      </c>
      <c r="P13" s="146">
        <f t="shared" si="2"/>
        <v>6329891.0267869607</v>
      </c>
    </row>
    <row r="14" spans="2:16" x14ac:dyDescent="0.2">
      <c r="B14" s="44">
        <v>10</v>
      </c>
      <c r="C14" s="23" t="s">
        <v>389</v>
      </c>
      <c r="D14" s="106">
        <v>5001514</v>
      </c>
      <c r="E14" s="24" t="s">
        <v>212</v>
      </c>
      <c r="F14" s="44" t="s">
        <v>426</v>
      </c>
      <c r="G14" s="28" t="s">
        <v>159</v>
      </c>
      <c r="H14" s="24" t="s">
        <v>634</v>
      </c>
      <c r="I14" s="44">
        <v>1000</v>
      </c>
      <c r="J14" s="24" t="s">
        <v>7</v>
      </c>
      <c r="K14" s="103">
        <v>613</v>
      </c>
      <c r="L14" s="46">
        <f t="shared" si="0"/>
        <v>613000</v>
      </c>
      <c r="M14" s="144">
        <v>58.071428571428569</v>
      </c>
      <c r="N14" s="146">
        <f t="shared" si="1"/>
        <v>35597.78571428571</v>
      </c>
      <c r="O14" s="144">
        <v>4994.5609829059831</v>
      </c>
      <c r="P14" s="146">
        <f t="shared" si="2"/>
        <v>3061665.8825213676</v>
      </c>
    </row>
    <row r="15" spans="2:16" x14ac:dyDescent="0.2">
      <c r="B15" s="44">
        <v>11</v>
      </c>
      <c r="C15" s="23" t="s">
        <v>389</v>
      </c>
      <c r="D15" s="106">
        <v>5001620</v>
      </c>
      <c r="E15" s="24" t="s">
        <v>576</v>
      </c>
      <c r="F15" s="44" t="s">
        <v>426</v>
      </c>
      <c r="G15" s="28" t="s">
        <v>159</v>
      </c>
      <c r="H15" s="24" t="s">
        <v>635</v>
      </c>
      <c r="I15" s="44">
        <v>30</v>
      </c>
      <c r="J15" s="24" t="s">
        <v>7</v>
      </c>
      <c r="K15" s="103">
        <v>4029</v>
      </c>
      <c r="L15" s="46">
        <f t="shared" si="0"/>
        <v>120870</v>
      </c>
      <c r="M15" s="144">
        <v>2.521326530612245</v>
      </c>
      <c r="N15" s="146">
        <f t="shared" si="1"/>
        <v>10158.424591836734</v>
      </c>
      <c r="O15" s="144">
        <v>461.90000000000003</v>
      </c>
      <c r="P15" s="146">
        <f t="shared" si="2"/>
        <v>1860995.1</v>
      </c>
    </row>
    <row r="16" spans="2:16" x14ac:dyDescent="0.2">
      <c r="B16" s="44">
        <v>12</v>
      </c>
      <c r="C16" s="23" t="s">
        <v>389</v>
      </c>
      <c r="D16" s="106">
        <v>5001620</v>
      </c>
      <c r="E16" s="24" t="s">
        <v>576</v>
      </c>
      <c r="F16" s="44" t="s">
        <v>426</v>
      </c>
      <c r="G16" s="28" t="s">
        <v>159</v>
      </c>
      <c r="H16" s="24" t="s">
        <v>637</v>
      </c>
      <c r="I16" s="44">
        <v>30</v>
      </c>
      <c r="J16" s="24" t="s">
        <v>7</v>
      </c>
      <c r="K16" s="103">
        <v>4029</v>
      </c>
      <c r="L16" s="46">
        <f t="shared" si="0"/>
        <v>120870</v>
      </c>
      <c r="M16" s="144">
        <v>2.521326530612245</v>
      </c>
      <c r="N16" s="146">
        <f t="shared" si="1"/>
        <v>10158.424591836734</v>
      </c>
      <c r="O16" s="144">
        <v>461.90000000000003</v>
      </c>
      <c r="P16" s="146">
        <f t="shared" si="2"/>
        <v>1860995.1</v>
      </c>
    </row>
    <row r="17" spans="2:16" x14ac:dyDescent="0.2">
      <c r="B17" s="44">
        <v>13</v>
      </c>
      <c r="C17" s="23" t="s">
        <v>389</v>
      </c>
      <c r="D17" s="106">
        <v>5001620</v>
      </c>
      <c r="E17" s="24" t="s">
        <v>576</v>
      </c>
      <c r="F17" s="44" t="s">
        <v>426</v>
      </c>
      <c r="G17" s="28" t="s">
        <v>159</v>
      </c>
      <c r="H17" s="24" t="s">
        <v>638</v>
      </c>
      <c r="I17" s="44">
        <v>30</v>
      </c>
      <c r="J17" s="24" t="s">
        <v>7</v>
      </c>
      <c r="K17" s="103">
        <v>3965</v>
      </c>
      <c r="L17" s="46">
        <f t="shared" si="0"/>
        <v>118950</v>
      </c>
      <c r="M17" s="144">
        <v>2.521326530612245</v>
      </c>
      <c r="N17" s="146">
        <f t="shared" si="1"/>
        <v>9997.0596938775507</v>
      </c>
      <c r="O17" s="144">
        <v>461.90000000000003</v>
      </c>
      <c r="P17" s="146">
        <f t="shared" si="2"/>
        <v>1831433.5000000002</v>
      </c>
    </row>
    <row r="18" spans="2:16" x14ac:dyDescent="0.2">
      <c r="B18" s="44">
        <v>14</v>
      </c>
      <c r="C18" s="23" t="s">
        <v>389</v>
      </c>
      <c r="D18" s="106">
        <v>5001215</v>
      </c>
      <c r="E18" s="24" t="s">
        <v>395</v>
      </c>
      <c r="F18" s="44" t="s">
        <v>426</v>
      </c>
      <c r="G18" s="28" t="s">
        <v>159</v>
      </c>
      <c r="H18" s="24" t="s">
        <v>645</v>
      </c>
      <c r="I18" s="44">
        <v>1000</v>
      </c>
      <c r="J18" s="24" t="s">
        <v>7</v>
      </c>
      <c r="K18" s="103">
        <v>2311</v>
      </c>
      <c r="L18" s="46">
        <f t="shared" si="0"/>
        <v>2311000</v>
      </c>
      <c r="M18" s="144">
        <v>58.670103092783506</v>
      </c>
      <c r="N18" s="146">
        <f t="shared" si="1"/>
        <v>135586.60824742267</v>
      </c>
      <c r="O18" s="144">
        <v>2690.5450000000001</v>
      </c>
      <c r="P18" s="146">
        <f t="shared" si="2"/>
        <v>6217849.4950000001</v>
      </c>
    </row>
    <row r="19" spans="2:16" x14ac:dyDescent="0.2">
      <c r="B19" s="44">
        <v>15</v>
      </c>
      <c r="C19" s="23" t="s">
        <v>389</v>
      </c>
      <c r="D19" s="106">
        <v>5001619</v>
      </c>
      <c r="E19" s="24" t="s">
        <v>578</v>
      </c>
      <c r="F19" s="44" t="s">
        <v>426</v>
      </c>
      <c r="G19" s="28" t="s">
        <v>159</v>
      </c>
      <c r="H19" s="24" t="s">
        <v>646</v>
      </c>
      <c r="I19" s="44">
        <v>30</v>
      </c>
      <c r="J19" s="24" t="s">
        <v>7</v>
      </c>
      <c r="K19" s="103">
        <v>3989</v>
      </c>
      <c r="L19" s="46">
        <f t="shared" si="0"/>
        <v>119670</v>
      </c>
      <c r="M19" s="144">
        <v>2.521326530612245</v>
      </c>
      <c r="N19" s="146">
        <f t="shared" si="1"/>
        <v>10057.571530612246</v>
      </c>
      <c r="O19" s="144">
        <v>521.5</v>
      </c>
      <c r="P19" s="146">
        <f t="shared" si="2"/>
        <v>2080263.5</v>
      </c>
    </row>
    <row r="20" spans="2:16" x14ac:dyDescent="0.2">
      <c r="B20" s="44">
        <v>16</v>
      </c>
      <c r="C20" s="23" t="s">
        <v>389</v>
      </c>
      <c r="D20" s="106">
        <v>5000351</v>
      </c>
      <c r="E20" s="24" t="s">
        <v>210</v>
      </c>
      <c r="F20" s="44" t="s">
        <v>424</v>
      </c>
      <c r="G20" s="28" t="s">
        <v>159</v>
      </c>
      <c r="H20" s="24" t="s">
        <v>648</v>
      </c>
      <c r="I20" s="44">
        <v>7</v>
      </c>
      <c r="J20" s="24" t="s">
        <v>65</v>
      </c>
      <c r="K20" s="103">
        <v>281178</v>
      </c>
      <c r="L20" s="46">
        <f t="shared" si="0"/>
        <v>1968246</v>
      </c>
      <c r="M20" s="144">
        <v>0.57686294416243655</v>
      </c>
      <c r="N20" s="146">
        <f t="shared" si="1"/>
        <v>162201.16891370559</v>
      </c>
      <c r="O20" s="144">
        <v>15.092000000000001</v>
      </c>
      <c r="P20" s="146">
        <f t="shared" si="2"/>
        <v>4243538.3760000002</v>
      </c>
    </row>
    <row r="21" spans="2:16" x14ac:dyDescent="0.2">
      <c r="B21" s="44">
        <v>17</v>
      </c>
      <c r="C21" s="23" t="s">
        <v>389</v>
      </c>
      <c r="D21" s="106">
        <v>5001215</v>
      </c>
      <c r="E21" s="24" t="s">
        <v>395</v>
      </c>
      <c r="F21" s="44" t="s">
        <v>426</v>
      </c>
      <c r="G21" s="28" t="s">
        <v>159</v>
      </c>
      <c r="H21" s="24" t="s">
        <v>649</v>
      </c>
      <c r="I21" s="44">
        <v>1000</v>
      </c>
      <c r="J21" s="24" t="s">
        <v>7</v>
      </c>
      <c r="K21" s="103">
        <v>2353</v>
      </c>
      <c r="L21" s="46">
        <f t="shared" si="0"/>
        <v>2353000</v>
      </c>
      <c r="M21" s="144">
        <v>58.670103092783506</v>
      </c>
      <c r="N21" s="146">
        <f t="shared" si="1"/>
        <v>138050.7525773196</v>
      </c>
      <c r="O21" s="144">
        <v>2690.5450000000001</v>
      </c>
      <c r="P21" s="146">
        <f t="shared" si="2"/>
        <v>6330852.3849999998</v>
      </c>
    </row>
    <row r="22" spans="2:16" x14ac:dyDescent="0.2">
      <c r="B22" s="44">
        <v>18</v>
      </c>
      <c r="C22" s="23" t="s">
        <v>389</v>
      </c>
      <c r="D22" s="106">
        <v>5002576</v>
      </c>
      <c r="E22" s="24" t="s">
        <v>396</v>
      </c>
      <c r="F22" s="44" t="s">
        <v>426</v>
      </c>
      <c r="G22" s="28" t="s">
        <v>159</v>
      </c>
      <c r="H22" s="24" t="s">
        <v>634</v>
      </c>
      <c r="I22" s="44">
        <v>100</v>
      </c>
      <c r="J22" s="24" t="s">
        <v>7</v>
      </c>
      <c r="K22" s="103">
        <v>6392</v>
      </c>
      <c r="L22" s="46">
        <f t="shared" si="0"/>
        <v>639200</v>
      </c>
      <c r="M22" s="144">
        <v>6.7275510204081632</v>
      </c>
      <c r="N22" s="146">
        <f t="shared" si="1"/>
        <v>43002.506122448976</v>
      </c>
      <c r="O22" s="144">
        <v>419.03125</v>
      </c>
      <c r="P22" s="146">
        <f t="shared" si="2"/>
        <v>2678447.75</v>
      </c>
    </row>
    <row r="23" spans="2:16" x14ac:dyDescent="0.2">
      <c r="B23" s="44">
        <v>19</v>
      </c>
      <c r="C23" s="23" t="s">
        <v>389</v>
      </c>
      <c r="D23" s="106">
        <v>5000500</v>
      </c>
      <c r="E23" s="24" t="s">
        <v>390</v>
      </c>
      <c r="F23" s="44" t="s">
        <v>426</v>
      </c>
      <c r="G23" s="28" t="s">
        <v>159</v>
      </c>
      <c r="H23" s="24" t="s">
        <v>661</v>
      </c>
      <c r="I23" s="44">
        <v>30</v>
      </c>
      <c r="J23" s="24" t="s">
        <v>7</v>
      </c>
      <c r="K23" s="103">
        <v>20331</v>
      </c>
      <c r="L23" s="46">
        <f t="shared" si="0"/>
        <v>609930</v>
      </c>
      <c r="M23" s="144">
        <v>2.521326530612245</v>
      </c>
      <c r="N23" s="146">
        <f t="shared" si="1"/>
        <v>51261.089693877555</v>
      </c>
      <c r="O23" s="144">
        <v>310.97474953509999</v>
      </c>
      <c r="P23" s="146">
        <f t="shared" si="2"/>
        <v>6322427.6327981176</v>
      </c>
    </row>
    <row r="24" spans="2:16" x14ac:dyDescent="0.2">
      <c r="B24" s="44">
        <v>20</v>
      </c>
      <c r="C24" s="23" t="s">
        <v>389</v>
      </c>
      <c r="D24" s="106">
        <v>5001215</v>
      </c>
      <c r="E24" s="24" t="s">
        <v>395</v>
      </c>
      <c r="F24" s="44" t="s">
        <v>426</v>
      </c>
      <c r="G24" s="28" t="s">
        <v>159</v>
      </c>
      <c r="H24" s="24" t="s">
        <v>662</v>
      </c>
      <c r="I24" s="44">
        <v>1000</v>
      </c>
      <c r="J24" s="24" t="s">
        <v>7</v>
      </c>
      <c r="K24" s="103">
        <v>2407</v>
      </c>
      <c r="L24" s="46">
        <f t="shared" si="0"/>
        <v>2407000</v>
      </c>
      <c r="M24" s="144">
        <v>58.670103092783506</v>
      </c>
      <c r="N24" s="146">
        <f t="shared" si="1"/>
        <v>141218.93814432991</v>
      </c>
      <c r="O24" s="144">
        <v>2690.5450000000001</v>
      </c>
      <c r="P24" s="146">
        <f t="shared" si="2"/>
        <v>6476141.8150000004</v>
      </c>
    </row>
    <row r="25" spans="2:16" x14ac:dyDescent="0.2">
      <c r="B25" s="44">
        <v>21</v>
      </c>
      <c r="C25" s="23" t="s">
        <v>389</v>
      </c>
      <c r="D25" s="106">
        <v>5002406</v>
      </c>
      <c r="E25" s="24" t="s">
        <v>580</v>
      </c>
      <c r="F25" s="44" t="s">
        <v>426</v>
      </c>
      <c r="G25" s="28" t="s">
        <v>159</v>
      </c>
      <c r="H25" s="24" t="s">
        <v>664</v>
      </c>
      <c r="I25" s="44">
        <v>100</v>
      </c>
      <c r="J25" s="24" t="s">
        <v>7</v>
      </c>
      <c r="K25" s="103">
        <v>3741</v>
      </c>
      <c r="L25" s="46">
        <f t="shared" si="0"/>
        <v>374100</v>
      </c>
      <c r="M25" s="144">
        <v>6.7275510204081632</v>
      </c>
      <c r="N25" s="146">
        <f t="shared" si="1"/>
        <v>25167.76836734694</v>
      </c>
      <c r="O25" s="144">
        <v>114.735</v>
      </c>
      <c r="P25" s="146">
        <f t="shared" si="2"/>
        <v>429223.63500000001</v>
      </c>
    </row>
    <row r="26" spans="2:16" x14ac:dyDescent="0.2">
      <c r="B26" s="44">
        <v>22</v>
      </c>
      <c r="C26" s="23" t="s">
        <v>389</v>
      </c>
      <c r="D26" s="106">
        <v>5002407</v>
      </c>
      <c r="E26" s="24" t="s">
        <v>398</v>
      </c>
      <c r="F26" s="44" t="s">
        <v>426</v>
      </c>
      <c r="G26" s="28" t="s">
        <v>159</v>
      </c>
      <c r="H26" s="24" t="s">
        <v>665</v>
      </c>
      <c r="I26" s="44">
        <v>100</v>
      </c>
      <c r="J26" s="24" t="s">
        <v>7</v>
      </c>
      <c r="K26" s="103">
        <v>9584</v>
      </c>
      <c r="L26" s="46">
        <f t="shared" si="0"/>
        <v>958400</v>
      </c>
      <c r="M26" s="144">
        <v>6.7275510204081632</v>
      </c>
      <c r="N26" s="146">
        <f t="shared" si="1"/>
        <v>64476.848979591836</v>
      </c>
      <c r="O26" s="144">
        <v>197.05399936467597</v>
      </c>
      <c r="P26" s="146">
        <f t="shared" si="2"/>
        <v>1888565.5299110545</v>
      </c>
    </row>
    <row r="27" spans="2:16" x14ac:dyDescent="0.2">
      <c r="B27" s="44">
        <v>23</v>
      </c>
      <c r="C27" s="23" t="s">
        <v>389</v>
      </c>
      <c r="D27" s="106">
        <v>5000502</v>
      </c>
      <c r="E27" s="24" t="s">
        <v>402</v>
      </c>
      <c r="F27" s="44" t="s">
        <v>426</v>
      </c>
      <c r="G27" s="28" t="s">
        <v>159</v>
      </c>
      <c r="H27" s="24" t="s">
        <v>672</v>
      </c>
      <c r="I27" s="44">
        <v>500</v>
      </c>
      <c r="J27" s="24" t="s">
        <v>7</v>
      </c>
      <c r="K27" s="103">
        <v>1200</v>
      </c>
      <c r="L27" s="46">
        <f t="shared" si="0"/>
        <v>600000</v>
      </c>
      <c r="M27" s="144">
        <v>29.903061224489797</v>
      </c>
      <c r="N27" s="146">
        <f t="shared" si="1"/>
        <v>35883.673469387759</v>
      </c>
      <c r="O27" s="144">
        <v>4990.7654687499999</v>
      </c>
      <c r="P27" s="146">
        <f t="shared" si="2"/>
        <v>5988918.5625</v>
      </c>
    </row>
    <row r="28" spans="2:16" x14ac:dyDescent="0.2">
      <c r="B28" s="44">
        <v>24</v>
      </c>
      <c r="C28" s="23" t="s">
        <v>389</v>
      </c>
      <c r="D28" s="106">
        <v>5000620</v>
      </c>
      <c r="E28" s="24" t="s">
        <v>581</v>
      </c>
      <c r="F28" s="44" t="s">
        <v>424</v>
      </c>
      <c r="G28" s="28" t="s">
        <v>159</v>
      </c>
      <c r="H28" s="24" t="s">
        <v>673</v>
      </c>
      <c r="I28" s="44">
        <v>10</v>
      </c>
      <c r="J28" s="24" t="s">
        <v>3</v>
      </c>
      <c r="K28" s="103">
        <v>45477</v>
      </c>
      <c r="L28" s="46">
        <f t="shared" si="0"/>
        <v>454770</v>
      </c>
      <c r="M28" s="144">
        <v>0.74520408163265306</v>
      </c>
      <c r="N28" s="146">
        <f t="shared" si="1"/>
        <v>33889.646020408167</v>
      </c>
      <c r="O28" s="144">
        <v>7.45</v>
      </c>
      <c r="P28" s="146">
        <f t="shared" si="2"/>
        <v>338803.65</v>
      </c>
    </row>
    <row r="29" spans="2:16" x14ac:dyDescent="0.2">
      <c r="B29" s="44">
        <v>25</v>
      </c>
      <c r="C29" s="23" t="s">
        <v>389</v>
      </c>
      <c r="D29" s="106">
        <v>5001215</v>
      </c>
      <c r="E29" s="24" t="s">
        <v>395</v>
      </c>
      <c r="F29" s="44" t="s">
        <v>426</v>
      </c>
      <c r="G29" s="28" t="s">
        <v>159</v>
      </c>
      <c r="H29" s="24" t="s">
        <v>675</v>
      </c>
      <c r="I29" s="44">
        <v>1000</v>
      </c>
      <c r="J29" s="24" t="s">
        <v>7</v>
      </c>
      <c r="K29" s="103">
        <v>2365</v>
      </c>
      <c r="L29" s="46">
        <f t="shared" si="0"/>
        <v>2365000</v>
      </c>
      <c r="M29" s="144">
        <v>58.670103092783506</v>
      </c>
      <c r="N29" s="146">
        <f t="shared" si="1"/>
        <v>138754.79381443298</v>
      </c>
      <c r="O29" s="144">
        <v>2690.5450000000001</v>
      </c>
      <c r="P29" s="146">
        <f t="shared" si="2"/>
        <v>6363138.9249999998</v>
      </c>
    </row>
    <row r="30" spans="2:16" x14ac:dyDescent="0.2">
      <c r="B30" s="44">
        <v>26</v>
      </c>
      <c r="C30" s="23" t="s">
        <v>389</v>
      </c>
      <c r="D30" s="106">
        <v>5001215</v>
      </c>
      <c r="E30" s="24" t="s">
        <v>395</v>
      </c>
      <c r="F30" s="44" t="s">
        <v>426</v>
      </c>
      <c r="G30" s="28" t="s">
        <v>159</v>
      </c>
      <c r="H30" s="24" t="s">
        <v>679</v>
      </c>
      <c r="I30" s="44">
        <v>1000</v>
      </c>
      <c r="J30" s="24" t="s">
        <v>7</v>
      </c>
      <c r="K30" s="103">
        <v>2347</v>
      </c>
      <c r="L30" s="46">
        <f t="shared" si="0"/>
        <v>2347000</v>
      </c>
      <c r="M30" s="144">
        <v>58.670103092783506</v>
      </c>
      <c r="N30" s="146">
        <f t="shared" si="1"/>
        <v>137698.73195876289</v>
      </c>
      <c r="O30" s="144">
        <v>2690.5450000000001</v>
      </c>
      <c r="P30" s="146">
        <f t="shared" si="2"/>
        <v>6314709.1150000002</v>
      </c>
    </row>
    <row r="31" spans="2:16" x14ac:dyDescent="0.2">
      <c r="B31" s="44">
        <v>27</v>
      </c>
      <c r="C31" s="23" t="s">
        <v>389</v>
      </c>
      <c r="D31" s="106">
        <v>5000501</v>
      </c>
      <c r="E31" s="24" t="s">
        <v>397</v>
      </c>
      <c r="F31" s="44" t="s">
        <v>426</v>
      </c>
      <c r="G31" s="28" t="s">
        <v>159</v>
      </c>
      <c r="H31" s="24" t="s">
        <v>686</v>
      </c>
      <c r="I31" s="44">
        <v>90</v>
      </c>
      <c r="J31" s="24" t="s">
        <v>7</v>
      </c>
      <c r="K31" s="103">
        <v>2346</v>
      </c>
      <c r="L31" s="46">
        <f t="shared" si="0"/>
        <v>211140</v>
      </c>
      <c r="M31" s="144">
        <v>6.176224489795918</v>
      </c>
      <c r="N31" s="146">
        <f t="shared" si="1"/>
        <v>14489.422653061223</v>
      </c>
      <c r="O31" s="144">
        <v>993.60224780701753</v>
      </c>
      <c r="P31" s="146">
        <f t="shared" si="2"/>
        <v>2330990.8733552629</v>
      </c>
    </row>
    <row r="32" spans="2:16" x14ac:dyDescent="0.2">
      <c r="B32" s="44">
        <v>28</v>
      </c>
      <c r="C32" s="23" t="s">
        <v>389</v>
      </c>
      <c r="D32" s="106">
        <v>5000502</v>
      </c>
      <c r="E32" s="24" t="s">
        <v>402</v>
      </c>
      <c r="F32" s="44" t="s">
        <v>426</v>
      </c>
      <c r="G32" s="28" t="s">
        <v>159</v>
      </c>
      <c r="H32" s="24" t="s">
        <v>686</v>
      </c>
      <c r="I32" s="44">
        <v>500</v>
      </c>
      <c r="J32" s="24" t="s">
        <v>7</v>
      </c>
      <c r="K32" s="103">
        <v>798</v>
      </c>
      <c r="L32" s="46">
        <f t="shared" si="0"/>
        <v>399000</v>
      </c>
      <c r="M32" s="144">
        <v>29.903061224489797</v>
      </c>
      <c r="N32" s="146">
        <f t="shared" si="1"/>
        <v>23862.642857142859</v>
      </c>
      <c r="O32" s="144">
        <v>4990.7654687499999</v>
      </c>
      <c r="P32" s="146">
        <f t="shared" si="2"/>
        <v>3982630.8440624997</v>
      </c>
    </row>
    <row r="33" spans="2:16" x14ac:dyDescent="0.2">
      <c r="B33" s="44">
        <v>29</v>
      </c>
      <c r="C33" s="23" t="s">
        <v>389</v>
      </c>
      <c r="D33" s="106">
        <v>5002406</v>
      </c>
      <c r="E33" s="24" t="s">
        <v>580</v>
      </c>
      <c r="F33" s="44" t="s">
        <v>426</v>
      </c>
      <c r="G33" s="28" t="s">
        <v>159</v>
      </c>
      <c r="H33" s="24" t="s">
        <v>689</v>
      </c>
      <c r="I33" s="44">
        <v>100</v>
      </c>
      <c r="J33" s="24" t="s">
        <v>7</v>
      </c>
      <c r="K33" s="103">
        <v>3801</v>
      </c>
      <c r="L33" s="46">
        <f t="shared" si="0"/>
        <v>380100</v>
      </c>
      <c r="M33" s="144">
        <v>6.7275510204081632</v>
      </c>
      <c r="N33" s="146">
        <f t="shared" si="1"/>
        <v>25571.42142857143</v>
      </c>
      <c r="O33" s="144">
        <v>114.735</v>
      </c>
      <c r="P33" s="146">
        <f t="shared" si="2"/>
        <v>436107.73499999999</v>
      </c>
    </row>
    <row r="34" spans="2:16" x14ac:dyDescent="0.2">
      <c r="B34" s="44">
        <v>30</v>
      </c>
      <c r="C34" s="23" t="s">
        <v>389</v>
      </c>
      <c r="D34" s="106">
        <v>5000351</v>
      </c>
      <c r="E34" s="24" t="s">
        <v>210</v>
      </c>
      <c r="F34" s="44" t="s">
        <v>424</v>
      </c>
      <c r="G34" s="28" t="s">
        <v>159</v>
      </c>
      <c r="H34" s="24" t="s">
        <v>691</v>
      </c>
      <c r="I34" s="44">
        <v>7</v>
      </c>
      <c r="J34" s="24" t="s">
        <v>65</v>
      </c>
      <c r="K34" s="103">
        <v>281478</v>
      </c>
      <c r="L34" s="46">
        <f t="shared" si="0"/>
        <v>1970346</v>
      </c>
      <c r="M34" s="144">
        <v>0.57686294416243655</v>
      </c>
      <c r="N34" s="146">
        <f t="shared" si="1"/>
        <v>162374.22779695431</v>
      </c>
      <c r="O34" s="144">
        <v>15.092000000000001</v>
      </c>
      <c r="P34" s="146">
        <f t="shared" si="2"/>
        <v>4248065.9759999998</v>
      </c>
    </row>
    <row r="35" spans="2:16" x14ac:dyDescent="0.2">
      <c r="B35" s="44">
        <v>31</v>
      </c>
      <c r="C35" s="23" t="s">
        <v>389</v>
      </c>
      <c r="D35" s="106">
        <v>5000501</v>
      </c>
      <c r="E35" s="24" t="s">
        <v>397</v>
      </c>
      <c r="F35" s="44" t="s">
        <v>426</v>
      </c>
      <c r="G35" s="28" t="s">
        <v>159</v>
      </c>
      <c r="H35" s="24" t="s">
        <v>692</v>
      </c>
      <c r="I35" s="44">
        <v>90</v>
      </c>
      <c r="J35" s="24" t="s">
        <v>7</v>
      </c>
      <c r="K35" s="103">
        <v>6426</v>
      </c>
      <c r="L35" s="46">
        <f t="shared" si="0"/>
        <v>578340</v>
      </c>
      <c r="M35" s="144">
        <v>6.176224489795918</v>
      </c>
      <c r="N35" s="146">
        <f t="shared" si="1"/>
        <v>39688.41857142857</v>
      </c>
      <c r="O35" s="144">
        <v>993.60224780701753</v>
      </c>
      <c r="P35" s="146">
        <f t="shared" si="2"/>
        <v>6384888.0444078948</v>
      </c>
    </row>
    <row r="36" spans="2:16" x14ac:dyDescent="0.2">
      <c r="B36" s="44">
        <v>32</v>
      </c>
      <c r="C36" s="23" t="s">
        <v>389</v>
      </c>
      <c r="D36" s="106">
        <v>5000620</v>
      </c>
      <c r="E36" s="24" t="s">
        <v>581</v>
      </c>
      <c r="F36" s="44" t="s">
        <v>424</v>
      </c>
      <c r="G36" s="28" t="s">
        <v>159</v>
      </c>
      <c r="H36" s="24" t="s">
        <v>693</v>
      </c>
      <c r="I36" s="44">
        <v>10</v>
      </c>
      <c r="J36" s="24" t="s">
        <v>3</v>
      </c>
      <c r="K36" s="103">
        <v>46009</v>
      </c>
      <c r="L36" s="46">
        <f t="shared" si="0"/>
        <v>460090</v>
      </c>
      <c r="M36" s="144">
        <v>0.74520408163265306</v>
      </c>
      <c r="N36" s="146">
        <f t="shared" si="1"/>
        <v>34286.094591836736</v>
      </c>
      <c r="O36" s="144">
        <v>7.45</v>
      </c>
      <c r="P36" s="146">
        <f t="shared" si="2"/>
        <v>342767.05</v>
      </c>
    </row>
    <row r="37" spans="2:16" x14ac:dyDescent="0.2">
      <c r="B37" s="44">
        <v>33</v>
      </c>
      <c r="C37" s="23" t="s">
        <v>389</v>
      </c>
      <c r="D37" s="106">
        <v>5001805</v>
      </c>
      <c r="E37" s="24" t="s">
        <v>584</v>
      </c>
      <c r="F37" s="44" t="s">
        <v>426</v>
      </c>
      <c r="G37" s="28" t="s">
        <v>159</v>
      </c>
      <c r="H37" s="24" t="s">
        <v>696</v>
      </c>
      <c r="I37" s="44">
        <v>100</v>
      </c>
      <c r="J37" s="24" t="s">
        <v>7</v>
      </c>
      <c r="K37" s="103">
        <v>2396</v>
      </c>
      <c r="L37" s="46">
        <f t="shared" si="0"/>
        <v>239600</v>
      </c>
      <c r="M37" s="144">
        <v>7.3255555555555558</v>
      </c>
      <c r="N37" s="146">
        <f t="shared" si="1"/>
        <v>17552.031111111111</v>
      </c>
      <c r="O37" s="144">
        <v>358.02250000000004</v>
      </c>
      <c r="P37" s="146">
        <f t="shared" si="2"/>
        <v>857821.91</v>
      </c>
    </row>
    <row r="38" spans="2:16" x14ac:dyDescent="0.2">
      <c r="B38" s="44">
        <v>34</v>
      </c>
      <c r="C38" s="23" t="s">
        <v>389</v>
      </c>
      <c r="D38" s="106">
        <v>5001214</v>
      </c>
      <c r="E38" s="24" t="s">
        <v>225</v>
      </c>
      <c r="F38" s="44" t="s">
        <v>426</v>
      </c>
      <c r="G38" s="28" t="s">
        <v>159</v>
      </c>
      <c r="H38" s="24" t="s">
        <v>704</v>
      </c>
      <c r="I38" s="44">
        <v>30</v>
      </c>
      <c r="J38" s="24" t="s">
        <v>7</v>
      </c>
      <c r="K38" s="103">
        <v>77880</v>
      </c>
      <c r="L38" s="46">
        <f t="shared" si="0"/>
        <v>2336400</v>
      </c>
      <c r="M38" s="144">
        <v>2.5473195876288663</v>
      </c>
      <c r="N38" s="146">
        <f t="shared" si="1"/>
        <v>198385.24948453612</v>
      </c>
      <c r="O38" s="144">
        <v>90.948000000000008</v>
      </c>
      <c r="P38" s="146">
        <f t="shared" si="2"/>
        <v>7083030.2400000002</v>
      </c>
    </row>
    <row r="39" spans="2:16" x14ac:dyDescent="0.2">
      <c r="B39" s="44">
        <v>35</v>
      </c>
      <c r="C39" s="23" t="s">
        <v>389</v>
      </c>
      <c r="D39" s="106">
        <v>5000620</v>
      </c>
      <c r="E39" s="24" t="s">
        <v>581</v>
      </c>
      <c r="F39" s="44" t="s">
        <v>424</v>
      </c>
      <c r="G39" s="28" t="s">
        <v>159</v>
      </c>
      <c r="H39" s="24" t="s">
        <v>710</v>
      </c>
      <c r="I39" s="44">
        <v>10</v>
      </c>
      <c r="J39" s="24" t="s">
        <v>3</v>
      </c>
      <c r="K39" s="103">
        <v>45843</v>
      </c>
      <c r="L39" s="46">
        <f t="shared" si="0"/>
        <v>458430</v>
      </c>
      <c r="M39" s="144">
        <v>0.74520408163265306</v>
      </c>
      <c r="N39" s="146">
        <f t="shared" si="1"/>
        <v>34162.390714285713</v>
      </c>
      <c r="O39" s="144">
        <v>7.45</v>
      </c>
      <c r="P39" s="146">
        <f t="shared" si="2"/>
        <v>341530.35000000003</v>
      </c>
    </row>
    <row r="40" spans="2:16" x14ac:dyDescent="0.2">
      <c r="B40" s="44">
        <v>36</v>
      </c>
      <c r="C40" s="23" t="s">
        <v>389</v>
      </c>
      <c r="D40" s="106">
        <v>5001214</v>
      </c>
      <c r="E40" s="24" t="s">
        <v>225</v>
      </c>
      <c r="F40" s="44" t="s">
        <v>426</v>
      </c>
      <c r="G40" s="28" t="s">
        <v>159</v>
      </c>
      <c r="H40" s="24" t="s">
        <v>718</v>
      </c>
      <c r="I40" s="44">
        <v>30</v>
      </c>
      <c r="J40" s="24" t="s">
        <v>7</v>
      </c>
      <c r="K40" s="103">
        <v>80664</v>
      </c>
      <c r="L40" s="46">
        <f t="shared" si="0"/>
        <v>2419920</v>
      </c>
      <c r="M40" s="144">
        <v>2.5473195876288663</v>
      </c>
      <c r="N40" s="146">
        <f t="shared" si="1"/>
        <v>205476.98721649486</v>
      </c>
      <c r="O40" s="144">
        <v>90.948000000000008</v>
      </c>
      <c r="P40" s="146">
        <f t="shared" si="2"/>
        <v>7336229.472000001</v>
      </c>
    </row>
    <row r="41" spans="2:16" x14ac:dyDescent="0.2">
      <c r="B41" s="44">
        <v>37</v>
      </c>
      <c r="C41" s="23" t="s">
        <v>389</v>
      </c>
      <c r="D41" s="106">
        <v>5001805</v>
      </c>
      <c r="E41" s="24" t="s">
        <v>584</v>
      </c>
      <c r="F41" s="44" t="s">
        <v>426</v>
      </c>
      <c r="G41" s="28" t="s">
        <v>159</v>
      </c>
      <c r="H41" s="24" t="s">
        <v>720</v>
      </c>
      <c r="I41" s="44">
        <v>100</v>
      </c>
      <c r="J41" s="24" t="s">
        <v>7</v>
      </c>
      <c r="K41" s="103">
        <v>2400</v>
      </c>
      <c r="L41" s="46">
        <f t="shared" si="0"/>
        <v>240000</v>
      </c>
      <c r="M41" s="144">
        <v>7.3255555555555558</v>
      </c>
      <c r="N41" s="146">
        <f t="shared" si="1"/>
        <v>17581.333333333336</v>
      </c>
      <c r="O41" s="144">
        <v>358.02250000000004</v>
      </c>
      <c r="P41" s="146">
        <f t="shared" si="2"/>
        <v>859254.00000000012</v>
      </c>
    </row>
    <row r="42" spans="2:16" x14ac:dyDescent="0.2">
      <c r="B42" s="44">
        <v>38</v>
      </c>
      <c r="C42" s="23" t="s">
        <v>389</v>
      </c>
      <c r="D42" s="106">
        <v>5000501</v>
      </c>
      <c r="E42" s="24" t="s">
        <v>397</v>
      </c>
      <c r="F42" s="44" t="s">
        <v>426</v>
      </c>
      <c r="G42" s="28" t="s">
        <v>159</v>
      </c>
      <c r="H42" s="24" t="s">
        <v>403</v>
      </c>
      <c r="I42" s="44">
        <v>90</v>
      </c>
      <c r="J42" s="24" t="s">
        <v>7</v>
      </c>
      <c r="K42" s="103">
        <v>1092</v>
      </c>
      <c r="L42" s="46">
        <f t="shared" si="0"/>
        <v>98280</v>
      </c>
      <c r="M42" s="144">
        <v>6.176224489795918</v>
      </c>
      <c r="N42" s="146">
        <f t="shared" si="1"/>
        <v>6744.4371428571421</v>
      </c>
      <c r="O42" s="144">
        <v>993.60224780701753</v>
      </c>
      <c r="P42" s="146">
        <f t="shared" si="2"/>
        <v>1085013.6546052631</v>
      </c>
    </row>
    <row r="43" spans="2:16" x14ac:dyDescent="0.2">
      <c r="B43" s="44">
        <v>39</v>
      </c>
      <c r="C43" s="23" t="s">
        <v>389</v>
      </c>
      <c r="D43" s="106">
        <v>5000502</v>
      </c>
      <c r="E43" s="24" t="s">
        <v>402</v>
      </c>
      <c r="F43" s="44" t="s">
        <v>426</v>
      </c>
      <c r="G43" s="28" t="s">
        <v>159</v>
      </c>
      <c r="H43" s="24" t="s">
        <v>403</v>
      </c>
      <c r="I43" s="44">
        <v>500</v>
      </c>
      <c r="J43" s="24" t="s">
        <v>7</v>
      </c>
      <c r="K43" s="103">
        <v>198</v>
      </c>
      <c r="L43" s="46">
        <f t="shared" si="0"/>
        <v>99000</v>
      </c>
      <c r="M43" s="144">
        <v>29.903061224489797</v>
      </c>
      <c r="N43" s="146">
        <f t="shared" si="1"/>
        <v>5920.8061224489793</v>
      </c>
      <c r="O43" s="144">
        <v>4990.7654687499999</v>
      </c>
      <c r="P43" s="146">
        <f t="shared" si="2"/>
        <v>988171.56281249993</v>
      </c>
    </row>
    <row r="44" spans="2:16" x14ac:dyDescent="0.2">
      <c r="B44" s="74"/>
      <c r="C44" s="69"/>
      <c r="D44" s="108"/>
      <c r="E44" s="26"/>
      <c r="F44" s="74"/>
      <c r="G44" s="76"/>
      <c r="H44" s="26"/>
      <c r="I44" s="74"/>
      <c r="J44" s="26"/>
      <c r="K44" s="104">
        <f>SUM(K5:K43)</f>
        <v>2263247</v>
      </c>
      <c r="L44" s="104">
        <f>SUM(L5:L43)</f>
        <v>44277866</v>
      </c>
      <c r="M44" s="134"/>
      <c r="N44" s="140">
        <f t="shared" ref="N44:P44" si="3">SUM(N5:N43)</f>
        <v>3235008.2906656158</v>
      </c>
      <c r="O44" s="134"/>
      <c r="P44" s="140">
        <f t="shared" si="3"/>
        <v>149153487.06851307</v>
      </c>
    </row>
    <row r="45" spans="2:16" x14ac:dyDescent="0.2">
      <c r="B45" s="44">
        <v>40</v>
      </c>
      <c r="C45" s="23" t="s">
        <v>389</v>
      </c>
      <c r="D45" s="106">
        <v>5001652</v>
      </c>
      <c r="E45" s="24" t="s">
        <v>214</v>
      </c>
      <c r="F45" s="44" t="s">
        <v>426</v>
      </c>
      <c r="G45" s="44" t="s">
        <v>155</v>
      </c>
      <c r="H45" s="24" t="s">
        <v>618</v>
      </c>
      <c r="I45" s="44">
        <v>1</v>
      </c>
      <c r="J45" s="24" t="s">
        <v>1</v>
      </c>
      <c r="K45" s="103">
        <v>137385</v>
      </c>
      <c r="L45" s="46">
        <f t="shared" si="0"/>
        <v>137385</v>
      </c>
      <c r="M45" s="144">
        <v>0.99132777042056131</v>
      </c>
      <c r="N45" s="146">
        <f t="shared" ref="N45:N63" si="4">+K45*M45</f>
        <v>136193.56573922883</v>
      </c>
      <c r="O45" s="144">
        <v>19.073816666666669</v>
      </c>
      <c r="P45" s="146">
        <f t="shared" ref="P45:P63" si="5">+K45*O45</f>
        <v>2620456.3027500003</v>
      </c>
    </row>
    <row r="46" spans="2:16" x14ac:dyDescent="0.2">
      <c r="B46" s="44">
        <v>41</v>
      </c>
      <c r="C46" s="23" t="s">
        <v>389</v>
      </c>
      <c r="D46" s="106">
        <v>5001652</v>
      </c>
      <c r="E46" s="24" t="s">
        <v>214</v>
      </c>
      <c r="F46" s="44" t="s">
        <v>426</v>
      </c>
      <c r="G46" s="44" t="s">
        <v>155</v>
      </c>
      <c r="H46" s="24" t="s">
        <v>619</v>
      </c>
      <c r="I46" s="44">
        <v>1</v>
      </c>
      <c r="J46" s="24" t="s">
        <v>1</v>
      </c>
      <c r="K46" s="103">
        <v>136485</v>
      </c>
      <c r="L46" s="46">
        <f t="shared" si="0"/>
        <v>136485</v>
      </c>
      <c r="M46" s="144">
        <v>0.99132777042056131</v>
      </c>
      <c r="N46" s="146">
        <f t="shared" si="4"/>
        <v>135301.37074585032</v>
      </c>
      <c r="O46" s="144">
        <v>19.073816666666669</v>
      </c>
      <c r="P46" s="146">
        <f t="shared" si="5"/>
        <v>2603289.8677500002</v>
      </c>
    </row>
    <row r="47" spans="2:16" x14ac:dyDescent="0.2">
      <c r="B47" s="44">
        <v>42</v>
      </c>
      <c r="C47" s="23" t="s">
        <v>389</v>
      </c>
      <c r="D47" s="106">
        <v>5001652</v>
      </c>
      <c r="E47" s="24" t="s">
        <v>214</v>
      </c>
      <c r="F47" s="44" t="s">
        <v>426</v>
      </c>
      <c r="G47" s="44" t="s">
        <v>155</v>
      </c>
      <c r="H47" s="24" t="s">
        <v>639</v>
      </c>
      <c r="I47" s="44">
        <v>1</v>
      </c>
      <c r="J47" s="24" t="s">
        <v>1</v>
      </c>
      <c r="K47" s="103">
        <v>135945</v>
      </c>
      <c r="L47" s="46">
        <f t="shared" si="0"/>
        <v>135945</v>
      </c>
      <c r="M47" s="144">
        <v>0.99132777042056131</v>
      </c>
      <c r="N47" s="146">
        <f t="shared" si="4"/>
        <v>134766.05374982322</v>
      </c>
      <c r="O47" s="144">
        <v>19.073816666666669</v>
      </c>
      <c r="P47" s="146">
        <f t="shared" si="5"/>
        <v>2592990.0067500002</v>
      </c>
    </row>
    <row r="48" spans="2:16" x14ac:dyDescent="0.2">
      <c r="B48" s="44">
        <v>43</v>
      </c>
      <c r="C48" s="23" t="s">
        <v>389</v>
      </c>
      <c r="D48" s="106">
        <v>5006242</v>
      </c>
      <c r="E48" s="24" t="s">
        <v>321</v>
      </c>
      <c r="F48" s="44" t="s">
        <v>426</v>
      </c>
      <c r="G48" s="44" t="s">
        <v>155</v>
      </c>
      <c r="H48" s="24" t="s">
        <v>641</v>
      </c>
      <c r="I48" s="44">
        <v>1</v>
      </c>
      <c r="J48" s="24" t="s">
        <v>7</v>
      </c>
      <c r="K48" s="103">
        <v>48</v>
      </c>
      <c r="L48" s="46">
        <f t="shared" si="0"/>
        <v>48</v>
      </c>
      <c r="M48" s="144">
        <v>0</v>
      </c>
      <c r="N48" s="146">
        <f t="shared" si="4"/>
        <v>0</v>
      </c>
      <c r="O48" s="144">
        <v>0</v>
      </c>
      <c r="P48" s="146">
        <f t="shared" si="5"/>
        <v>0</v>
      </c>
    </row>
    <row r="49" spans="2:16" x14ac:dyDescent="0.2">
      <c r="B49" s="44">
        <v>44</v>
      </c>
      <c r="C49" s="23" t="s">
        <v>389</v>
      </c>
      <c r="D49" s="106">
        <v>5006242</v>
      </c>
      <c r="E49" s="24" t="s">
        <v>321</v>
      </c>
      <c r="F49" s="44" t="s">
        <v>426</v>
      </c>
      <c r="G49" s="44" t="s">
        <v>155</v>
      </c>
      <c r="H49" s="24" t="s">
        <v>642</v>
      </c>
      <c r="I49" s="44">
        <v>1</v>
      </c>
      <c r="J49" s="24" t="s">
        <v>7</v>
      </c>
      <c r="K49" s="103">
        <v>49</v>
      </c>
      <c r="L49" s="46">
        <f t="shared" si="0"/>
        <v>49</v>
      </c>
      <c r="M49" s="144">
        <v>0</v>
      </c>
      <c r="N49" s="146">
        <f t="shared" si="4"/>
        <v>0</v>
      </c>
      <c r="O49" s="144">
        <v>0</v>
      </c>
      <c r="P49" s="146">
        <f t="shared" si="5"/>
        <v>0</v>
      </c>
    </row>
    <row r="50" spans="2:16" x14ac:dyDescent="0.2">
      <c r="B50" s="44">
        <v>45</v>
      </c>
      <c r="C50" s="23" t="s">
        <v>389</v>
      </c>
      <c r="D50" s="106">
        <v>5006243</v>
      </c>
      <c r="E50" s="24" t="s">
        <v>214</v>
      </c>
      <c r="F50" s="44" t="s">
        <v>426</v>
      </c>
      <c r="G50" s="44" t="s">
        <v>155</v>
      </c>
      <c r="H50" s="24" t="s">
        <v>642</v>
      </c>
      <c r="I50" s="44">
        <v>1</v>
      </c>
      <c r="J50" s="24" t="s">
        <v>1</v>
      </c>
      <c r="K50" s="103">
        <v>37305</v>
      </c>
      <c r="L50" s="46">
        <f t="shared" si="0"/>
        <v>37305</v>
      </c>
      <c r="M50" s="144">
        <v>0</v>
      </c>
      <c r="N50" s="146">
        <f t="shared" si="4"/>
        <v>0</v>
      </c>
      <c r="O50" s="144">
        <v>0</v>
      </c>
      <c r="P50" s="146">
        <f t="shared" si="5"/>
        <v>0</v>
      </c>
    </row>
    <row r="51" spans="2:16" x14ac:dyDescent="0.2">
      <c r="B51" s="44">
        <v>46</v>
      </c>
      <c r="C51" s="23" t="s">
        <v>389</v>
      </c>
      <c r="D51" s="106">
        <v>5001652</v>
      </c>
      <c r="E51" s="24" t="s">
        <v>214</v>
      </c>
      <c r="F51" s="44" t="s">
        <v>426</v>
      </c>
      <c r="G51" s="44" t="s">
        <v>155</v>
      </c>
      <c r="H51" s="24" t="s">
        <v>650</v>
      </c>
      <c r="I51" s="44">
        <v>1</v>
      </c>
      <c r="J51" s="24" t="s">
        <v>1</v>
      </c>
      <c r="K51" s="103">
        <v>137145</v>
      </c>
      <c r="L51" s="46">
        <f t="shared" si="0"/>
        <v>137145</v>
      </c>
      <c r="M51" s="144">
        <v>0.99132777042056131</v>
      </c>
      <c r="N51" s="146">
        <f t="shared" si="4"/>
        <v>135955.64707432789</v>
      </c>
      <c r="O51" s="144">
        <v>19.073816666666669</v>
      </c>
      <c r="P51" s="146">
        <f t="shared" si="5"/>
        <v>2615878.5867500002</v>
      </c>
    </row>
    <row r="52" spans="2:16" x14ac:dyDescent="0.2">
      <c r="B52" s="44">
        <v>47</v>
      </c>
      <c r="C52" s="23" t="s">
        <v>389</v>
      </c>
      <c r="D52" s="106">
        <v>5006242</v>
      </c>
      <c r="E52" s="24" t="s">
        <v>321</v>
      </c>
      <c r="F52" s="44" t="s">
        <v>426</v>
      </c>
      <c r="G52" s="44" t="s">
        <v>155</v>
      </c>
      <c r="H52" s="24" t="s">
        <v>653</v>
      </c>
      <c r="I52" s="44">
        <v>1</v>
      </c>
      <c r="J52" s="24" t="s">
        <v>7</v>
      </c>
      <c r="K52" s="103">
        <v>48</v>
      </c>
      <c r="L52" s="46">
        <f t="shared" si="0"/>
        <v>48</v>
      </c>
      <c r="M52" s="144">
        <v>0</v>
      </c>
      <c r="N52" s="146">
        <f t="shared" si="4"/>
        <v>0</v>
      </c>
      <c r="O52" s="144">
        <v>0</v>
      </c>
      <c r="P52" s="146">
        <f t="shared" si="5"/>
        <v>0</v>
      </c>
    </row>
    <row r="53" spans="2:16" x14ac:dyDescent="0.2">
      <c r="B53" s="44">
        <v>48</v>
      </c>
      <c r="C53" s="23" t="s">
        <v>389</v>
      </c>
      <c r="D53" s="106">
        <v>5001618</v>
      </c>
      <c r="E53" s="24" t="s">
        <v>321</v>
      </c>
      <c r="F53" s="44" t="s">
        <v>426</v>
      </c>
      <c r="G53" s="44" t="s">
        <v>155</v>
      </c>
      <c r="H53" s="24" t="s">
        <v>663</v>
      </c>
      <c r="I53" s="44">
        <v>1</v>
      </c>
      <c r="J53" s="24" t="s">
        <v>7</v>
      </c>
      <c r="K53" s="103">
        <v>3127</v>
      </c>
      <c r="L53" s="46">
        <f t="shared" si="0"/>
        <v>3127</v>
      </c>
      <c r="M53" s="144">
        <v>7.1825995807127878</v>
      </c>
      <c r="N53" s="146">
        <f t="shared" si="4"/>
        <v>22459.988888888889</v>
      </c>
      <c r="O53" s="144">
        <v>986.01749999999993</v>
      </c>
      <c r="P53" s="146">
        <f t="shared" si="5"/>
        <v>3083276.7224999997</v>
      </c>
    </row>
    <row r="54" spans="2:16" x14ac:dyDescent="0.2">
      <c r="B54" s="44">
        <v>49</v>
      </c>
      <c r="C54" s="23" t="s">
        <v>389</v>
      </c>
      <c r="D54" s="106">
        <v>5006243</v>
      </c>
      <c r="E54" s="24" t="s">
        <v>214</v>
      </c>
      <c r="F54" s="44" t="s">
        <v>426</v>
      </c>
      <c r="G54" s="44" t="s">
        <v>155</v>
      </c>
      <c r="H54" s="24" t="s">
        <v>641</v>
      </c>
      <c r="I54" s="44">
        <v>1</v>
      </c>
      <c r="J54" s="24" t="s">
        <v>1</v>
      </c>
      <c r="K54" s="103">
        <v>38745</v>
      </c>
      <c r="L54" s="46">
        <f t="shared" si="0"/>
        <v>38745</v>
      </c>
      <c r="M54" s="144">
        <v>0</v>
      </c>
      <c r="N54" s="146">
        <f t="shared" si="4"/>
        <v>0</v>
      </c>
      <c r="O54" s="144">
        <v>0</v>
      </c>
      <c r="P54" s="146">
        <f t="shared" si="5"/>
        <v>0</v>
      </c>
    </row>
    <row r="55" spans="2:16" x14ac:dyDescent="0.2">
      <c r="B55" s="44">
        <v>50</v>
      </c>
      <c r="C55" s="23" t="s">
        <v>389</v>
      </c>
      <c r="D55" s="106">
        <v>5001618</v>
      </c>
      <c r="E55" s="24" t="s">
        <v>321</v>
      </c>
      <c r="F55" s="44" t="s">
        <v>426</v>
      </c>
      <c r="G55" s="44" t="s">
        <v>155</v>
      </c>
      <c r="H55" s="24" t="s">
        <v>676</v>
      </c>
      <c r="I55" s="44">
        <v>1</v>
      </c>
      <c r="J55" s="24" t="s">
        <v>7</v>
      </c>
      <c r="K55" s="103">
        <v>3111</v>
      </c>
      <c r="L55" s="46">
        <f t="shared" si="0"/>
        <v>3111</v>
      </c>
      <c r="M55" s="144">
        <v>7.1825995807127878</v>
      </c>
      <c r="N55" s="146">
        <f t="shared" si="4"/>
        <v>22345.067295597484</v>
      </c>
      <c r="O55" s="144">
        <v>986.01749999999993</v>
      </c>
      <c r="P55" s="146">
        <f t="shared" si="5"/>
        <v>3067500.4424999999</v>
      </c>
    </row>
    <row r="56" spans="2:16" x14ac:dyDescent="0.2">
      <c r="B56" s="44">
        <v>51</v>
      </c>
      <c r="C56" s="23" t="s">
        <v>389</v>
      </c>
      <c r="D56" s="106">
        <v>5006243</v>
      </c>
      <c r="E56" s="24" t="s">
        <v>214</v>
      </c>
      <c r="F56" s="44" t="s">
        <v>426</v>
      </c>
      <c r="G56" s="44" t="s">
        <v>155</v>
      </c>
      <c r="H56" s="24" t="s">
        <v>653</v>
      </c>
      <c r="I56" s="44">
        <v>1</v>
      </c>
      <c r="J56" s="24" t="s">
        <v>1</v>
      </c>
      <c r="K56" s="103">
        <v>39165</v>
      </c>
      <c r="L56" s="46">
        <f t="shared" si="0"/>
        <v>39165</v>
      </c>
      <c r="M56" s="144">
        <v>0</v>
      </c>
      <c r="N56" s="146">
        <f t="shared" si="4"/>
        <v>0</v>
      </c>
      <c r="O56" s="144">
        <v>0</v>
      </c>
      <c r="P56" s="146">
        <f t="shared" si="5"/>
        <v>0</v>
      </c>
    </row>
    <row r="57" spans="2:16" x14ac:dyDescent="0.2">
      <c r="B57" s="44">
        <v>52</v>
      </c>
      <c r="C57" s="23" t="s">
        <v>389</v>
      </c>
      <c r="D57" s="106">
        <v>5001618</v>
      </c>
      <c r="E57" s="24" t="s">
        <v>321</v>
      </c>
      <c r="F57" s="44" t="s">
        <v>426</v>
      </c>
      <c r="G57" s="44" t="s">
        <v>155</v>
      </c>
      <c r="H57" s="24" t="s">
        <v>687</v>
      </c>
      <c r="I57" s="44">
        <v>1</v>
      </c>
      <c r="J57" s="24" t="s">
        <v>7</v>
      </c>
      <c r="K57" s="103">
        <v>3159</v>
      </c>
      <c r="L57" s="46">
        <f t="shared" si="0"/>
        <v>3159</v>
      </c>
      <c r="M57" s="144">
        <v>7.1825995807127878</v>
      </c>
      <c r="N57" s="146">
        <f t="shared" si="4"/>
        <v>22689.832075471695</v>
      </c>
      <c r="O57" s="144">
        <v>986.01749999999993</v>
      </c>
      <c r="P57" s="146">
        <f t="shared" si="5"/>
        <v>3114829.2824999997</v>
      </c>
    </row>
    <row r="58" spans="2:16" x14ac:dyDescent="0.2">
      <c r="B58" s="44">
        <v>53</v>
      </c>
      <c r="C58" s="23" t="s">
        <v>389</v>
      </c>
      <c r="D58" s="106">
        <v>5001652</v>
      </c>
      <c r="E58" s="24" t="s">
        <v>214</v>
      </c>
      <c r="F58" s="44" t="s">
        <v>426</v>
      </c>
      <c r="G58" s="44" t="s">
        <v>155</v>
      </c>
      <c r="H58" s="24" t="s">
        <v>688</v>
      </c>
      <c r="I58" s="44">
        <v>1</v>
      </c>
      <c r="J58" s="24" t="s">
        <v>1</v>
      </c>
      <c r="K58" s="103">
        <v>136965</v>
      </c>
      <c r="L58" s="46">
        <f t="shared" si="0"/>
        <v>136965</v>
      </c>
      <c r="M58" s="144">
        <v>0.99132777042056131</v>
      </c>
      <c r="N58" s="146">
        <f t="shared" si="4"/>
        <v>135777.20807565219</v>
      </c>
      <c r="O58" s="144">
        <v>19.073816666666669</v>
      </c>
      <c r="P58" s="146">
        <f t="shared" si="5"/>
        <v>2612445.2997500002</v>
      </c>
    </row>
    <row r="59" spans="2:16" x14ac:dyDescent="0.2">
      <c r="B59" s="44">
        <v>54</v>
      </c>
      <c r="C59" s="23" t="s">
        <v>389</v>
      </c>
      <c r="D59" s="106">
        <v>5001652</v>
      </c>
      <c r="E59" s="24" t="s">
        <v>214</v>
      </c>
      <c r="F59" s="44" t="s">
        <v>426</v>
      </c>
      <c r="G59" s="44" t="s">
        <v>155</v>
      </c>
      <c r="H59" s="24" t="s">
        <v>695</v>
      </c>
      <c r="I59" s="44">
        <v>1</v>
      </c>
      <c r="J59" s="24" t="s">
        <v>1</v>
      </c>
      <c r="K59" s="103">
        <v>138225</v>
      </c>
      <c r="L59" s="46">
        <f t="shared" si="0"/>
        <v>138225</v>
      </c>
      <c r="M59" s="144">
        <v>0.99132777042056131</v>
      </c>
      <c r="N59" s="146">
        <f t="shared" si="4"/>
        <v>137026.2810663821</v>
      </c>
      <c r="O59" s="144">
        <v>19.073816666666669</v>
      </c>
      <c r="P59" s="146">
        <f t="shared" si="5"/>
        <v>2636478.3087500003</v>
      </c>
    </row>
    <row r="60" spans="2:16" x14ac:dyDescent="0.2">
      <c r="B60" s="44">
        <v>55</v>
      </c>
      <c r="C60" s="23" t="s">
        <v>389</v>
      </c>
      <c r="D60" s="106">
        <v>5001299</v>
      </c>
      <c r="E60" s="24" t="s">
        <v>323</v>
      </c>
      <c r="F60" s="44" t="s">
        <v>424</v>
      </c>
      <c r="G60" s="44" t="s">
        <v>155</v>
      </c>
      <c r="H60" s="24" t="s">
        <v>705</v>
      </c>
      <c r="I60" s="44">
        <v>1</v>
      </c>
      <c r="J60" s="24" t="s">
        <v>7</v>
      </c>
      <c r="K60" s="103">
        <v>19040</v>
      </c>
      <c r="L60" s="46">
        <f t="shared" si="0"/>
        <v>19040</v>
      </c>
      <c r="M60" s="144">
        <v>0.86199999999999999</v>
      </c>
      <c r="N60" s="146">
        <f t="shared" si="4"/>
        <v>16412.48</v>
      </c>
      <c r="O60" s="144">
        <v>113.68499999999999</v>
      </c>
      <c r="P60" s="146">
        <f t="shared" si="5"/>
        <v>2164562.4</v>
      </c>
    </row>
    <row r="61" spans="2:16" x14ac:dyDescent="0.2">
      <c r="B61" s="44">
        <v>56</v>
      </c>
      <c r="C61" s="23" t="s">
        <v>389</v>
      </c>
      <c r="D61" s="106">
        <v>5001652</v>
      </c>
      <c r="E61" s="24" t="s">
        <v>214</v>
      </c>
      <c r="F61" s="44" t="s">
        <v>426</v>
      </c>
      <c r="G61" s="44" t="s">
        <v>155</v>
      </c>
      <c r="H61" s="24" t="s">
        <v>709</v>
      </c>
      <c r="I61" s="44">
        <v>1</v>
      </c>
      <c r="J61" s="24" t="s">
        <v>1</v>
      </c>
      <c r="K61" s="103">
        <v>134870</v>
      </c>
      <c r="L61" s="46">
        <f t="shared" si="0"/>
        <v>134870</v>
      </c>
      <c r="M61" s="144">
        <v>0.99132777042056131</v>
      </c>
      <c r="N61" s="146">
        <f t="shared" si="4"/>
        <v>133700.37639662111</v>
      </c>
      <c r="O61" s="144">
        <v>19.073816666666669</v>
      </c>
      <c r="P61" s="146">
        <f t="shared" si="5"/>
        <v>2572485.6538333339</v>
      </c>
    </row>
    <row r="62" spans="2:16" x14ac:dyDescent="0.2">
      <c r="B62" s="44">
        <v>57</v>
      </c>
      <c r="C62" s="23" t="s">
        <v>389</v>
      </c>
      <c r="D62" s="106">
        <v>5001299</v>
      </c>
      <c r="E62" s="24" t="s">
        <v>323</v>
      </c>
      <c r="F62" s="44" t="s">
        <v>424</v>
      </c>
      <c r="G62" s="44" t="s">
        <v>155</v>
      </c>
      <c r="H62" s="24" t="s">
        <v>711</v>
      </c>
      <c r="I62" s="44">
        <v>1</v>
      </c>
      <c r="J62" s="24" t="s">
        <v>7</v>
      </c>
      <c r="K62" s="103">
        <v>19340</v>
      </c>
      <c r="L62" s="46">
        <f t="shared" si="0"/>
        <v>19340</v>
      </c>
      <c r="M62" s="144">
        <v>0.86199999999999999</v>
      </c>
      <c r="N62" s="146">
        <f t="shared" si="4"/>
        <v>16671.079999999998</v>
      </c>
      <c r="O62" s="144">
        <v>113.68499999999999</v>
      </c>
      <c r="P62" s="146">
        <f t="shared" si="5"/>
        <v>2198667.9</v>
      </c>
    </row>
    <row r="63" spans="2:16" x14ac:dyDescent="0.2">
      <c r="B63" s="44">
        <v>58</v>
      </c>
      <c r="C63" s="23" t="s">
        <v>389</v>
      </c>
      <c r="D63" s="106">
        <v>5001652</v>
      </c>
      <c r="E63" s="24" t="s">
        <v>214</v>
      </c>
      <c r="F63" s="44" t="s">
        <v>426</v>
      </c>
      <c r="G63" s="44" t="s">
        <v>155</v>
      </c>
      <c r="H63" s="24" t="s">
        <v>725</v>
      </c>
      <c r="I63" s="44">
        <v>1</v>
      </c>
      <c r="J63" s="24" t="s">
        <v>1</v>
      </c>
      <c r="K63" s="103">
        <v>135525</v>
      </c>
      <c r="L63" s="46">
        <f t="shared" si="0"/>
        <v>135525</v>
      </c>
      <c r="M63" s="144">
        <v>0.99132777042056131</v>
      </c>
      <c r="N63" s="146">
        <f t="shared" si="4"/>
        <v>134349.69608624658</v>
      </c>
      <c r="O63" s="144">
        <v>19.073816666666669</v>
      </c>
      <c r="P63" s="146">
        <f t="shared" si="5"/>
        <v>2584979.0037500001</v>
      </c>
    </row>
    <row r="64" spans="2:16" x14ac:dyDescent="0.2">
      <c r="B64" s="74"/>
      <c r="C64" s="69"/>
      <c r="D64" s="108"/>
      <c r="E64" s="26"/>
      <c r="F64" s="74"/>
      <c r="G64" s="74"/>
      <c r="H64" s="26"/>
      <c r="I64" s="74"/>
      <c r="J64" s="26"/>
      <c r="K64" s="104">
        <f>SUM(K45:K63)</f>
        <v>1255682</v>
      </c>
      <c r="L64" s="104">
        <f>SUM(L45:L63)</f>
        <v>1255682</v>
      </c>
      <c r="M64" s="134"/>
      <c r="N64" s="140">
        <f t="shared" ref="N64:P64" si="6">SUM(N45:N63)</f>
        <v>1183648.6471940903</v>
      </c>
      <c r="O64" s="134"/>
      <c r="P64" s="140">
        <f t="shared" si="6"/>
        <v>34467839.777583331</v>
      </c>
    </row>
    <row r="65" spans="2:16" x14ac:dyDescent="0.2">
      <c r="B65" s="44">
        <v>59</v>
      </c>
      <c r="C65" s="23" t="s">
        <v>389</v>
      </c>
      <c r="D65" s="106">
        <v>5000200</v>
      </c>
      <c r="E65" s="24" t="s">
        <v>394</v>
      </c>
      <c r="F65" s="44" t="s">
        <v>424</v>
      </c>
      <c r="G65" s="44" t="s">
        <v>158</v>
      </c>
      <c r="H65" s="24" t="s">
        <v>588</v>
      </c>
      <c r="I65" s="44">
        <v>6</v>
      </c>
      <c r="J65" s="24" t="s">
        <v>3</v>
      </c>
      <c r="K65" s="103">
        <v>309555</v>
      </c>
      <c r="L65" s="46">
        <f t="shared" si="0"/>
        <v>1857330</v>
      </c>
      <c r="M65" s="144">
        <v>0.28375510204081633</v>
      </c>
      <c r="N65" s="146">
        <f t="shared" ref="N65:N128" si="7">+K65*M65</f>
        <v>87837.810612244895</v>
      </c>
      <c r="O65" s="144">
        <v>19.479449996898072</v>
      </c>
      <c r="P65" s="146">
        <f t="shared" ref="P65:P128" si="8">+K65*O65</f>
        <v>6029961.1437897831</v>
      </c>
    </row>
    <row r="66" spans="2:16" x14ac:dyDescent="0.2">
      <c r="B66" s="44">
        <v>60</v>
      </c>
      <c r="C66" s="23" t="s">
        <v>389</v>
      </c>
      <c r="D66" s="106">
        <v>5001351</v>
      </c>
      <c r="E66" s="24" t="s">
        <v>222</v>
      </c>
      <c r="F66" s="44" t="s">
        <v>424</v>
      </c>
      <c r="G66" s="44" t="s">
        <v>158</v>
      </c>
      <c r="H66" s="24" t="s">
        <v>591</v>
      </c>
      <c r="I66" s="44">
        <v>18</v>
      </c>
      <c r="J66" s="24" t="s">
        <v>3</v>
      </c>
      <c r="K66" s="103">
        <v>190248</v>
      </c>
      <c r="L66" s="46">
        <f t="shared" si="0"/>
        <v>3424464</v>
      </c>
      <c r="M66" s="144">
        <v>0.42861224489795918</v>
      </c>
      <c r="N66" s="146">
        <f t="shared" si="7"/>
        <v>81542.622367346936</v>
      </c>
      <c r="O66" s="144">
        <v>32.777849881796691</v>
      </c>
      <c r="P66" s="146">
        <f t="shared" si="8"/>
        <v>6235920.3843120569</v>
      </c>
    </row>
    <row r="67" spans="2:16" x14ac:dyDescent="0.2">
      <c r="B67" s="44">
        <v>61</v>
      </c>
      <c r="C67" s="23" t="s">
        <v>389</v>
      </c>
      <c r="D67" s="106">
        <v>5001534</v>
      </c>
      <c r="E67" s="24" t="s">
        <v>213</v>
      </c>
      <c r="F67" s="44" t="s">
        <v>426</v>
      </c>
      <c r="G67" s="44" t="s">
        <v>158</v>
      </c>
      <c r="H67" s="24" t="s">
        <v>592</v>
      </c>
      <c r="I67" s="44">
        <v>90</v>
      </c>
      <c r="J67" s="24" t="s">
        <v>7</v>
      </c>
      <c r="K67" s="103">
        <v>11455</v>
      </c>
      <c r="L67" s="46">
        <f t="shared" si="0"/>
        <v>1030950</v>
      </c>
      <c r="M67" s="144">
        <v>3.0630208333333333</v>
      </c>
      <c r="N67" s="146">
        <f t="shared" si="7"/>
        <v>35086.903645833336</v>
      </c>
      <c r="O67" s="144">
        <v>144.11024929527838</v>
      </c>
      <c r="P67" s="146">
        <f t="shared" si="8"/>
        <v>1650782.9056774138</v>
      </c>
    </row>
    <row r="68" spans="2:16" x14ac:dyDescent="0.2">
      <c r="B68" s="44">
        <v>62</v>
      </c>
      <c r="C68" s="23" t="s">
        <v>389</v>
      </c>
      <c r="D68" s="106">
        <v>5002960</v>
      </c>
      <c r="E68" s="24" t="s">
        <v>221</v>
      </c>
      <c r="F68" s="44" t="s">
        <v>426</v>
      </c>
      <c r="G68" s="44" t="s">
        <v>158</v>
      </c>
      <c r="H68" s="24" t="s">
        <v>593</v>
      </c>
      <c r="I68" s="44">
        <v>100</v>
      </c>
      <c r="J68" s="24" t="s">
        <v>7</v>
      </c>
      <c r="K68" s="103">
        <v>19167</v>
      </c>
      <c r="L68" s="46">
        <f t="shared" si="0"/>
        <v>1916700</v>
      </c>
      <c r="M68" s="144">
        <v>2.2000000000000002</v>
      </c>
      <c r="N68" s="146">
        <f t="shared" si="7"/>
        <v>42167.4</v>
      </c>
      <c r="O68" s="144">
        <v>104.3</v>
      </c>
      <c r="P68" s="146">
        <f t="shared" si="8"/>
        <v>1999118.0999999999</v>
      </c>
    </row>
    <row r="69" spans="2:16" x14ac:dyDescent="0.2">
      <c r="B69" s="44">
        <v>63</v>
      </c>
      <c r="C69" s="23" t="s">
        <v>389</v>
      </c>
      <c r="D69" s="106">
        <v>5002960</v>
      </c>
      <c r="E69" s="24" t="s">
        <v>221</v>
      </c>
      <c r="F69" s="44" t="s">
        <v>426</v>
      </c>
      <c r="G69" s="44" t="s">
        <v>158</v>
      </c>
      <c r="H69" s="24" t="s">
        <v>594</v>
      </c>
      <c r="I69" s="44">
        <v>100</v>
      </c>
      <c r="J69" s="24" t="s">
        <v>7</v>
      </c>
      <c r="K69" s="103">
        <v>19167</v>
      </c>
      <c r="L69" s="46">
        <f t="shared" si="0"/>
        <v>1916700</v>
      </c>
      <c r="M69" s="144">
        <v>2.2000000000000002</v>
      </c>
      <c r="N69" s="146">
        <f t="shared" si="7"/>
        <v>42167.4</v>
      </c>
      <c r="O69" s="144">
        <v>104.3</v>
      </c>
      <c r="P69" s="146">
        <f t="shared" si="8"/>
        <v>1999118.0999999999</v>
      </c>
    </row>
    <row r="70" spans="2:16" x14ac:dyDescent="0.2">
      <c r="B70" s="44">
        <v>64</v>
      </c>
      <c r="C70" s="23" t="s">
        <v>389</v>
      </c>
      <c r="D70" s="106">
        <v>5004756</v>
      </c>
      <c r="E70" s="24" t="s">
        <v>217</v>
      </c>
      <c r="F70" s="44" t="s">
        <v>426</v>
      </c>
      <c r="G70" s="44" t="s">
        <v>158</v>
      </c>
      <c r="H70" s="24" t="s">
        <v>595</v>
      </c>
      <c r="I70" s="44">
        <v>60</v>
      </c>
      <c r="J70" s="24" t="s">
        <v>7</v>
      </c>
      <c r="K70" s="103">
        <v>8216</v>
      </c>
      <c r="L70" s="46">
        <f t="shared" si="0"/>
        <v>492960</v>
      </c>
      <c r="M70" s="144">
        <v>3.0345833333333334</v>
      </c>
      <c r="N70" s="146">
        <f t="shared" si="7"/>
        <v>24932.136666666669</v>
      </c>
      <c r="O70" s="144">
        <v>319.98750000000001</v>
      </c>
      <c r="P70" s="146">
        <f t="shared" si="8"/>
        <v>2629017.3000000003</v>
      </c>
    </row>
    <row r="71" spans="2:16" x14ac:dyDescent="0.2">
      <c r="B71" s="44">
        <v>65</v>
      </c>
      <c r="C71" s="23" t="s">
        <v>389</v>
      </c>
      <c r="D71" s="106">
        <v>5006034</v>
      </c>
      <c r="E71" s="24" t="s">
        <v>218</v>
      </c>
      <c r="F71" s="44" t="s">
        <v>424</v>
      </c>
      <c r="G71" s="44" t="s">
        <v>158</v>
      </c>
      <c r="H71" s="24" t="s">
        <v>596</v>
      </c>
      <c r="I71" s="44">
        <v>6</v>
      </c>
      <c r="J71" s="24" t="s">
        <v>3</v>
      </c>
      <c r="K71" s="103">
        <v>79050</v>
      </c>
      <c r="L71" s="46">
        <f t="shared" si="0"/>
        <v>474300</v>
      </c>
      <c r="M71" s="144">
        <v>0.37546113989637309</v>
      </c>
      <c r="N71" s="146">
        <f t="shared" si="7"/>
        <v>29680.203108808291</v>
      </c>
      <c r="O71" s="144">
        <v>77.939732673267329</v>
      </c>
      <c r="P71" s="146">
        <f t="shared" si="8"/>
        <v>6161135.8678217828</v>
      </c>
    </row>
    <row r="72" spans="2:16" x14ac:dyDescent="0.2">
      <c r="B72" s="44">
        <v>66</v>
      </c>
      <c r="C72" s="23" t="s">
        <v>389</v>
      </c>
      <c r="D72" s="106">
        <v>5001534</v>
      </c>
      <c r="E72" s="24" t="s">
        <v>213</v>
      </c>
      <c r="F72" s="44" t="s">
        <v>426</v>
      </c>
      <c r="G72" s="44" t="s">
        <v>158</v>
      </c>
      <c r="H72" s="24" t="s">
        <v>598</v>
      </c>
      <c r="I72" s="44">
        <v>90</v>
      </c>
      <c r="J72" s="24" t="s">
        <v>7</v>
      </c>
      <c r="K72" s="103">
        <v>11275</v>
      </c>
      <c r="L72" s="46">
        <f t="shared" ref="L72:L135" si="9">I72*K72</f>
        <v>1014750</v>
      </c>
      <c r="M72" s="144">
        <v>3.0630208333333333</v>
      </c>
      <c r="N72" s="146">
        <f t="shared" si="7"/>
        <v>34535.559895833336</v>
      </c>
      <c r="O72" s="144">
        <v>144.11024929527838</v>
      </c>
      <c r="P72" s="146">
        <f t="shared" si="8"/>
        <v>1624843.0608042637</v>
      </c>
    </row>
    <row r="73" spans="2:16" x14ac:dyDescent="0.2">
      <c r="B73" s="44">
        <v>67</v>
      </c>
      <c r="C73" s="23" t="s">
        <v>389</v>
      </c>
      <c r="D73" s="106">
        <v>5001534</v>
      </c>
      <c r="E73" s="24" t="s">
        <v>213</v>
      </c>
      <c r="F73" s="44" t="s">
        <v>426</v>
      </c>
      <c r="G73" s="44" t="s">
        <v>158</v>
      </c>
      <c r="H73" s="24" t="s">
        <v>599</v>
      </c>
      <c r="I73" s="44">
        <v>90</v>
      </c>
      <c r="J73" s="24" t="s">
        <v>7</v>
      </c>
      <c r="K73" s="103">
        <v>11407</v>
      </c>
      <c r="L73" s="46">
        <f t="shared" si="9"/>
        <v>1026630</v>
      </c>
      <c r="M73" s="144">
        <v>3.0630208333333333</v>
      </c>
      <c r="N73" s="146">
        <f t="shared" si="7"/>
        <v>34939.878645833334</v>
      </c>
      <c r="O73" s="144">
        <v>144.11024929527838</v>
      </c>
      <c r="P73" s="146">
        <f t="shared" si="8"/>
        <v>1643865.6137112405</v>
      </c>
    </row>
    <row r="74" spans="2:16" x14ac:dyDescent="0.2">
      <c r="B74" s="44">
        <v>68</v>
      </c>
      <c r="C74" s="23" t="s">
        <v>389</v>
      </c>
      <c r="D74" s="106">
        <v>5001552</v>
      </c>
      <c r="E74" s="24" t="s">
        <v>330</v>
      </c>
      <c r="F74" s="44" t="s">
        <v>426</v>
      </c>
      <c r="G74" s="44" t="s">
        <v>158</v>
      </c>
      <c r="H74" s="24" t="s">
        <v>600</v>
      </c>
      <c r="I74" s="44">
        <v>30</v>
      </c>
      <c r="J74" s="24" t="s">
        <v>7</v>
      </c>
      <c r="K74" s="103">
        <v>35019</v>
      </c>
      <c r="L74" s="46">
        <f t="shared" si="9"/>
        <v>1050570</v>
      </c>
      <c r="M74" s="144">
        <v>1.3169791666666666</v>
      </c>
      <c r="N74" s="146">
        <f t="shared" si="7"/>
        <v>46119.293437499997</v>
      </c>
      <c r="O74" s="144">
        <v>60.67799988903684</v>
      </c>
      <c r="P74" s="146">
        <f t="shared" si="8"/>
        <v>2124882.8781141811</v>
      </c>
    </row>
    <row r="75" spans="2:16" x14ac:dyDescent="0.2">
      <c r="B75" s="44">
        <v>69</v>
      </c>
      <c r="C75" s="23" t="s">
        <v>389</v>
      </c>
      <c r="D75" s="106">
        <v>5004885</v>
      </c>
      <c r="E75" s="24" t="s">
        <v>571</v>
      </c>
      <c r="F75" s="44" t="s">
        <v>426</v>
      </c>
      <c r="G75" s="44" t="s">
        <v>158</v>
      </c>
      <c r="H75" s="24" t="s">
        <v>601</v>
      </c>
      <c r="I75" s="44">
        <v>100</v>
      </c>
      <c r="J75" s="24" t="s">
        <v>7</v>
      </c>
      <c r="K75" s="103">
        <v>1211</v>
      </c>
      <c r="L75" s="46">
        <f t="shared" si="9"/>
        <v>121100</v>
      </c>
      <c r="M75" s="144">
        <v>0</v>
      </c>
      <c r="N75" s="146">
        <f t="shared" si="7"/>
        <v>0</v>
      </c>
      <c r="O75" s="144">
        <v>0</v>
      </c>
      <c r="P75" s="146">
        <f t="shared" si="8"/>
        <v>0</v>
      </c>
    </row>
    <row r="76" spans="2:16" x14ac:dyDescent="0.2">
      <c r="B76" s="44">
        <v>70</v>
      </c>
      <c r="C76" s="23" t="s">
        <v>389</v>
      </c>
      <c r="D76" s="106">
        <v>5006034</v>
      </c>
      <c r="E76" s="24" t="s">
        <v>218</v>
      </c>
      <c r="F76" s="44" t="s">
        <v>424</v>
      </c>
      <c r="G76" s="44" t="s">
        <v>158</v>
      </c>
      <c r="H76" s="24" t="s">
        <v>602</v>
      </c>
      <c r="I76" s="44">
        <v>6</v>
      </c>
      <c r="J76" s="24" t="s">
        <v>3</v>
      </c>
      <c r="K76" s="103">
        <v>78750</v>
      </c>
      <c r="L76" s="46">
        <f t="shared" si="9"/>
        <v>472500</v>
      </c>
      <c r="M76" s="144">
        <v>0.37546113989637309</v>
      </c>
      <c r="N76" s="146">
        <f t="shared" si="7"/>
        <v>29567.564766839379</v>
      </c>
      <c r="O76" s="144">
        <v>77.939732673267329</v>
      </c>
      <c r="P76" s="146">
        <f t="shared" si="8"/>
        <v>6137753.9480198026</v>
      </c>
    </row>
    <row r="77" spans="2:16" x14ac:dyDescent="0.2">
      <c r="B77" s="44">
        <v>71</v>
      </c>
      <c r="C77" s="23" t="s">
        <v>389</v>
      </c>
      <c r="D77" s="106">
        <v>5001352</v>
      </c>
      <c r="E77" s="24" t="s">
        <v>211</v>
      </c>
      <c r="F77" s="44" t="s">
        <v>424</v>
      </c>
      <c r="G77" s="44" t="s">
        <v>158</v>
      </c>
      <c r="H77" s="24" t="s">
        <v>604</v>
      </c>
      <c r="I77" s="44">
        <v>24</v>
      </c>
      <c r="J77" s="24" t="s">
        <v>3</v>
      </c>
      <c r="K77" s="103">
        <v>141984</v>
      </c>
      <c r="L77" s="46">
        <f t="shared" si="9"/>
        <v>3407616</v>
      </c>
      <c r="M77" s="144">
        <v>0.50685714285714278</v>
      </c>
      <c r="N77" s="146">
        <f t="shared" si="7"/>
        <v>71965.604571428557</v>
      </c>
      <c r="O77" s="144">
        <v>44.075208333333329</v>
      </c>
      <c r="P77" s="146">
        <f t="shared" si="8"/>
        <v>6257974.379999999</v>
      </c>
    </row>
    <row r="78" spans="2:16" x14ac:dyDescent="0.2">
      <c r="B78" s="44">
        <v>72</v>
      </c>
      <c r="C78" s="23" t="s">
        <v>389</v>
      </c>
      <c r="D78" s="106">
        <v>5001534</v>
      </c>
      <c r="E78" s="24" t="s">
        <v>213</v>
      </c>
      <c r="F78" s="44" t="s">
        <v>426</v>
      </c>
      <c r="G78" s="44" t="s">
        <v>158</v>
      </c>
      <c r="H78" s="24" t="s">
        <v>605</v>
      </c>
      <c r="I78" s="44">
        <v>90</v>
      </c>
      <c r="J78" s="24" t="s">
        <v>7</v>
      </c>
      <c r="K78" s="103">
        <v>11419</v>
      </c>
      <c r="L78" s="46">
        <f t="shared" si="9"/>
        <v>1027710</v>
      </c>
      <c r="M78" s="144">
        <v>3.0630208333333333</v>
      </c>
      <c r="N78" s="146">
        <f t="shared" si="7"/>
        <v>34976.634895833333</v>
      </c>
      <c r="O78" s="144">
        <v>144.11024929527838</v>
      </c>
      <c r="P78" s="146">
        <f t="shared" si="8"/>
        <v>1645594.9367027839</v>
      </c>
    </row>
    <row r="79" spans="2:16" x14ac:dyDescent="0.2">
      <c r="B79" s="44">
        <v>73</v>
      </c>
      <c r="C79" s="23" t="s">
        <v>389</v>
      </c>
      <c r="D79" s="106">
        <v>5001352</v>
      </c>
      <c r="E79" s="24" t="s">
        <v>211</v>
      </c>
      <c r="F79" s="44" t="s">
        <v>424</v>
      </c>
      <c r="G79" s="44" t="s">
        <v>158</v>
      </c>
      <c r="H79" s="24" t="s">
        <v>606</v>
      </c>
      <c r="I79" s="44">
        <v>24</v>
      </c>
      <c r="J79" s="24" t="s">
        <v>3</v>
      </c>
      <c r="K79" s="103">
        <v>42636</v>
      </c>
      <c r="L79" s="46">
        <f t="shared" si="9"/>
        <v>1023264</v>
      </c>
      <c r="M79" s="144">
        <v>0.50685714285714278</v>
      </c>
      <c r="N79" s="146">
        <f t="shared" si="7"/>
        <v>21610.361142857138</v>
      </c>
      <c r="O79" s="144">
        <v>44.075208333333329</v>
      </c>
      <c r="P79" s="146">
        <f t="shared" si="8"/>
        <v>1879190.5824999998</v>
      </c>
    </row>
    <row r="80" spans="2:16" x14ac:dyDescent="0.2">
      <c r="B80" s="44">
        <v>74</v>
      </c>
      <c r="C80" s="23" t="s">
        <v>389</v>
      </c>
      <c r="D80" s="106">
        <v>5002961</v>
      </c>
      <c r="E80" s="24" t="s">
        <v>399</v>
      </c>
      <c r="F80" s="44" t="s">
        <v>426</v>
      </c>
      <c r="G80" s="44" t="s">
        <v>158</v>
      </c>
      <c r="H80" s="24" t="s">
        <v>607</v>
      </c>
      <c r="I80" s="44">
        <v>100</v>
      </c>
      <c r="J80" s="24" t="s">
        <v>7</v>
      </c>
      <c r="K80" s="103">
        <v>9550</v>
      </c>
      <c r="L80" s="46">
        <f t="shared" si="9"/>
        <v>955000</v>
      </c>
      <c r="M80" s="144">
        <v>2.2000000000000002</v>
      </c>
      <c r="N80" s="146">
        <f t="shared" si="7"/>
        <v>21010</v>
      </c>
      <c r="O80" s="144">
        <v>181.89599957912458</v>
      </c>
      <c r="P80" s="146">
        <f t="shared" si="8"/>
        <v>1737106.7959806398</v>
      </c>
    </row>
    <row r="81" spans="2:16" x14ac:dyDescent="0.2">
      <c r="B81" s="44">
        <v>75</v>
      </c>
      <c r="C81" s="23" t="s">
        <v>389</v>
      </c>
      <c r="D81" s="106">
        <v>5004883</v>
      </c>
      <c r="E81" s="24" t="s">
        <v>572</v>
      </c>
      <c r="F81" s="44" t="s">
        <v>426</v>
      </c>
      <c r="G81" s="44" t="s">
        <v>158</v>
      </c>
      <c r="H81" s="24" t="s">
        <v>608</v>
      </c>
      <c r="I81" s="44">
        <v>100</v>
      </c>
      <c r="J81" s="24" t="s">
        <v>7</v>
      </c>
      <c r="K81" s="103">
        <v>1243</v>
      </c>
      <c r="L81" s="46">
        <f t="shared" si="9"/>
        <v>124300</v>
      </c>
      <c r="M81" s="144">
        <v>0</v>
      </c>
      <c r="N81" s="146">
        <f t="shared" si="7"/>
        <v>0</v>
      </c>
      <c r="O81" s="144">
        <v>0</v>
      </c>
      <c r="P81" s="146">
        <f t="shared" si="8"/>
        <v>0</v>
      </c>
    </row>
    <row r="82" spans="2:16" x14ac:dyDescent="0.2">
      <c r="B82" s="44">
        <v>76</v>
      </c>
      <c r="C82" s="23" t="s">
        <v>389</v>
      </c>
      <c r="D82" s="106">
        <v>5004883</v>
      </c>
      <c r="E82" s="24" t="s">
        <v>572</v>
      </c>
      <c r="F82" s="44" t="s">
        <v>426</v>
      </c>
      <c r="G82" s="44" t="s">
        <v>158</v>
      </c>
      <c r="H82" s="24" t="s">
        <v>609</v>
      </c>
      <c r="I82" s="44">
        <v>100</v>
      </c>
      <c r="J82" s="24" t="s">
        <v>7</v>
      </c>
      <c r="K82" s="103">
        <v>1243</v>
      </c>
      <c r="L82" s="46">
        <f t="shared" si="9"/>
        <v>124300</v>
      </c>
      <c r="M82" s="144">
        <v>0</v>
      </c>
      <c r="N82" s="146">
        <f t="shared" si="7"/>
        <v>0</v>
      </c>
      <c r="O82" s="144">
        <v>0</v>
      </c>
      <c r="P82" s="146">
        <f t="shared" si="8"/>
        <v>0</v>
      </c>
    </row>
    <row r="83" spans="2:16" x14ac:dyDescent="0.2">
      <c r="B83" s="44">
        <v>77</v>
      </c>
      <c r="C83" s="23" t="s">
        <v>389</v>
      </c>
      <c r="D83" s="106">
        <v>5004883</v>
      </c>
      <c r="E83" s="24" t="s">
        <v>572</v>
      </c>
      <c r="F83" s="44" t="s">
        <v>426</v>
      </c>
      <c r="G83" s="44" t="s">
        <v>158</v>
      </c>
      <c r="H83" s="24" t="s">
        <v>610</v>
      </c>
      <c r="I83" s="44">
        <v>100</v>
      </c>
      <c r="J83" s="24" t="s">
        <v>7</v>
      </c>
      <c r="K83" s="103">
        <v>1091</v>
      </c>
      <c r="L83" s="46">
        <f t="shared" si="9"/>
        <v>109100</v>
      </c>
      <c r="M83" s="144">
        <v>0</v>
      </c>
      <c r="N83" s="146">
        <f t="shared" si="7"/>
        <v>0</v>
      </c>
      <c r="O83" s="144">
        <v>0</v>
      </c>
      <c r="P83" s="146">
        <f t="shared" si="8"/>
        <v>0</v>
      </c>
    </row>
    <row r="84" spans="2:16" x14ac:dyDescent="0.2">
      <c r="B84" s="44">
        <v>78</v>
      </c>
      <c r="C84" s="23" t="s">
        <v>389</v>
      </c>
      <c r="D84" s="106">
        <v>5006034</v>
      </c>
      <c r="E84" s="24" t="s">
        <v>218</v>
      </c>
      <c r="F84" s="44" t="s">
        <v>424</v>
      </c>
      <c r="G84" s="44" t="s">
        <v>158</v>
      </c>
      <c r="H84" s="24" t="s">
        <v>611</v>
      </c>
      <c r="I84" s="44">
        <v>6</v>
      </c>
      <c r="J84" s="24" t="s">
        <v>3</v>
      </c>
      <c r="K84" s="103">
        <v>78870</v>
      </c>
      <c r="L84" s="46">
        <f t="shared" si="9"/>
        <v>473220</v>
      </c>
      <c r="M84" s="144">
        <v>0.37546113989637309</v>
      </c>
      <c r="N84" s="146">
        <f t="shared" si="7"/>
        <v>29612.620103626945</v>
      </c>
      <c r="O84" s="144">
        <v>77.939732673267329</v>
      </c>
      <c r="P84" s="146">
        <f t="shared" si="8"/>
        <v>6147106.7159405947</v>
      </c>
    </row>
    <row r="85" spans="2:16" x14ac:dyDescent="0.2">
      <c r="B85" s="44">
        <v>79</v>
      </c>
      <c r="C85" s="23" t="s">
        <v>389</v>
      </c>
      <c r="D85" s="106">
        <v>5000108</v>
      </c>
      <c r="E85" s="24" t="s">
        <v>573</v>
      </c>
      <c r="F85" s="44" t="s">
        <v>424</v>
      </c>
      <c r="G85" s="44" t="s">
        <v>158</v>
      </c>
      <c r="H85" s="24" t="s">
        <v>604</v>
      </c>
      <c r="I85" s="44">
        <v>24</v>
      </c>
      <c r="J85" s="24" t="s">
        <v>3</v>
      </c>
      <c r="K85" s="103">
        <v>846</v>
      </c>
      <c r="L85" s="46">
        <f t="shared" si="9"/>
        <v>20304</v>
      </c>
      <c r="M85" s="144">
        <v>0.67400000000000004</v>
      </c>
      <c r="N85" s="146">
        <f t="shared" si="7"/>
        <v>570.20400000000006</v>
      </c>
      <c r="O85" s="144">
        <v>43.458333333333336</v>
      </c>
      <c r="P85" s="146">
        <f t="shared" si="8"/>
        <v>36765.75</v>
      </c>
    </row>
    <row r="86" spans="2:16" x14ac:dyDescent="0.2">
      <c r="B86" s="44">
        <v>80</v>
      </c>
      <c r="C86" s="23" t="s">
        <v>389</v>
      </c>
      <c r="D86" s="106">
        <v>5000108</v>
      </c>
      <c r="E86" s="24" t="s">
        <v>573</v>
      </c>
      <c r="F86" s="44" t="s">
        <v>424</v>
      </c>
      <c r="G86" s="44" t="s">
        <v>158</v>
      </c>
      <c r="H86" s="24" t="s">
        <v>606</v>
      </c>
      <c r="I86" s="44">
        <v>24</v>
      </c>
      <c r="J86" s="24" t="s">
        <v>3</v>
      </c>
      <c r="K86" s="103">
        <v>99816</v>
      </c>
      <c r="L86" s="46">
        <f t="shared" si="9"/>
        <v>2395584</v>
      </c>
      <c r="M86" s="144">
        <v>0.67400000000000004</v>
      </c>
      <c r="N86" s="146">
        <f t="shared" si="7"/>
        <v>67275.984000000011</v>
      </c>
      <c r="O86" s="144">
        <v>43.458333333333336</v>
      </c>
      <c r="P86" s="146">
        <f t="shared" si="8"/>
        <v>4337837</v>
      </c>
    </row>
    <row r="87" spans="2:16" x14ac:dyDescent="0.2">
      <c r="B87" s="44">
        <v>81</v>
      </c>
      <c r="C87" s="23" t="s">
        <v>389</v>
      </c>
      <c r="D87" s="106">
        <v>5000846</v>
      </c>
      <c r="E87" s="24" t="s">
        <v>401</v>
      </c>
      <c r="F87" s="44" t="s">
        <v>426</v>
      </c>
      <c r="G87" s="44" t="s">
        <v>158</v>
      </c>
      <c r="H87" s="24" t="s">
        <v>612</v>
      </c>
      <c r="I87" s="44">
        <v>500</v>
      </c>
      <c r="J87" s="24" t="s">
        <v>7</v>
      </c>
      <c r="K87" s="103">
        <v>3842</v>
      </c>
      <c r="L87" s="46">
        <f t="shared" si="9"/>
        <v>1921000</v>
      </c>
      <c r="M87" s="144">
        <v>9.578125</v>
      </c>
      <c r="N87" s="146">
        <f t="shared" si="7"/>
        <v>36799.15625</v>
      </c>
      <c r="O87" s="144">
        <v>197.20349794238683</v>
      </c>
      <c r="P87" s="146">
        <f t="shared" si="8"/>
        <v>757655.83909465023</v>
      </c>
    </row>
    <row r="88" spans="2:16" x14ac:dyDescent="0.2">
      <c r="B88" s="44">
        <v>82</v>
      </c>
      <c r="C88" s="23" t="s">
        <v>389</v>
      </c>
      <c r="D88" s="106">
        <v>5002703</v>
      </c>
      <c r="E88" s="24" t="s">
        <v>393</v>
      </c>
      <c r="F88" s="44" t="s">
        <v>426</v>
      </c>
      <c r="G88" s="44" t="s">
        <v>158</v>
      </c>
      <c r="H88" s="24" t="s">
        <v>613</v>
      </c>
      <c r="I88" s="44">
        <v>30</v>
      </c>
      <c r="J88" s="24" t="s">
        <v>7</v>
      </c>
      <c r="K88" s="103">
        <v>11180</v>
      </c>
      <c r="L88" s="46">
        <f t="shared" si="9"/>
        <v>335400</v>
      </c>
      <c r="M88" s="144">
        <v>1.3169791666666666</v>
      </c>
      <c r="N88" s="146">
        <f t="shared" si="7"/>
        <v>14723.827083333332</v>
      </c>
      <c r="O88" s="144">
        <v>83.792500000000004</v>
      </c>
      <c r="P88" s="146">
        <f t="shared" si="8"/>
        <v>936800.15</v>
      </c>
    </row>
    <row r="89" spans="2:16" x14ac:dyDescent="0.2">
      <c r="B89" s="44">
        <v>83</v>
      </c>
      <c r="C89" s="23" t="s">
        <v>389</v>
      </c>
      <c r="D89" s="106">
        <v>5004881</v>
      </c>
      <c r="E89" s="24" t="s">
        <v>574</v>
      </c>
      <c r="F89" s="44" t="s">
        <v>426</v>
      </c>
      <c r="G89" s="44" t="s">
        <v>158</v>
      </c>
      <c r="H89" s="24" t="s">
        <v>614</v>
      </c>
      <c r="I89" s="44">
        <v>100</v>
      </c>
      <c r="J89" s="24" t="s">
        <v>7</v>
      </c>
      <c r="K89" s="103">
        <v>1263</v>
      </c>
      <c r="L89" s="46">
        <f t="shared" si="9"/>
        <v>126300</v>
      </c>
      <c r="M89" s="144">
        <v>0</v>
      </c>
      <c r="N89" s="146">
        <f t="shared" si="7"/>
        <v>0</v>
      </c>
      <c r="O89" s="144">
        <v>0</v>
      </c>
      <c r="P89" s="146">
        <f t="shared" si="8"/>
        <v>0</v>
      </c>
    </row>
    <row r="90" spans="2:16" x14ac:dyDescent="0.2">
      <c r="B90" s="44">
        <v>84</v>
      </c>
      <c r="C90" s="23" t="s">
        <v>389</v>
      </c>
      <c r="D90" s="106">
        <v>5000108</v>
      </c>
      <c r="E90" s="24" t="s">
        <v>573</v>
      </c>
      <c r="F90" s="44" t="s">
        <v>424</v>
      </c>
      <c r="G90" s="44" t="s">
        <v>158</v>
      </c>
      <c r="H90" s="24" t="s">
        <v>615</v>
      </c>
      <c r="I90" s="44">
        <v>24</v>
      </c>
      <c r="J90" s="24" t="s">
        <v>3</v>
      </c>
      <c r="K90" s="103">
        <v>142056</v>
      </c>
      <c r="L90" s="46">
        <f t="shared" si="9"/>
        <v>3409344</v>
      </c>
      <c r="M90" s="144">
        <v>0.67400000000000004</v>
      </c>
      <c r="N90" s="146">
        <f t="shared" si="7"/>
        <v>95745.744000000006</v>
      </c>
      <c r="O90" s="144">
        <v>43.458333333333336</v>
      </c>
      <c r="P90" s="146">
        <f t="shared" si="8"/>
        <v>6173517</v>
      </c>
    </row>
    <row r="91" spans="2:16" x14ac:dyDescent="0.2">
      <c r="B91" s="44">
        <v>85</v>
      </c>
      <c r="C91" s="23" t="s">
        <v>389</v>
      </c>
      <c r="D91" s="106">
        <v>5002703</v>
      </c>
      <c r="E91" s="24" t="s">
        <v>393</v>
      </c>
      <c r="F91" s="44" t="s">
        <v>426</v>
      </c>
      <c r="G91" s="44" t="s">
        <v>158</v>
      </c>
      <c r="H91" s="24" t="s">
        <v>620</v>
      </c>
      <c r="I91" s="44">
        <v>30</v>
      </c>
      <c r="J91" s="24" t="s">
        <v>7</v>
      </c>
      <c r="K91" s="103">
        <v>10292</v>
      </c>
      <c r="L91" s="46">
        <f t="shared" si="9"/>
        <v>308760</v>
      </c>
      <c r="M91" s="144">
        <v>1.3169791666666666</v>
      </c>
      <c r="N91" s="146">
        <f t="shared" si="7"/>
        <v>13554.349583333333</v>
      </c>
      <c r="O91" s="144">
        <v>83.792500000000004</v>
      </c>
      <c r="P91" s="146">
        <f t="shared" si="8"/>
        <v>862392.41</v>
      </c>
    </row>
    <row r="92" spans="2:16" x14ac:dyDescent="0.2">
      <c r="B92" s="44">
        <v>86</v>
      </c>
      <c r="C92" s="23" t="s">
        <v>389</v>
      </c>
      <c r="D92" s="106">
        <v>5004881</v>
      </c>
      <c r="E92" s="24" t="s">
        <v>574</v>
      </c>
      <c r="F92" s="44" t="s">
        <v>426</v>
      </c>
      <c r="G92" s="44" t="s">
        <v>158</v>
      </c>
      <c r="H92" s="24" t="s">
        <v>621</v>
      </c>
      <c r="I92" s="44">
        <v>100</v>
      </c>
      <c r="J92" s="24" t="s">
        <v>7</v>
      </c>
      <c r="K92" s="103">
        <v>1251</v>
      </c>
      <c r="L92" s="46">
        <f t="shared" si="9"/>
        <v>125100</v>
      </c>
      <c r="M92" s="144">
        <v>0</v>
      </c>
      <c r="N92" s="146">
        <f t="shared" si="7"/>
        <v>0</v>
      </c>
      <c r="O92" s="144">
        <v>0</v>
      </c>
      <c r="P92" s="146">
        <f t="shared" si="8"/>
        <v>0</v>
      </c>
    </row>
    <row r="93" spans="2:16" x14ac:dyDescent="0.2">
      <c r="B93" s="44">
        <v>87</v>
      </c>
      <c r="C93" s="23" t="s">
        <v>389</v>
      </c>
      <c r="D93" s="106">
        <v>5004881</v>
      </c>
      <c r="E93" s="24" t="s">
        <v>574</v>
      </c>
      <c r="F93" s="44" t="s">
        <v>426</v>
      </c>
      <c r="G93" s="44" t="s">
        <v>158</v>
      </c>
      <c r="H93" s="24" t="s">
        <v>622</v>
      </c>
      <c r="I93" s="44">
        <v>100</v>
      </c>
      <c r="J93" s="24" t="s">
        <v>7</v>
      </c>
      <c r="K93" s="103">
        <v>1199</v>
      </c>
      <c r="L93" s="46">
        <f t="shared" si="9"/>
        <v>119900</v>
      </c>
      <c r="M93" s="144">
        <v>0</v>
      </c>
      <c r="N93" s="146">
        <f t="shared" si="7"/>
        <v>0</v>
      </c>
      <c r="O93" s="144">
        <v>0</v>
      </c>
      <c r="P93" s="146">
        <f t="shared" si="8"/>
        <v>0</v>
      </c>
    </row>
    <row r="94" spans="2:16" x14ac:dyDescent="0.2">
      <c r="B94" s="44">
        <v>88</v>
      </c>
      <c r="C94" s="23" t="s">
        <v>389</v>
      </c>
      <c r="D94" s="106">
        <v>5006351</v>
      </c>
      <c r="E94" s="24" t="s">
        <v>575</v>
      </c>
      <c r="F94" s="44" t="s">
        <v>424</v>
      </c>
      <c r="G94" s="44" t="s">
        <v>158</v>
      </c>
      <c r="H94" s="24" t="s">
        <v>623</v>
      </c>
      <c r="I94" s="44">
        <v>14</v>
      </c>
      <c r="J94" s="24" t="s">
        <v>3</v>
      </c>
      <c r="K94" s="103">
        <v>450</v>
      </c>
      <c r="L94" s="46">
        <f t="shared" si="9"/>
        <v>6300</v>
      </c>
      <c r="M94" s="144">
        <v>0.38112500000000005</v>
      </c>
      <c r="N94" s="146">
        <f t="shared" si="7"/>
        <v>171.50625000000002</v>
      </c>
      <c r="O94" s="144">
        <v>0</v>
      </c>
      <c r="P94" s="146">
        <f t="shared" si="8"/>
        <v>0</v>
      </c>
    </row>
    <row r="95" spans="2:16" x14ac:dyDescent="0.2">
      <c r="B95" s="44">
        <v>89</v>
      </c>
      <c r="C95" s="23" t="s">
        <v>389</v>
      </c>
      <c r="D95" s="106">
        <v>5000108</v>
      </c>
      <c r="E95" s="24" t="s">
        <v>573</v>
      </c>
      <c r="F95" s="44" t="s">
        <v>424</v>
      </c>
      <c r="G95" s="44" t="s">
        <v>158</v>
      </c>
      <c r="H95" s="24" t="s">
        <v>624</v>
      </c>
      <c r="I95" s="44">
        <v>24</v>
      </c>
      <c r="J95" s="24" t="s">
        <v>3</v>
      </c>
      <c r="K95" s="103">
        <v>143136</v>
      </c>
      <c r="L95" s="46">
        <f t="shared" si="9"/>
        <v>3435264</v>
      </c>
      <c r="M95" s="144">
        <v>0.67400000000000004</v>
      </c>
      <c r="N95" s="146">
        <f t="shared" si="7"/>
        <v>96473.664000000004</v>
      </c>
      <c r="O95" s="144">
        <v>43.458333333333336</v>
      </c>
      <c r="P95" s="146">
        <f t="shared" si="8"/>
        <v>6220452</v>
      </c>
    </row>
    <row r="96" spans="2:16" x14ac:dyDescent="0.2">
      <c r="B96" s="44">
        <v>90</v>
      </c>
      <c r="C96" s="23" t="s">
        <v>389</v>
      </c>
      <c r="D96" s="106">
        <v>5000494</v>
      </c>
      <c r="E96" s="24" t="s">
        <v>226</v>
      </c>
      <c r="F96" s="44" t="s">
        <v>426</v>
      </c>
      <c r="G96" s="44" t="s">
        <v>158</v>
      </c>
      <c r="H96" s="24" t="s">
        <v>625</v>
      </c>
      <c r="I96" s="44">
        <v>60</v>
      </c>
      <c r="J96" s="24" t="s">
        <v>7</v>
      </c>
      <c r="K96" s="103">
        <v>903</v>
      </c>
      <c r="L96" s="46">
        <f t="shared" si="9"/>
        <v>54180</v>
      </c>
      <c r="M96" s="144">
        <v>3.0345833333333334</v>
      </c>
      <c r="N96" s="146">
        <f t="shared" si="7"/>
        <v>2740.2287500000002</v>
      </c>
      <c r="O96" s="144">
        <v>3534.4934956709958</v>
      </c>
      <c r="P96" s="146">
        <f t="shared" si="8"/>
        <v>3191647.6265909094</v>
      </c>
    </row>
    <row r="97" spans="2:16" x14ac:dyDescent="0.2">
      <c r="B97" s="44">
        <v>91</v>
      </c>
      <c r="C97" s="23" t="s">
        <v>389</v>
      </c>
      <c r="D97" s="106">
        <v>5000494</v>
      </c>
      <c r="E97" s="24" t="s">
        <v>226</v>
      </c>
      <c r="F97" s="44" t="s">
        <v>426</v>
      </c>
      <c r="G97" s="44" t="s">
        <v>158</v>
      </c>
      <c r="H97" s="24" t="s">
        <v>626</v>
      </c>
      <c r="I97" s="44">
        <v>60</v>
      </c>
      <c r="J97" s="24" t="s">
        <v>7</v>
      </c>
      <c r="K97" s="103">
        <v>951</v>
      </c>
      <c r="L97" s="46">
        <f t="shared" si="9"/>
        <v>57060</v>
      </c>
      <c r="M97" s="144">
        <v>3.0345833333333334</v>
      </c>
      <c r="N97" s="146">
        <f t="shared" si="7"/>
        <v>2885.8887500000001</v>
      </c>
      <c r="O97" s="144">
        <v>3534.4934956709958</v>
      </c>
      <c r="P97" s="146">
        <f t="shared" si="8"/>
        <v>3361303.314383117</v>
      </c>
    </row>
    <row r="98" spans="2:16" x14ac:dyDescent="0.2">
      <c r="B98" s="44">
        <v>92</v>
      </c>
      <c r="C98" s="23" t="s">
        <v>389</v>
      </c>
      <c r="D98" s="106">
        <v>5000494</v>
      </c>
      <c r="E98" s="24" t="s">
        <v>226</v>
      </c>
      <c r="F98" s="44" t="s">
        <v>426</v>
      </c>
      <c r="G98" s="44" t="s">
        <v>158</v>
      </c>
      <c r="H98" s="24" t="s">
        <v>627</v>
      </c>
      <c r="I98" s="44">
        <v>60</v>
      </c>
      <c r="J98" s="24" t="s">
        <v>7</v>
      </c>
      <c r="K98" s="103">
        <v>939</v>
      </c>
      <c r="L98" s="46">
        <f t="shared" si="9"/>
        <v>56340</v>
      </c>
      <c r="M98" s="144">
        <v>3.0345833333333334</v>
      </c>
      <c r="N98" s="146">
        <f t="shared" si="7"/>
        <v>2849.4737500000001</v>
      </c>
      <c r="O98" s="144">
        <v>3534.4934956709958</v>
      </c>
      <c r="P98" s="146">
        <f t="shared" si="8"/>
        <v>3318889.392435065</v>
      </c>
    </row>
    <row r="99" spans="2:16" x14ac:dyDescent="0.2">
      <c r="B99" s="44">
        <v>93</v>
      </c>
      <c r="C99" s="23" t="s">
        <v>389</v>
      </c>
      <c r="D99" s="106">
        <v>5002703</v>
      </c>
      <c r="E99" s="24" t="s">
        <v>393</v>
      </c>
      <c r="F99" s="44" t="s">
        <v>426</v>
      </c>
      <c r="G99" s="44" t="s">
        <v>158</v>
      </c>
      <c r="H99" s="24" t="s">
        <v>630</v>
      </c>
      <c r="I99" s="44">
        <v>30</v>
      </c>
      <c r="J99" s="24" t="s">
        <v>7</v>
      </c>
      <c r="K99" s="103">
        <v>10599</v>
      </c>
      <c r="L99" s="46">
        <f t="shared" si="9"/>
        <v>317970</v>
      </c>
      <c r="M99" s="144">
        <v>1.3169791666666666</v>
      </c>
      <c r="N99" s="146">
        <f t="shared" si="7"/>
        <v>13958.6621875</v>
      </c>
      <c r="O99" s="144">
        <v>83.792500000000004</v>
      </c>
      <c r="P99" s="146">
        <f t="shared" si="8"/>
        <v>888116.70750000002</v>
      </c>
    </row>
    <row r="100" spans="2:16" x14ac:dyDescent="0.2">
      <c r="B100" s="44">
        <v>94</v>
      </c>
      <c r="C100" s="23" t="s">
        <v>389</v>
      </c>
      <c r="D100" s="106">
        <v>5002703</v>
      </c>
      <c r="E100" s="24" t="s">
        <v>393</v>
      </c>
      <c r="F100" s="44" t="s">
        <v>426</v>
      </c>
      <c r="G100" s="44" t="s">
        <v>158</v>
      </c>
      <c r="H100" s="24" t="s">
        <v>631</v>
      </c>
      <c r="I100" s="44">
        <v>30</v>
      </c>
      <c r="J100" s="24" t="s">
        <v>7</v>
      </c>
      <c r="K100" s="103">
        <v>7184</v>
      </c>
      <c r="L100" s="46">
        <f t="shared" si="9"/>
        <v>215520</v>
      </c>
      <c r="M100" s="144">
        <v>1.3169791666666666</v>
      </c>
      <c r="N100" s="146">
        <f t="shared" si="7"/>
        <v>9461.1783333333333</v>
      </c>
      <c r="O100" s="144">
        <v>83.792500000000004</v>
      </c>
      <c r="P100" s="146">
        <f t="shared" si="8"/>
        <v>601965.32000000007</v>
      </c>
    </row>
    <row r="101" spans="2:16" x14ac:dyDescent="0.2">
      <c r="B101" s="44">
        <v>95</v>
      </c>
      <c r="C101" s="23" t="s">
        <v>389</v>
      </c>
      <c r="D101" s="106">
        <v>5000200</v>
      </c>
      <c r="E101" s="24" t="s">
        <v>394</v>
      </c>
      <c r="F101" s="44" t="s">
        <v>424</v>
      </c>
      <c r="G101" s="44" t="s">
        <v>158</v>
      </c>
      <c r="H101" s="24" t="s">
        <v>632</v>
      </c>
      <c r="I101" s="44">
        <v>6</v>
      </c>
      <c r="J101" s="24" t="s">
        <v>3</v>
      </c>
      <c r="K101" s="103">
        <v>20115</v>
      </c>
      <c r="L101" s="46">
        <f t="shared" si="9"/>
        <v>120690</v>
      </c>
      <c r="M101" s="144">
        <v>0.28375510204081633</v>
      </c>
      <c r="N101" s="146">
        <f t="shared" si="7"/>
        <v>5707.7338775510207</v>
      </c>
      <c r="O101" s="144">
        <v>19.479449996898072</v>
      </c>
      <c r="P101" s="146">
        <f t="shared" si="8"/>
        <v>391829.13668760471</v>
      </c>
    </row>
    <row r="102" spans="2:16" x14ac:dyDescent="0.2">
      <c r="B102" s="44">
        <v>96</v>
      </c>
      <c r="C102" s="23" t="s">
        <v>389</v>
      </c>
      <c r="D102" s="106">
        <v>5004756</v>
      </c>
      <c r="E102" s="24" t="s">
        <v>217</v>
      </c>
      <c r="F102" s="44" t="s">
        <v>426</v>
      </c>
      <c r="G102" s="44" t="s">
        <v>158</v>
      </c>
      <c r="H102" s="24" t="s">
        <v>636</v>
      </c>
      <c r="I102" s="44">
        <v>60</v>
      </c>
      <c r="J102" s="24" t="s">
        <v>7</v>
      </c>
      <c r="K102" s="103">
        <v>7905</v>
      </c>
      <c r="L102" s="46">
        <f t="shared" si="9"/>
        <v>474300</v>
      </c>
      <c r="M102" s="144">
        <v>3.0345833333333334</v>
      </c>
      <c r="N102" s="146">
        <f t="shared" si="7"/>
        <v>23988.381250000002</v>
      </c>
      <c r="O102" s="144">
        <v>319.98750000000001</v>
      </c>
      <c r="P102" s="146">
        <f t="shared" si="8"/>
        <v>2529501.1875</v>
      </c>
    </row>
    <row r="103" spans="2:16" x14ac:dyDescent="0.2">
      <c r="B103" s="44">
        <v>97</v>
      </c>
      <c r="C103" s="23" t="s">
        <v>389</v>
      </c>
      <c r="D103" s="106">
        <v>5001666</v>
      </c>
      <c r="E103" s="24" t="s">
        <v>327</v>
      </c>
      <c r="F103" s="44" t="s">
        <v>426</v>
      </c>
      <c r="G103" s="44" t="s">
        <v>158</v>
      </c>
      <c r="H103" s="24" t="s">
        <v>640</v>
      </c>
      <c r="I103" s="44">
        <v>500</v>
      </c>
      <c r="J103" s="24" t="s">
        <v>7</v>
      </c>
      <c r="K103" s="103">
        <v>3607</v>
      </c>
      <c r="L103" s="46">
        <f t="shared" si="9"/>
        <v>1803500</v>
      </c>
      <c r="M103" s="144">
        <v>9.578125</v>
      </c>
      <c r="N103" s="146">
        <f t="shared" si="7"/>
        <v>34548.296875</v>
      </c>
      <c r="O103" s="144">
        <v>250.29674944812362</v>
      </c>
      <c r="P103" s="146">
        <f t="shared" si="8"/>
        <v>902820.37525938195</v>
      </c>
    </row>
    <row r="104" spans="2:16" x14ac:dyDescent="0.2">
      <c r="B104" s="44">
        <v>98</v>
      </c>
      <c r="C104" s="23" t="s">
        <v>389</v>
      </c>
      <c r="D104" s="106">
        <v>5006350</v>
      </c>
      <c r="E104" s="24" t="s">
        <v>577</v>
      </c>
      <c r="F104" s="44" t="s">
        <v>424</v>
      </c>
      <c r="G104" s="44" t="s">
        <v>158</v>
      </c>
      <c r="H104" s="24" t="s">
        <v>643</v>
      </c>
      <c r="I104" s="44">
        <v>14</v>
      </c>
      <c r="J104" s="24" t="s">
        <v>3</v>
      </c>
      <c r="K104" s="103">
        <v>2800</v>
      </c>
      <c r="L104" s="46">
        <f t="shared" si="9"/>
        <v>39200</v>
      </c>
      <c r="M104" s="144">
        <v>0.38112500000000005</v>
      </c>
      <c r="N104" s="146">
        <f t="shared" si="7"/>
        <v>1067.1500000000001</v>
      </c>
      <c r="O104" s="144">
        <v>0</v>
      </c>
      <c r="P104" s="146">
        <f t="shared" si="8"/>
        <v>0</v>
      </c>
    </row>
    <row r="105" spans="2:16" x14ac:dyDescent="0.2">
      <c r="B105" s="44">
        <v>99</v>
      </c>
      <c r="C105" s="23" t="s">
        <v>389</v>
      </c>
      <c r="D105" s="106">
        <v>5000108</v>
      </c>
      <c r="E105" s="24" t="s">
        <v>573</v>
      </c>
      <c r="F105" s="44" t="s">
        <v>424</v>
      </c>
      <c r="G105" s="44" t="s">
        <v>158</v>
      </c>
      <c r="H105" s="24" t="s">
        <v>644</v>
      </c>
      <c r="I105" s="44">
        <v>24</v>
      </c>
      <c r="J105" s="24" t="s">
        <v>3</v>
      </c>
      <c r="K105" s="103">
        <v>142536</v>
      </c>
      <c r="L105" s="46">
        <f t="shared" si="9"/>
        <v>3420864</v>
      </c>
      <c r="M105" s="144">
        <v>0.67400000000000004</v>
      </c>
      <c r="N105" s="146">
        <f t="shared" si="7"/>
        <v>96069.26400000001</v>
      </c>
      <c r="O105" s="144">
        <v>43.458333333333336</v>
      </c>
      <c r="P105" s="146">
        <f t="shared" si="8"/>
        <v>6194377</v>
      </c>
    </row>
    <row r="106" spans="2:16" x14ac:dyDescent="0.2">
      <c r="B106" s="44">
        <v>100</v>
      </c>
      <c r="C106" s="23" t="s">
        <v>389</v>
      </c>
      <c r="D106" s="106">
        <v>5000108</v>
      </c>
      <c r="E106" s="24" t="s">
        <v>573</v>
      </c>
      <c r="F106" s="44" t="s">
        <v>424</v>
      </c>
      <c r="G106" s="44" t="s">
        <v>158</v>
      </c>
      <c r="H106" s="24" t="s">
        <v>647</v>
      </c>
      <c r="I106" s="44">
        <v>24</v>
      </c>
      <c r="J106" s="24" t="s">
        <v>3</v>
      </c>
      <c r="K106" s="103">
        <v>142326</v>
      </c>
      <c r="L106" s="46">
        <f t="shared" si="9"/>
        <v>3415824</v>
      </c>
      <c r="M106" s="144">
        <v>0.67400000000000004</v>
      </c>
      <c r="N106" s="146">
        <f t="shared" si="7"/>
        <v>95927.724000000002</v>
      </c>
      <c r="O106" s="144">
        <v>43.458333333333336</v>
      </c>
      <c r="P106" s="146">
        <f t="shared" si="8"/>
        <v>6185250.75</v>
      </c>
    </row>
    <row r="107" spans="2:16" x14ac:dyDescent="0.2">
      <c r="B107" s="44">
        <v>101</v>
      </c>
      <c r="C107" s="23" t="s">
        <v>389</v>
      </c>
      <c r="D107" s="106">
        <v>5002702</v>
      </c>
      <c r="E107" s="24" t="s">
        <v>579</v>
      </c>
      <c r="F107" s="44" t="s">
        <v>426</v>
      </c>
      <c r="G107" s="44" t="s">
        <v>158</v>
      </c>
      <c r="H107" s="24" t="s">
        <v>651</v>
      </c>
      <c r="I107" s="44">
        <v>30</v>
      </c>
      <c r="J107" s="24" t="s">
        <v>7</v>
      </c>
      <c r="K107" s="103">
        <v>4030</v>
      </c>
      <c r="L107" s="46">
        <f t="shared" si="9"/>
        <v>120900</v>
      </c>
      <c r="M107" s="144">
        <v>1.3169791666666666</v>
      </c>
      <c r="N107" s="146">
        <f t="shared" si="7"/>
        <v>5307.4260416666666</v>
      </c>
      <c r="O107" s="144">
        <v>67.05</v>
      </c>
      <c r="P107" s="146">
        <f t="shared" si="8"/>
        <v>270211.5</v>
      </c>
    </row>
    <row r="108" spans="2:16" x14ac:dyDescent="0.2">
      <c r="B108" s="44">
        <v>102</v>
      </c>
      <c r="C108" s="23" t="s">
        <v>389</v>
      </c>
      <c r="D108" s="106">
        <v>5002702</v>
      </c>
      <c r="E108" s="24" t="s">
        <v>579</v>
      </c>
      <c r="F108" s="44" t="s">
        <v>426</v>
      </c>
      <c r="G108" s="44" t="s">
        <v>158</v>
      </c>
      <c r="H108" s="24" t="s">
        <v>652</v>
      </c>
      <c r="I108" s="44">
        <v>30</v>
      </c>
      <c r="J108" s="24" t="s">
        <v>7</v>
      </c>
      <c r="K108" s="103">
        <v>3970</v>
      </c>
      <c r="L108" s="46">
        <f t="shared" si="9"/>
        <v>119100</v>
      </c>
      <c r="M108" s="144">
        <v>1.3169791666666666</v>
      </c>
      <c r="N108" s="146">
        <f t="shared" si="7"/>
        <v>5228.4072916666664</v>
      </c>
      <c r="O108" s="144">
        <v>67.05</v>
      </c>
      <c r="P108" s="146">
        <f t="shared" si="8"/>
        <v>266188.5</v>
      </c>
    </row>
    <row r="109" spans="2:16" x14ac:dyDescent="0.2">
      <c r="B109" s="44">
        <v>103</v>
      </c>
      <c r="C109" s="23" t="s">
        <v>389</v>
      </c>
      <c r="D109" s="106">
        <v>5006350</v>
      </c>
      <c r="E109" s="24" t="s">
        <v>577</v>
      </c>
      <c r="F109" s="44" t="s">
        <v>424</v>
      </c>
      <c r="G109" s="44" t="s">
        <v>158</v>
      </c>
      <c r="H109" s="24" t="s">
        <v>654</v>
      </c>
      <c r="I109" s="44">
        <v>14</v>
      </c>
      <c r="J109" s="24" t="s">
        <v>3</v>
      </c>
      <c r="K109" s="103">
        <v>2220</v>
      </c>
      <c r="L109" s="46">
        <f t="shared" si="9"/>
        <v>31080</v>
      </c>
      <c r="M109" s="144">
        <v>0.38112500000000005</v>
      </c>
      <c r="N109" s="146">
        <f t="shared" si="7"/>
        <v>846.09750000000008</v>
      </c>
      <c r="O109" s="144">
        <v>0</v>
      </c>
      <c r="P109" s="146">
        <f t="shared" si="8"/>
        <v>0</v>
      </c>
    </row>
    <row r="110" spans="2:16" x14ac:dyDescent="0.2">
      <c r="B110" s="44">
        <v>104</v>
      </c>
      <c r="C110" s="23" t="s">
        <v>389</v>
      </c>
      <c r="D110" s="106">
        <v>5000108</v>
      </c>
      <c r="E110" s="24" t="s">
        <v>573</v>
      </c>
      <c r="F110" s="44" t="s">
        <v>424</v>
      </c>
      <c r="G110" s="44" t="s">
        <v>158</v>
      </c>
      <c r="H110" s="24" t="s">
        <v>655</v>
      </c>
      <c r="I110" s="44">
        <v>24</v>
      </c>
      <c r="J110" s="24" t="s">
        <v>3</v>
      </c>
      <c r="K110" s="103">
        <v>141306</v>
      </c>
      <c r="L110" s="46">
        <f t="shared" si="9"/>
        <v>3391344</v>
      </c>
      <c r="M110" s="144">
        <v>0.67400000000000004</v>
      </c>
      <c r="N110" s="146">
        <f t="shared" si="7"/>
        <v>95240.244000000006</v>
      </c>
      <c r="O110" s="144">
        <v>43.458333333333336</v>
      </c>
      <c r="P110" s="146">
        <f t="shared" si="8"/>
        <v>6140923.25</v>
      </c>
    </row>
    <row r="111" spans="2:16" x14ac:dyDescent="0.2">
      <c r="B111" s="44">
        <v>105</v>
      </c>
      <c r="C111" s="23" t="s">
        <v>389</v>
      </c>
      <c r="D111" s="106">
        <v>5001467</v>
      </c>
      <c r="E111" s="24" t="s">
        <v>325</v>
      </c>
      <c r="F111" s="44" t="s">
        <v>426</v>
      </c>
      <c r="G111" s="44" t="s">
        <v>158</v>
      </c>
      <c r="H111" s="24" t="s">
        <v>656</v>
      </c>
      <c r="I111" s="44">
        <v>500</v>
      </c>
      <c r="J111" s="24" t="s">
        <v>7</v>
      </c>
      <c r="K111" s="103">
        <v>2785</v>
      </c>
      <c r="L111" s="46">
        <f t="shared" si="9"/>
        <v>1392500</v>
      </c>
      <c r="M111" s="144">
        <v>9.578125</v>
      </c>
      <c r="N111" s="146">
        <f t="shared" si="7"/>
        <v>26675.078125</v>
      </c>
      <c r="O111" s="144">
        <v>341.31374999999997</v>
      </c>
      <c r="P111" s="146">
        <f t="shared" si="8"/>
        <v>950558.79374999995</v>
      </c>
    </row>
    <row r="112" spans="2:16" x14ac:dyDescent="0.2">
      <c r="B112" s="44">
        <v>106</v>
      </c>
      <c r="C112" s="23" t="s">
        <v>389</v>
      </c>
      <c r="D112" s="106">
        <v>5001467</v>
      </c>
      <c r="E112" s="24" t="s">
        <v>325</v>
      </c>
      <c r="F112" s="44" t="s">
        <v>426</v>
      </c>
      <c r="G112" s="44" t="s">
        <v>158</v>
      </c>
      <c r="H112" s="24" t="s">
        <v>657</v>
      </c>
      <c r="I112" s="44">
        <v>500</v>
      </c>
      <c r="J112" s="24" t="s">
        <v>7</v>
      </c>
      <c r="K112" s="103">
        <v>2851</v>
      </c>
      <c r="L112" s="46">
        <f t="shared" si="9"/>
        <v>1425500</v>
      </c>
      <c r="M112" s="144">
        <v>9.578125</v>
      </c>
      <c r="N112" s="146">
        <f t="shared" si="7"/>
        <v>27307.234375</v>
      </c>
      <c r="O112" s="144">
        <v>341.31374999999997</v>
      </c>
      <c r="P112" s="146">
        <f t="shared" si="8"/>
        <v>973085.50124999997</v>
      </c>
    </row>
    <row r="113" spans="2:16" x14ac:dyDescent="0.2">
      <c r="B113" s="44">
        <v>107</v>
      </c>
      <c r="C113" s="23" t="s">
        <v>389</v>
      </c>
      <c r="D113" s="106">
        <v>5001552</v>
      </c>
      <c r="E113" s="24" t="s">
        <v>330</v>
      </c>
      <c r="F113" s="44" t="s">
        <v>426</v>
      </c>
      <c r="G113" s="44" t="s">
        <v>158</v>
      </c>
      <c r="H113" s="24" t="s">
        <v>658</v>
      </c>
      <c r="I113" s="44">
        <v>30</v>
      </c>
      <c r="J113" s="24" t="s">
        <v>7</v>
      </c>
      <c r="K113" s="103">
        <v>35019</v>
      </c>
      <c r="L113" s="46">
        <f t="shared" si="9"/>
        <v>1050570</v>
      </c>
      <c r="M113" s="144">
        <v>1.3169791666666666</v>
      </c>
      <c r="N113" s="146">
        <f t="shared" si="7"/>
        <v>46119.293437499997</v>
      </c>
      <c r="O113" s="144">
        <v>60.67799988903684</v>
      </c>
      <c r="P113" s="146">
        <f t="shared" si="8"/>
        <v>2124882.8781141811</v>
      </c>
    </row>
    <row r="114" spans="2:16" x14ac:dyDescent="0.2">
      <c r="B114" s="44">
        <v>108</v>
      </c>
      <c r="C114" s="23" t="s">
        <v>389</v>
      </c>
      <c r="D114" s="106">
        <v>5002702</v>
      </c>
      <c r="E114" s="24" t="s">
        <v>579</v>
      </c>
      <c r="F114" s="44" t="s">
        <v>426</v>
      </c>
      <c r="G114" s="44" t="s">
        <v>158</v>
      </c>
      <c r="H114" s="24" t="s">
        <v>659</v>
      </c>
      <c r="I114" s="44">
        <v>30</v>
      </c>
      <c r="J114" s="24" t="s">
        <v>7</v>
      </c>
      <c r="K114" s="103">
        <v>3490</v>
      </c>
      <c r="L114" s="46">
        <f t="shared" si="9"/>
        <v>104700</v>
      </c>
      <c r="M114" s="144">
        <v>1.3169791666666666</v>
      </c>
      <c r="N114" s="146">
        <f t="shared" si="7"/>
        <v>4596.2572916666668</v>
      </c>
      <c r="O114" s="144">
        <v>67.05</v>
      </c>
      <c r="P114" s="146">
        <f t="shared" si="8"/>
        <v>234004.5</v>
      </c>
    </row>
    <row r="115" spans="2:16" x14ac:dyDescent="0.2">
      <c r="B115" s="44">
        <v>109</v>
      </c>
      <c r="C115" s="23" t="s">
        <v>389</v>
      </c>
      <c r="D115" s="106">
        <v>5000108</v>
      </c>
      <c r="E115" s="24" t="s">
        <v>573</v>
      </c>
      <c r="F115" s="44" t="s">
        <v>424</v>
      </c>
      <c r="G115" s="44" t="s">
        <v>158</v>
      </c>
      <c r="H115" s="24" t="s">
        <v>660</v>
      </c>
      <c r="I115" s="44">
        <v>24</v>
      </c>
      <c r="J115" s="24" t="s">
        <v>3</v>
      </c>
      <c r="K115" s="103">
        <v>143136</v>
      </c>
      <c r="L115" s="46">
        <f t="shared" si="9"/>
        <v>3435264</v>
      </c>
      <c r="M115" s="144">
        <v>0.67400000000000004</v>
      </c>
      <c r="N115" s="146">
        <f t="shared" si="7"/>
        <v>96473.664000000004</v>
      </c>
      <c r="O115" s="144">
        <v>43.458333333333336</v>
      </c>
      <c r="P115" s="146">
        <f t="shared" si="8"/>
        <v>6220452</v>
      </c>
    </row>
    <row r="116" spans="2:16" x14ac:dyDescent="0.2">
      <c r="B116" s="44">
        <v>110</v>
      </c>
      <c r="C116" s="23" t="s">
        <v>389</v>
      </c>
      <c r="D116" s="106">
        <v>5003032</v>
      </c>
      <c r="E116" s="24" t="s">
        <v>322</v>
      </c>
      <c r="F116" s="44" t="s">
        <v>426</v>
      </c>
      <c r="G116" s="44" t="s">
        <v>158</v>
      </c>
      <c r="H116" s="24" t="s">
        <v>666</v>
      </c>
      <c r="I116" s="44">
        <v>500</v>
      </c>
      <c r="J116" s="24" t="s">
        <v>7</v>
      </c>
      <c r="K116" s="103">
        <v>2041</v>
      </c>
      <c r="L116" s="46">
        <f t="shared" si="9"/>
        <v>1020500</v>
      </c>
      <c r="M116" s="144">
        <v>12.515625</v>
      </c>
      <c r="N116" s="146">
        <f t="shared" si="7"/>
        <v>25544.390625</v>
      </c>
      <c r="O116" s="144">
        <v>891.39374753451682</v>
      </c>
      <c r="P116" s="146">
        <f t="shared" si="8"/>
        <v>1819334.6387179489</v>
      </c>
    </row>
    <row r="117" spans="2:16" x14ac:dyDescent="0.2">
      <c r="B117" s="44">
        <v>111</v>
      </c>
      <c r="C117" s="23" t="s">
        <v>389</v>
      </c>
      <c r="D117" s="106">
        <v>5000108</v>
      </c>
      <c r="E117" s="24" t="s">
        <v>573</v>
      </c>
      <c r="F117" s="44" t="s">
        <v>424</v>
      </c>
      <c r="G117" s="44" t="s">
        <v>158</v>
      </c>
      <c r="H117" s="24" t="s">
        <v>667</v>
      </c>
      <c r="I117" s="44">
        <v>24</v>
      </c>
      <c r="J117" s="24" t="s">
        <v>3</v>
      </c>
      <c r="K117" s="103">
        <v>140826</v>
      </c>
      <c r="L117" s="46">
        <f t="shared" si="9"/>
        <v>3379824</v>
      </c>
      <c r="M117" s="144">
        <v>0.67400000000000004</v>
      </c>
      <c r="N117" s="146">
        <f t="shared" si="7"/>
        <v>94916.724000000002</v>
      </c>
      <c r="O117" s="144">
        <v>43.458333333333336</v>
      </c>
      <c r="P117" s="146">
        <f t="shared" si="8"/>
        <v>6120063.25</v>
      </c>
    </row>
    <row r="118" spans="2:16" x14ac:dyDescent="0.2">
      <c r="B118" s="44">
        <v>112</v>
      </c>
      <c r="C118" s="23" t="s">
        <v>389</v>
      </c>
      <c r="D118" s="106">
        <v>5000633</v>
      </c>
      <c r="E118" s="24" t="s">
        <v>12</v>
      </c>
      <c r="F118" s="44" t="s">
        <v>424</v>
      </c>
      <c r="G118" s="44" t="s">
        <v>158</v>
      </c>
      <c r="H118" s="24" t="s">
        <v>668</v>
      </c>
      <c r="I118" s="44">
        <v>10</v>
      </c>
      <c r="J118" s="24" t="s">
        <v>3</v>
      </c>
      <c r="K118" s="103">
        <v>97694</v>
      </c>
      <c r="L118" s="46">
        <f t="shared" si="9"/>
        <v>976940</v>
      </c>
      <c r="M118" s="144">
        <v>0.2879591836734694</v>
      </c>
      <c r="N118" s="146">
        <f t="shared" si="7"/>
        <v>28131.884489795921</v>
      </c>
      <c r="O118" s="144">
        <v>8.94</v>
      </c>
      <c r="P118" s="146">
        <f t="shared" si="8"/>
        <v>873384.36</v>
      </c>
    </row>
    <row r="119" spans="2:16" x14ac:dyDescent="0.2">
      <c r="B119" s="44">
        <v>113</v>
      </c>
      <c r="C119" s="23" t="s">
        <v>389</v>
      </c>
      <c r="D119" s="106">
        <v>5001534</v>
      </c>
      <c r="E119" s="24" t="s">
        <v>213</v>
      </c>
      <c r="F119" s="44" t="s">
        <v>426</v>
      </c>
      <c r="G119" s="44" t="s">
        <v>158</v>
      </c>
      <c r="H119" s="24" t="s">
        <v>669</v>
      </c>
      <c r="I119" s="44">
        <v>90</v>
      </c>
      <c r="J119" s="24" t="s">
        <v>7</v>
      </c>
      <c r="K119" s="103">
        <v>11347</v>
      </c>
      <c r="L119" s="46">
        <f t="shared" si="9"/>
        <v>1021230</v>
      </c>
      <c r="M119" s="144">
        <v>3.0630208333333333</v>
      </c>
      <c r="N119" s="146">
        <f t="shared" si="7"/>
        <v>34756.097395833334</v>
      </c>
      <c r="O119" s="144">
        <v>144.11024929527838</v>
      </c>
      <c r="P119" s="146">
        <f t="shared" si="8"/>
        <v>1635218.9987535237</v>
      </c>
    </row>
    <row r="120" spans="2:16" x14ac:dyDescent="0.2">
      <c r="B120" s="44">
        <v>114</v>
      </c>
      <c r="C120" s="23" t="s">
        <v>389</v>
      </c>
      <c r="D120" s="106">
        <v>5004756</v>
      </c>
      <c r="E120" s="24" t="s">
        <v>217</v>
      </c>
      <c r="F120" s="44" t="s">
        <v>426</v>
      </c>
      <c r="G120" s="44" t="s">
        <v>158</v>
      </c>
      <c r="H120" s="24" t="s">
        <v>670</v>
      </c>
      <c r="I120" s="44">
        <v>60</v>
      </c>
      <c r="J120" s="24" t="s">
        <v>7</v>
      </c>
      <c r="K120" s="103">
        <v>8072</v>
      </c>
      <c r="L120" s="46">
        <f t="shared" si="9"/>
        <v>484320</v>
      </c>
      <c r="M120" s="144">
        <v>3.0345833333333334</v>
      </c>
      <c r="N120" s="146">
        <f t="shared" si="7"/>
        <v>24495.156666666666</v>
      </c>
      <c r="O120" s="144">
        <v>319.98750000000001</v>
      </c>
      <c r="P120" s="146">
        <f t="shared" si="8"/>
        <v>2582939.1</v>
      </c>
    </row>
    <row r="121" spans="2:16" x14ac:dyDescent="0.2">
      <c r="B121" s="44">
        <v>115</v>
      </c>
      <c r="C121" s="23" t="s">
        <v>389</v>
      </c>
      <c r="D121" s="106">
        <v>5006689</v>
      </c>
      <c r="E121" s="24" t="s">
        <v>415</v>
      </c>
      <c r="F121" s="44" t="s">
        <v>424</v>
      </c>
      <c r="G121" s="44" t="s">
        <v>158</v>
      </c>
      <c r="H121" s="24" t="s">
        <v>404</v>
      </c>
      <c r="I121" s="44">
        <v>18</v>
      </c>
      <c r="J121" s="24" t="s">
        <v>3</v>
      </c>
      <c r="K121" s="103">
        <v>1788</v>
      </c>
      <c r="L121" s="46">
        <f t="shared" si="9"/>
        <v>32184</v>
      </c>
      <c r="M121" s="144">
        <v>0</v>
      </c>
      <c r="N121" s="146">
        <f t="shared" si="7"/>
        <v>0</v>
      </c>
      <c r="O121" s="144">
        <v>0</v>
      </c>
      <c r="P121" s="146">
        <f t="shared" si="8"/>
        <v>0</v>
      </c>
    </row>
    <row r="122" spans="2:16" x14ac:dyDescent="0.2">
      <c r="B122" s="44">
        <v>116</v>
      </c>
      <c r="C122" s="23" t="s">
        <v>389</v>
      </c>
      <c r="D122" s="106">
        <v>5006730</v>
      </c>
      <c r="E122" s="24" t="s">
        <v>416</v>
      </c>
      <c r="F122" s="44" t="s">
        <v>424</v>
      </c>
      <c r="G122" s="44" t="s">
        <v>158</v>
      </c>
      <c r="H122" s="24" t="s">
        <v>404</v>
      </c>
      <c r="I122" s="44">
        <v>24</v>
      </c>
      <c r="J122" s="24" t="s">
        <v>3</v>
      </c>
      <c r="K122" s="103">
        <v>1836</v>
      </c>
      <c r="L122" s="46">
        <f t="shared" si="9"/>
        <v>44064</v>
      </c>
      <c r="M122" s="144">
        <v>0</v>
      </c>
      <c r="N122" s="146">
        <f t="shared" si="7"/>
        <v>0</v>
      </c>
      <c r="O122" s="144">
        <v>0</v>
      </c>
      <c r="P122" s="146">
        <f t="shared" si="8"/>
        <v>0</v>
      </c>
    </row>
    <row r="123" spans="2:16" x14ac:dyDescent="0.2">
      <c r="B123" s="44">
        <v>117</v>
      </c>
      <c r="C123" s="23" t="s">
        <v>389</v>
      </c>
      <c r="D123" s="106">
        <v>5000108</v>
      </c>
      <c r="E123" s="24" t="s">
        <v>573</v>
      </c>
      <c r="F123" s="44" t="s">
        <v>424</v>
      </c>
      <c r="G123" s="44" t="s">
        <v>158</v>
      </c>
      <c r="H123" s="24" t="s">
        <v>671</v>
      </c>
      <c r="I123" s="44">
        <v>24</v>
      </c>
      <c r="J123" s="24" t="s">
        <v>3</v>
      </c>
      <c r="K123" s="103">
        <v>136446</v>
      </c>
      <c r="L123" s="46">
        <f t="shared" si="9"/>
        <v>3274704</v>
      </c>
      <c r="M123" s="144">
        <v>0.67400000000000004</v>
      </c>
      <c r="N123" s="146">
        <f t="shared" si="7"/>
        <v>91964.604000000007</v>
      </c>
      <c r="O123" s="144">
        <v>43.458333333333336</v>
      </c>
      <c r="P123" s="146">
        <f t="shared" si="8"/>
        <v>5929715.75</v>
      </c>
    </row>
    <row r="124" spans="2:16" x14ac:dyDescent="0.2">
      <c r="B124" s="44">
        <v>118</v>
      </c>
      <c r="C124" s="23" t="s">
        <v>389</v>
      </c>
      <c r="D124" s="106">
        <v>5000633</v>
      </c>
      <c r="E124" s="24" t="s">
        <v>12</v>
      </c>
      <c r="F124" s="44" t="s">
        <v>424</v>
      </c>
      <c r="G124" s="44" t="s">
        <v>158</v>
      </c>
      <c r="H124" s="24" t="s">
        <v>674</v>
      </c>
      <c r="I124" s="44">
        <v>10</v>
      </c>
      <c r="J124" s="24" t="s">
        <v>3</v>
      </c>
      <c r="K124" s="103">
        <v>96734</v>
      </c>
      <c r="L124" s="46">
        <f t="shared" si="9"/>
        <v>967340</v>
      </c>
      <c r="M124" s="144">
        <v>0.2879591836734694</v>
      </c>
      <c r="N124" s="146">
        <f t="shared" si="7"/>
        <v>27855.443673469388</v>
      </c>
      <c r="O124" s="144">
        <v>8.94</v>
      </c>
      <c r="P124" s="146">
        <f t="shared" si="8"/>
        <v>864801.96</v>
      </c>
    </row>
    <row r="125" spans="2:16" x14ac:dyDescent="0.2">
      <c r="B125" s="44">
        <v>119</v>
      </c>
      <c r="C125" s="23" t="s">
        <v>389</v>
      </c>
      <c r="D125" s="106">
        <v>5004756</v>
      </c>
      <c r="E125" s="24" t="s">
        <v>217</v>
      </c>
      <c r="F125" s="44" t="s">
        <v>426</v>
      </c>
      <c r="G125" s="44" t="s">
        <v>158</v>
      </c>
      <c r="H125" s="24" t="s">
        <v>677</v>
      </c>
      <c r="I125" s="44">
        <v>60</v>
      </c>
      <c r="J125" s="24" t="s">
        <v>7</v>
      </c>
      <c r="K125" s="103">
        <v>8144</v>
      </c>
      <c r="L125" s="46">
        <f t="shared" si="9"/>
        <v>488640</v>
      </c>
      <c r="M125" s="144">
        <v>3.0345833333333334</v>
      </c>
      <c r="N125" s="146">
        <f t="shared" si="7"/>
        <v>24713.646666666667</v>
      </c>
      <c r="O125" s="144">
        <v>319.98750000000001</v>
      </c>
      <c r="P125" s="146">
        <f t="shared" si="8"/>
        <v>2605978.2000000002</v>
      </c>
    </row>
    <row r="126" spans="2:16" x14ac:dyDescent="0.2">
      <c r="B126" s="44">
        <v>120</v>
      </c>
      <c r="C126" s="23" t="s">
        <v>389</v>
      </c>
      <c r="D126" s="106">
        <v>5000108</v>
      </c>
      <c r="E126" s="24" t="s">
        <v>573</v>
      </c>
      <c r="F126" s="44" t="s">
        <v>424</v>
      </c>
      <c r="G126" s="44" t="s">
        <v>158</v>
      </c>
      <c r="H126" s="24" t="s">
        <v>678</v>
      </c>
      <c r="I126" s="44">
        <v>24</v>
      </c>
      <c r="J126" s="24" t="s">
        <v>3</v>
      </c>
      <c r="K126" s="103">
        <v>140916</v>
      </c>
      <c r="L126" s="46">
        <f t="shared" si="9"/>
        <v>3381984</v>
      </c>
      <c r="M126" s="144">
        <v>0.67400000000000004</v>
      </c>
      <c r="N126" s="146">
        <f t="shared" si="7"/>
        <v>94977.384000000005</v>
      </c>
      <c r="O126" s="144">
        <v>43.458333333333336</v>
      </c>
      <c r="P126" s="146">
        <f t="shared" si="8"/>
        <v>6123974.5</v>
      </c>
    </row>
    <row r="127" spans="2:16" x14ac:dyDescent="0.2">
      <c r="B127" s="44">
        <v>121</v>
      </c>
      <c r="C127" s="23" t="s">
        <v>389</v>
      </c>
      <c r="D127" s="106">
        <v>5001534</v>
      </c>
      <c r="E127" s="24" t="s">
        <v>213</v>
      </c>
      <c r="F127" s="44" t="s">
        <v>426</v>
      </c>
      <c r="G127" s="44" t="s">
        <v>158</v>
      </c>
      <c r="H127" s="24" t="s">
        <v>680</v>
      </c>
      <c r="I127" s="44">
        <v>90</v>
      </c>
      <c r="J127" s="24" t="s">
        <v>7</v>
      </c>
      <c r="K127" s="103">
        <v>11347</v>
      </c>
      <c r="L127" s="46">
        <f t="shared" si="9"/>
        <v>1021230</v>
      </c>
      <c r="M127" s="144">
        <v>3.0630208333333333</v>
      </c>
      <c r="N127" s="146">
        <f t="shared" si="7"/>
        <v>34756.097395833334</v>
      </c>
      <c r="O127" s="144">
        <v>144.11024929527838</v>
      </c>
      <c r="P127" s="146">
        <f t="shared" si="8"/>
        <v>1635218.9987535237</v>
      </c>
    </row>
    <row r="128" spans="2:16" x14ac:dyDescent="0.2">
      <c r="B128" s="44">
        <v>122</v>
      </c>
      <c r="C128" s="23" t="s">
        <v>389</v>
      </c>
      <c r="D128" s="106">
        <v>5004758</v>
      </c>
      <c r="E128" s="24" t="s">
        <v>400</v>
      </c>
      <c r="F128" s="44" t="s">
        <v>426</v>
      </c>
      <c r="G128" s="44" t="s">
        <v>158</v>
      </c>
      <c r="H128" s="24" t="s">
        <v>681</v>
      </c>
      <c r="I128" s="44">
        <v>500</v>
      </c>
      <c r="J128" s="24" t="s">
        <v>7</v>
      </c>
      <c r="K128" s="103">
        <v>1003</v>
      </c>
      <c r="L128" s="46">
        <f t="shared" si="9"/>
        <v>501500</v>
      </c>
      <c r="M128" s="144">
        <v>17.34375</v>
      </c>
      <c r="N128" s="146">
        <f t="shared" si="7"/>
        <v>17395.78125</v>
      </c>
      <c r="O128" s="144">
        <v>2652.65</v>
      </c>
      <c r="P128" s="146">
        <f t="shared" si="8"/>
        <v>2660607.9500000002</v>
      </c>
    </row>
    <row r="129" spans="2:16" x14ac:dyDescent="0.2">
      <c r="B129" s="44">
        <v>123</v>
      </c>
      <c r="C129" s="23" t="s">
        <v>389</v>
      </c>
      <c r="D129" s="106">
        <v>5004758</v>
      </c>
      <c r="E129" s="24" t="s">
        <v>400</v>
      </c>
      <c r="F129" s="44" t="s">
        <v>426</v>
      </c>
      <c r="G129" s="44" t="s">
        <v>158</v>
      </c>
      <c r="H129" s="24" t="s">
        <v>682</v>
      </c>
      <c r="I129" s="44">
        <v>500</v>
      </c>
      <c r="J129" s="24" t="s">
        <v>7</v>
      </c>
      <c r="K129" s="103">
        <v>967</v>
      </c>
      <c r="L129" s="46">
        <f t="shared" si="9"/>
        <v>483500</v>
      </c>
      <c r="M129" s="144">
        <v>17.34375</v>
      </c>
      <c r="N129" s="146">
        <f t="shared" ref="N129:N159" si="10">+K129*M129</f>
        <v>16771.40625</v>
      </c>
      <c r="O129" s="144">
        <v>2652.65</v>
      </c>
      <c r="P129" s="146">
        <f t="shared" ref="P129:P159" si="11">+K129*O129</f>
        <v>2565112.5500000003</v>
      </c>
    </row>
    <row r="130" spans="2:16" x14ac:dyDescent="0.2">
      <c r="B130" s="44">
        <v>124</v>
      </c>
      <c r="C130" s="23" t="s">
        <v>389</v>
      </c>
      <c r="D130" s="106">
        <v>5000633</v>
      </c>
      <c r="E130" s="24" t="s">
        <v>12</v>
      </c>
      <c r="F130" s="44" t="s">
        <v>424</v>
      </c>
      <c r="G130" s="44" t="s">
        <v>158</v>
      </c>
      <c r="H130" s="24" t="s">
        <v>683</v>
      </c>
      <c r="I130" s="44">
        <v>10</v>
      </c>
      <c r="J130" s="24" t="s">
        <v>3</v>
      </c>
      <c r="K130" s="103">
        <v>96744</v>
      </c>
      <c r="L130" s="46">
        <f t="shared" si="9"/>
        <v>967440</v>
      </c>
      <c r="M130" s="144">
        <v>0.2879591836734694</v>
      </c>
      <c r="N130" s="146">
        <f t="shared" si="10"/>
        <v>27858.323265306124</v>
      </c>
      <c r="O130" s="144">
        <v>8.94</v>
      </c>
      <c r="P130" s="146">
        <f t="shared" si="11"/>
        <v>864891.36</v>
      </c>
    </row>
    <row r="131" spans="2:16" x14ac:dyDescent="0.2">
      <c r="B131" s="44">
        <v>125</v>
      </c>
      <c r="C131" s="23" t="s">
        <v>389</v>
      </c>
      <c r="D131" s="106">
        <v>5001534</v>
      </c>
      <c r="E131" s="24" t="s">
        <v>213</v>
      </c>
      <c r="F131" s="44" t="s">
        <v>426</v>
      </c>
      <c r="G131" s="44" t="s">
        <v>158</v>
      </c>
      <c r="H131" s="24" t="s">
        <v>684</v>
      </c>
      <c r="I131" s="44">
        <v>90</v>
      </c>
      <c r="J131" s="24" t="s">
        <v>7</v>
      </c>
      <c r="K131" s="103">
        <v>11314</v>
      </c>
      <c r="L131" s="46">
        <f t="shared" si="9"/>
        <v>1018260</v>
      </c>
      <c r="M131" s="144">
        <v>3.0630208333333333</v>
      </c>
      <c r="N131" s="146">
        <f t="shared" si="10"/>
        <v>34655.017708333333</v>
      </c>
      <c r="O131" s="144">
        <v>144.11024929527838</v>
      </c>
      <c r="P131" s="146">
        <f t="shared" si="11"/>
        <v>1630463.3605267797</v>
      </c>
    </row>
    <row r="132" spans="2:16" x14ac:dyDescent="0.2">
      <c r="B132" s="44">
        <v>126</v>
      </c>
      <c r="C132" s="23" t="s">
        <v>389</v>
      </c>
      <c r="D132" s="106">
        <v>5000108</v>
      </c>
      <c r="E132" s="24" t="s">
        <v>573</v>
      </c>
      <c r="F132" s="44" t="s">
        <v>424</v>
      </c>
      <c r="G132" s="44" t="s">
        <v>158</v>
      </c>
      <c r="H132" s="24" t="s">
        <v>685</v>
      </c>
      <c r="I132" s="44">
        <v>24</v>
      </c>
      <c r="J132" s="24" t="s">
        <v>3</v>
      </c>
      <c r="K132" s="103">
        <v>109686</v>
      </c>
      <c r="L132" s="46">
        <f t="shared" si="9"/>
        <v>2632464</v>
      </c>
      <c r="M132" s="144">
        <v>0.67400000000000004</v>
      </c>
      <c r="N132" s="146">
        <f t="shared" si="10"/>
        <v>73928.364000000001</v>
      </c>
      <c r="O132" s="144">
        <v>43.458333333333336</v>
      </c>
      <c r="P132" s="146">
        <f t="shared" si="11"/>
        <v>4766770.75</v>
      </c>
    </row>
    <row r="133" spans="2:16" x14ac:dyDescent="0.2">
      <c r="B133" s="44">
        <v>127</v>
      </c>
      <c r="C133" s="23" t="s">
        <v>389</v>
      </c>
      <c r="D133" s="106">
        <v>5004880</v>
      </c>
      <c r="E133" s="24" t="s">
        <v>582</v>
      </c>
      <c r="F133" s="44" t="s">
        <v>426</v>
      </c>
      <c r="G133" s="44" t="s">
        <v>158</v>
      </c>
      <c r="H133" s="24" t="s">
        <v>690</v>
      </c>
      <c r="I133" s="44">
        <v>100</v>
      </c>
      <c r="J133" s="24" t="s">
        <v>7</v>
      </c>
      <c r="K133" s="103">
        <v>1288</v>
      </c>
      <c r="L133" s="46">
        <f t="shared" si="9"/>
        <v>128800</v>
      </c>
      <c r="M133" s="144">
        <v>0</v>
      </c>
      <c r="N133" s="146">
        <f t="shared" si="10"/>
        <v>0</v>
      </c>
      <c r="O133" s="144">
        <v>0</v>
      </c>
      <c r="P133" s="146">
        <f t="shared" si="11"/>
        <v>0</v>
      </c>
    </row>
    <row r="134" spans="2:16" x14ac:dyDescent="0.2">
      <c r="B134" s="44">
        <v>128</v>
      </c>
      <c r="C134" s="23" t="s">
        <v>389</v>
      </c>
      <c r="D134" s="106">
        <v>5000107</v>
      </c>
      <c r="E134" s="24" t="s">
        <v>583</v>
      </c>
      <c r="F134" s="44" t="s">
        <v>424</v>
      </c>
      <c r="G134" s="44" t="s">
        <v>158</v>
      </c>
      <c r="H134" s="24" t="s">
        <v>404</v>
      </c>
      <c r="I134" s="44">
        <v>18</v>
      </c>
      <c r="J134" s="24" t="s">
        <v>3</v>
      </c>
      <c r="K134" s="103">
        <v>14868</v>
      </c>
      <c r="L134" s="46">
        <f t="shared" si="9"/>
        <v>267624</v>
      </c>
      <c r="M134" s="144">
        <v>0.52311794871794881</v>
      </c>
      <c r="N134" s="146">
        <f t="shared" si="10"/>
        <v>7777.7176615384633</v>
      </c>
      <c r="O134" s="144">
        <v>35.51166666666667</v>
      </c>
      <c r="P134" s="146">
        <f t="shared" si="11"/>
        <v>527987.46000000008</v>
      </c>
    </row>
    <row r="135" spans="2:16" x14ac:dyDescent="0.2">
      <c r="B135" s="44">
        <v>129</v>
      </c>
      <c r="C135" s="23" t="s">
        <v>389</v>
      </c>
      <c r="D135" s="106">
        <v>5000107</v>
      </c>
      <c r="E135" s="24" t="s">
        <v>583</v>
      </c>
      <c r="F135" s="44" t="s">
        <v>424</v>
      </c>
      <c r="G135" s="44" t="s">
        <v>158</v>
      </c>
      <c r="H135" s="24" t="s">
        <v>685</v>
      </c>
      <c r="I135" s="44">
        <v>18</v>
      </c>
      <c r="J135" s="24" t="s">
        <v>3</v>
      </c>
      <c r="K135" s="103">
        <v>41268</v>
      </c>
      <c r="L135" s="46">
        <f t="shared" si="9"/>
        <v>742824</v>
      </c>
      <c r="M135" s="144">
        <v>0.52311794871794881</v>
      </c>
      <c r="N135" s="146">
        <f t="shared" si="10"/>
        <v>21588.031507692311</v>
      </c>
      <c r="O135" s="144">
        <v>35.51166666666667</v>
      </c>
      <c r="P135" s="146">
        <f t="shared" si="11"/>
        <v>1465495.4600000002</v>
      </c>
    </row>
    <row r="136" spans="2:16" x14ac:dyDescent="0.2">
      <c r="B136" s="44">
        <v>130</v>
      </c>
      <c r="C136" s="23" t="s">
        <v>389</v>
      </c>
      <c r="D136" s="106">
        <v>5001552</v>
      </c>
      <c r="E136" s="24" t="s">
        <v>330</v>
      </c>
      <c r="F136" s="44" t="s">
        <v>426</v>
      </c>
      <c r="G136" s="44" t="s">
        <v>158</v>
      </c>
      <c r="H136" s="24" t="s">
        <v>694</v>
      </c>
      <c r="I136" s="44">
        <v>30</v>
      </c>
      <c r="J136" s="24" t="s">
        <v>7</v>
      </c>
      <c r="K136" s="103">
        <v>35259</v>
      </c>
      <c r="L136" s="46">
        <f t="shared" ref="L136:L159" si="12">I136*K136</f>
        <v>1057770</v>
      </c>
      <c r="M136" s="144">
        <v>1.3169791666666666</v>
      </c>
      <c r="N136" s="146">
        <f t="shared" si="10"/>
        <v>46435.368437499994</v>
      </c>
      <c r="O136" s="144">
        <v>60.67799988903684</v>
      </c>
      <c r="P136" s="146">
        <f t="shared" si="11"/>
        <v>2139445.5980875501</v>
      </c>
    </row>
    <row r="137" spans="2:16" x14ac:dyDescent="0.2">
      <c r="B137" s="44">
        <v>131</v>
      </c>
      <c r="C137" s="23" t="s">
        <v>389</v>
      </c>
      <c r="D137" s="106">
        <v>5004757</v>
      </c>
      <c r="E137" s="24" t="s">
        <v>585</v>
      </c>
      <c r="F137" s="44" t="s">
        <v>426</v>
      </c>
      <c r="G137" s="44" t="s">
        <v>158</v>
      </c>
      <c r="H137" s="24" t="s">
        <v>697</v>
      </c>
      <c r="I137" s="44">
        <v>60</v>
      </c>
      <c r="J137" s="24" t="s">
        <v>7</v>
      </c>
      <c r="K137" s="103">
        <v>4161</v>
      </c>
      <c r="L137" s="46">
        <f t="shared" si="12"/>
        <v>249660</v>
      </c>
      <c r="M137" s="144">
        <v>4.1045833333333341</v>
      </c>
      <c r="N137" s="146">
        <f t="shared" si="10"/>
        <v>17079.171250000003</v>
      </c>
      <c r="O137" s="144">
        <v>566.02599806201545</v>
      </c>
      <c r="P137" s="146">
        <f t="shared" si="11"/>
        <v>2355234.1779360464</v>
      </c>
    </row>
    <row r="138" spans="2:16" x14ac:dyDescent="0.2">
      <c r="B138" s="44">
        <v>132</v>
      </c>
      <c r="C138" s="23" t="s">
        <v>389</v>
      </c>
      <c r="D138" s="106">
        <v>5004880</v>
      </c>
      <c r="E138" s="24" t="s">
        <v>582</v>
      </c>
      <c r="F138" s="44" t="s">
        <v>426</v>
      </c>
      <c r="G138" s="44" t="s">
        <v>158</v>
      </c>
      <c r="H138" s="24" t="s">
        <v>698</v>
      </c>
      <c r="I138" s="44">
        <v>100</v>
      </c>
      <c r="J138" s="24" t="s">
        <v>7</v>
      </c>
      <c r="K138" s="103">
        <v>1204</v>
      </c>
      <c r="L138" s="46">
        <f t="shared" si="12"/>
        <v>120400</v>
      </c>
      <c r="M138" s="144">
        <v>0</v>
      </c>
      <c r="N138" s="146">
        <f t="shared" si="10"/>
        <v>0</v>
      </c>
      <c r="O138" s="144">
        <v>0</v>
      </c>
      <c r="P138" s="146">
        <f t="shared" si="11"/>
        <v>0</v>
      </c>
    </row>
    <row r="139" spans="2:16" x14ac:dyDescent="0.2">
      <c r="B139" s="44">
        <v>133</v>
      </c>
      <c r="C139" s="23" t="s">
        <v>389</v>
      </c>
      <c r="D139" s="106">
        <v>5004880</v>
      </c>
      <c r="E139" s="24" t="s">
        <v>582</v>
      </c>
      <c r="F139" s="44" t="s">
        <v>426</v>
      </c>
      <c r="G139" s="44" t="s">
        <v>158</v>
      </c>
      <c r="H139" s="24" t="s">
        <v>699</v>
      </c>
      <c r="I139" s="44">
        <v>100</v>
      </c>
      <c r="J139" s="24" t="s">
        <v>7</v>
      </c>
      <c r="K139" s="103">
        <v>1160</v>
      </c>
      <c r="L139" s="46">
        <f t="shared" si="12"/>
        <v>116000</v>
      </c>
      <c r="M139" s="144">
        <v>0</v>
      </c>
      <c r="N139" s="146">
        <f t="shared" si="10"/>
        <v>0</v>
      </c>
      <c r="O139" s="144">
        <v>0</v>
      </c>
      <c r="P139" s="146">
        <f t="shared" si="11"/>
        <v>0</v>
      </c>
    </row>
    <row r="140" spans="2:16" x14ac:dyDescent="0.2">
      <c r="B140" s="44">
        <v>134</v>
      </c>
      <c r="C140" s="23" t="s">
        <v>389</v>
      </c>
      <c r="D140" s="106">
        <v>5006350</v>
      </c>
      <c r="E140" s="24" t="s">
        <v>577</v>
      </c>
      <c r="F140" s="44" t="s">
        <v>424</v>
      </c>
      <c r="G140" s="44" t="s">
        <v>158</v>
      </c>
      <c r="H140" s="24" t="s">
        <v>700</v>
      </c>
      <c r="I140" s="44">
        <v>14</v>
      </c>
      <c r="J140" s="24" t="s">
        <v>3</v>
      </c>
      <c r="K140" s="103">
        <v>1650</v>
      </c>
      <c r="L140" s="46">
        <f t="shared" si="12"/>
        <v>23100</v>
      </c>
      <c r="M140" s="144">
        <v>0.38112500000000005</v>
      </c>
      <c r="N140" s="146">
        <f t="shared" si="10"/>
        <v>628.85625000000005</v>
      </c>
      <c r="O140" s="144">
        <v>0</v>
      </c>
      <c r="P140" s="146">
        <f t="shared" si="11"/>
        <v>0</v>
      </c>
    </row>
    <row r="141" spans="2:16" x14ac:dyDescent="0.2">
      <c r="B141" s="44">
        <v>135</v>
      </c>
      <c r="C141" s="23" t="s">
        <v>389</v>
      </c>
      <c r="D141" s="106">
        <v>5004759</v>
      </c>
      <c r="E141" s="24" t="s">
        <v>586</v>
      </c>
      <c r="F141" s="44" t="s">
        <v>426</v>
      </c>
      <c r="G141" s="44" t="s">
        <v>158</v>
      </c>
      <c r="H141" s="24" t="s">
        <v>701</v>
      </c>
      <c r="I141" s="44">
        <v>500</v>
      </c>
      <c r="J141" s="24" t="s">
        <v>7</v>
      </c>
      <c r="K141" s="103">
        <v>487</v>
      </c>
      <c r="L141" s="46">
        <f t="shared" si="12"/>
        <v>243500</v>
      </c>
      <c r="M141" s="144">
        <v>26.260416666666668</v>
      </c>
      <c r="N141" s="146">
        <f t="shared" si="10"/>
        <v>12788.822916666668</v>
      </c>
      <c r="O141" s="144">
        <v>4971.8500000000004</v>
      </c>
      <c r="P141" s="146">
        <f t="shared" si="11"/>
        <v>2421290.9500000002</v>
      </c>
    </row>
    <row r="142" spans="2:16" x14ac:dyDescent="0.2">
      <c r="B142" s="44">
        <v>136</v>
      </c>
      <c r="C142" s="23" t="s">
        <v>389</v>
      </c>
      <c r="D142" s="106">
        <v>5006034</v>
      </c>
      <c r="E142" s="24" t="s">
        <v>218</v>
      </c>
      <c r="F142" s="44" t="s">
        <v>424</v>
      </c>
      <c r="G142" s="44" t="s">
        <v>158</v>
      </c>
      <c r="H142" s="24" t="s">
        <v>702</v>
      </c>
      <c r="I142" s="44">
        <v>6</v>
      </c>
      <c r="J142" s="24" t="s">
        <v>3</v>
      </c>
      <c r="K142" s="103">
        <v>79770</v>
      </c>
      <c r="L142" s="46">
        <f t="shared" si="12"/>
        <v>478620</v>
      </c>
      <c r="M142" s="144">
        <v>0.37546113989637309</v>
      </c>
      <c r="N142" s="146">
        <f t="shared" si="10"/>
        <v>29950.53512953368</v>
      </c>
      <c r="O142" s="144">
        <v>77.939732673267329</v>
      </c>
      <c r="P142" s="146">
        <f t="shared" si="11"/>
        <v>6217252.4753465345</v>
      </c>
    </row>
    <row r="143" spans="2:16" x14ac:dyDescent="0.2">
      <c r="B143" s="44">
        <v>137</v>
      </c>
      <c r="C143" s="23" t="s">
        <v>389</v>
      </c>
      <c r="D143" s="106">
        <v>5000108</v>
      </c>
      <c r="E143" s="24" t="s">
        <v>573</v>
      </c>
      <c r="F143" s="44" t="s">
        <v>424</v>
      </c>
      <c r="G143" s="44" t="s">
        <v>158</v>
      </c>
      <c r="H143" s="24" t="s">
        <v>703</v>
      </c>
      <c r="I143" s="44">
        <v>24</v>
      </c>
      <c r="J143" s="24" t="s">
        <v>3</v>
      </c>
      <c r="K143" s="103">
        <v>143436</v>
      </c>
      <c r="L143" s="46">
        <f t="shared" si="12"/>
        <v>3442464</v>
      </c>
      <c r="M143" s="144">
        <v>0.67400000000000004</v>
      </c>
      <c r="N143" s="146">
        <f t="shared" si="10"/>
        <v>96675.864000000001</v>
      </c>
      <c r="O143" s="144">
        <v>43.458333333333336</v>
      </c>
      <c r="P143" s="146">
        <f t="shared" si="11"/>
        <v>6233489.5</v>
      </c>
    </row>
    <row r="144" spans="2:16" x14ac:dyDescent="0.2">
      <c r="B144" s="44">
        <v>138</v>
      </c>
      <c r="C144" s="23" t="s">
        <v>389</v>
      </c>
      <c r="D144" s="106">
        <v>5001533</v>
      </c>
      <c r="E144" s="24" t="s">
        <v>392</v>
      </c>
      <c r="F144" s="44" t="s">
        <v>426</v>
      </c>
      <c r="G144" s="44" t="s">
        <v>158</v>
      </c>
      <c r="H144" s="24" t="s">
        <v>706</v>
      </c>
      <c r="I144" s="44">
        <v>90</v>
      </c>
      <c r="J144" s="24" t="s">
        <v>7</v>
      </c>
      <c r="K144" s="103">
        <v>10628</v>
      </c>
      <c r="L144" s="46">
        <f t="shared" si="12"/>
        <v>956520</v>
      </c>
      <c r="M144" s="144">
        <v>2.5342708333333333</v>
      </c>
      <c r="N144" s="146">
        <f t="shared" si="10"/>
        <v>26934.230416666665</v>
      </c>
      <c r="O144" s="144">
        <v>98.601749448123613</v>
      </c>
      <c r="P144" s="146">
        <f t="shared" si="11"/>
        <v>1047939.3931346578</v>
      </c>
    </row>
    <row r="145" spans="2:16" x14ac:dyDescent="0.2">
      <c r="B145" s="44">
        <v>139</v>
      </c>
      <c r="C145" s="23" t="s">
        <v>389</v>
      </c>
      <c r="D145" s="106">
        <v>5001552</v>
      </c>
      <c r="E145" s="24" t="s">
        <v>330</v>
      </c>
      <c r="F145" s="44" t="s">
        <v>426</v>
      </c>
      <c r="G145" s="44" t="s">
        <v>158</v>
      </c>
      <c r="H145" s="24" t="s">
        <v>707</v>
      </c>
      <c r="I145" s="44">
        <v>30</v>
      </c>
      <c r="J145" s="24" t="s">
        <v>7</v>
      </c>
      <c r="K145" s="103">
        <v>35163</v>
      </c>
      <c r="L145" s="46">
        <f t="shared" si="12"/>
        <v>1054890</v>
      </c>
      <c r="M145" s="144">
        <v>1.3169791666666666</v>
      </c>
      <c r="N145" s="146">
        <f t="shared" si="10"/>
        <v>46308.938437500001</v>
      </c>
      <c r="O145" s="144">
        <v>60.67799988903684</v>
      </c>
      <c r="P145" s="146">
        <f t="shared" si="11"/>
        <v>2133620.5100982026</v>
      </c>
    </row>
    <row r="146" spans="2:16" x14ac:dyDescent="0.2">
      <c r="B146" s="44">
        <v>140</v>
      </c>
      <c r="C146" s="23" t="s">
        <v>389</v>
      </c>
      <c r="D146" s="106">
        <v>5001552</v>
      </c>
      <c r="E146" s="24" t="s">
        <v>330</v>
      </c>
      <c r="F146" s="44" t="s">
        <v>426</v>
      </c>
      <c r="G146" s="44" t="s">
        <v>158</v>
      </c>
      <c r="H146" s="24" t="s">
        <v>708</v>
      </c>
      <c r="I146" s="44">
        <v>30</v>
      </c>
      <c r="J146" s="24" t="s">
        <v>7</v>
      </c>
      <c r="K146" s="103">
        <v>35680</v>
      </c>
      <c r="L146" s="46">
        <f t="shared" si="12"/>
        <v>1070400</v>
      </c>
      <c r="M146" s="144">
        <v>1.3169791666666666</v>
      </c>
      <c r="N146" s="146">
        <f t="shared" si="10"/>
        <v>46989.816666666666</v>
      </c>
      <c r="O146" s="144">
        <v>60.67799988903684</v>
      </c>
      <c r="P146" s="146">
        <f t="shared" si="11"/>
        <v>2164991.0360408346</v>
      </c>
    </row>
    <row r="147" spans="2:16" x14ac:dyDescent="0.2">
      <c r="B147" s="44">
        <v>141</v>
      </c>
      <c r="C147" s="23" t="s">
        <v>389</v>
      </c>
      <c r="D147" s="106">
        <v>5001352</v>
      </c>
      <c r="E147" s="24" t="s">
        <v>211</v>
      </c>
      <c r="F147" s="44" t="s">
        <v>424</v>
      </c>
      <c r="G147" s="44" t="s">
        <v>158</v>
      </c>
      <c r="H147" s="24" t="s">
        <v>712</v>
      </c>
      <c r="I147" s="44">
        <v>24</v>
      </c>
      <c r="J147" s="24" t="s">
        <v>3</v>
      </c>
      <c r="K147" s="103">
        <v>143556</v>
      </c>
      <c r="L147" s="46">
        <f t="shared" si="12"/>
        <v>3445344</v>
      </c>
      <c r="M147" s="144">
        <v>0.50685714285714278</v>
      </c>
      <c r="N147" s="146">
        <f t="shared" si="10"/>
        <v>72762.383999999991</v>
      </c>
      <c r="O147" s="144">
        <v>44.075208333333329</v>
      </c>
      <c r="P147" s="146">
        <f t="shared" si="11"/>
        <v>6327260.607499999</v>
      </c>
    </row>
    <row r="148" spans="2:16" x14ac:dyDescent="0.2">
      <c r="B148" s="44">
        <v>142</v>
      </c>
      <c r="C148" s="23" t="s">
        <v>389</v>
      </c>
      <c r="D148" s="106">
        <v>5002780</v>
      </c>
      <c r="E148" s="24" t="s">
        <v>587</v>
      </c>
      <c r="F148" s="44" t="s">
        <v>424</v>
      </c>
      <c r="G148" s="44" t="s">
        <v>158</v>
      </c>
      <c r="H148" s="24" t="s">
        <v>632</v>
      </c>
      <c r="I148" s="44">
        <v>6</v>
      </c>
      <c r="J148" s="24" t="s">
        <v>3</v>
      </c>
      <c r="K148" s="103">
        <v>305715</v>
      </c>
      <c r="L148" s="46">
        <f t="shared" si="12"/>
        <v>1834290</v>
      </c>
      <c r="M148" s="144">
        <v>0.28375510204081633</v>
      </c>
      <c r="N148" s="146">
        <f t="shared" si="10"/>
        <v>86748.191020408165</v>
      </c>
      <c r="O148" s="144">
        <v>18.997499999999999</v>
      </c>
      <c r="P148" s="146">
        <f t="shared" si="11"/>
        <v>5807820.7124999994</v>
      </c>
    </row>
    <row r="149" spans="2:16" x14ac:dyDescent="0.2">
      <c r="B149" s="44">
        <v>143</v>
      </c>
      <c r="C149" s="23" t="s">
        <v>389</v>
      </c>
      <c r="D149" s="106">
        <v>5006034</v>
      </c>
      <c r="E149" s="24" t="s">
        <v>218</v>
      </c>
      <c r="F149" s="44" t="s">
        <v>424</v>
      </c>
      <c r="G149" s="44" t="s">
        <v>158</v>
      </c>
      <c r="H149" s="24" t="s">
        <v>713</v>
      </c>
      <c r="I149" s="44">
        <v>6</v>
      </c>
      <c r="J149" s="24" t="s">
        <v>3</v>
      </c>
      <c r="K149" s="103">
        <v>79350</v>
      </c>
      <c r="L149" s="46">
        <f t="shared" si="12"/>
        <v>476100</v>
      </c>
      <c r="M149" s="144">
        <v>0.37546113989637309</v>
      </c>
      <c r="N149" s="146">
        <f t="shared" si="10"/>
        <v>29792.841450777203</v>
      </c>
      <c r="O149" s="144">
        <v>77.939732673267329</v>
      </c>
      <c r="P149" s="146">
        <f t="shared" si="11"/>
        <v>6184517.7876237622</v>
      </c>
    </row>
    <row r="150" spans="2:16" x14ac:dyDescent="0.2">
      <c r="B150" s="44">
        <v>144</v>
      </c>
      <c r="C150" s="23" t="s">
        <v>389</v>
      </c>
      <c r="D150" s="106">
        <v>5000632</v>
      </c>
      <c r="E150" s="24" t="s">
        <v>391</v>
      </c>
      <c r="F150" s="44" t="s">
        <v>424</v>
      </c>
      <c r="G150" s="44" t="s">
        <v>158</v>
      </c>
      <c r="H150" s="24" t="s">
        <v>714</v>
      </c>
      <c r="I150" s="44">
        <v>10</v>
      </c>
      <c r="J150" s="24" t="s">
        <v>3</v>
      </c>
      <c r="K150" s="103">
        <v>145716</v>
      </c>
      <c r="L150" s="46">
        <f t="shared" si="12"/>
        <v>1457160</v>
      </c>
      <c r="M150" s="144">
        <v>0.33479591836734696</v>
      </c>
      <c r="N150" s="146">
        <f t="shared" si="10"/>
        <v>48785.122040816328</v>
      </c>
      <c r="O150" s="144">
        <v>7.45</v>
      </c>
      <c r="P150" s="146">
        <f t="shared" si="11"/>
        <v>1085584.2</v>
      </c>
    </row>
    <row r="151" spans="2:16" x14ac:dyDescent="0.2">
      <c r="B151" s="44">
        <v>145</v>
      </c>
      <c r="C151" s="23" t="s">
        <v>389</v>
      </c>
      <c r="D151" s="106">
        <v>5001352</v>
      </c>
      <c r="E151" s="24" t="s">
        <v>211</v>
      </c>
      <c r="F151" s="44" t="s">
        <v>424</v>
      </c>
      <c r="G151" s="44" t="s">
        <v>158</v>
      </c>
      <c r="H151" s="24" t="s">
        <v>715</v>
      </c>
      <c r="I151" s="44">
        <v>24</v>
      </c>
      <c r="J151" s="24" t="s">
        <v>3</v>
      </c>
      <c r="K151" s="103">
        <v>143736</v>
      </c>
      <c r="L151" s="46">
        <f t="shared" si="12"/>
        <v>3449664</v>
      </c>
      <c r="M151" s="144">
        <v>0.50685714285714278</v>
      </c>
      <c r="N151" s="146">
        <f t="shared" si="10"/>
        <v>72853.61828571427</v>
      </c>
      <c r="O151" s="144">
        <v>44.075208333333329</v>
      </c>
      <c r="P151" s="146">
        <f t="shared" si="11"/>
        <v>6335194.1449999996</v>
      </c>
    </row>
    <row r="152" spans="2:16" x14ac:dyDescent="0.2">
      <c r="B152" s="44">
        <v>146</v>
      </c>
      <c r="C152" s="23" t="s">
        <v>389</v>
      </c>
      <c r="D152" s="106">
        <v>5001533</v>
      </c>
      <c r="E152" s="24" t="s">
        <v>392</v>
      </c>
      <c r="F152" s="44" t="s">
        <v>426</v>
      </c>
      <c r="G152" s="44" t="s">
        <v>158</v>
      </c>
      <c r="H152" s="24" t="s">
        <v>716</v>
      </c>
      <c r="I152" s="44">
        <v>90</v>
      </c>
      <c r="J152" s="24" t="s">
        <v>7</v>
      </c>
      <c r="K152" s="103">
        <v>10844</v>
      </c>
      <c r="L152" s="46">
        <f t="shared" si="12"/>
        <v>975960</v>
      </c>
      <c r="M152" s="144">
        <v>2.5342708333333333</v>
      </c>
      <c r="N152" s="146">
        <f t="shared" si="10"/>
        <v>27481.632916666666</v>
      </c>
      <c r="O152" s="144">
        <v>98.601749448123613</v>
      </c>
      <c r="P152" s="146">
        <f t="shared" si="11"/>
        <v>1069237.3710154525</v>
      </c>
    </row>
    <row r="153" spans="2:16" x14ac:dyDescent="0.2">
      <c r="B153" s="44">
        <v>147</v>
      </c>
      <c r="C153" s="23" t="s">
        <v>389</v>
      </c>
      <c r="D153" s="106">
        <v>5001552</v>
      </c>
      <c r="E153" s="24" t="s">
        <v>330</v>
      </c>
      <c r="F153" s="44" t="s">
        <v>426</v>
      </c>
      <c r="G153" s="44" t="s">
        <v>158</v>
      </c>
      <c r="H153" s="24" t="s">
        <v>717</v>
      </c>
      <c r="I153" s="44">
        <v>30</v>
      </c>
      <c r="J153" s="24" t="s">
        <v>7</v>
      </c>
      <c r="K153" s="103">
        <v>35595</v>
      </c>
      <c r="L153" s="46">
        <f t="shared" si="12"/>
        <v>1067850</v>
      </c>
      <c r="M153" s="144">
        <v>1.3169791666666666</v>
      </c>
      <c r="N153" s="146">
        <f t="shared" si="10"/>
        <v>46877.873437499999</v>
      </c>
      <c r="O153" s="144">
        <v>60.67799988903684</v>
      </c>
      <c r="P153" s="146">
        <f t="shared" si="11"/>
        <v>2159833.4060502662</v>
      </c>
    </row>
    <row r="154" spans="2:16" x14ac:dyDescent="0.2">
      <c r="B154" s="44">
        <v>148</v>
      </c>
      <c r="C154" s="23" t="s">
        <v>389</v>
      </c>
      <c r="D154" s="106">
        <v>5001352</v>
      </c>
      <c r="E154" s="24" t="s">
        <v>211</v>
      </c>
      <c r="F154" s="44" t="s">
        <v>424</v>
      </c>
      <c r="G154" s="44" t="s">
        <v>158</v>
      </c>
      <c r="H154" s="24" t="s">
        <v>719</v>
      </c>
      <c r="I154" s="44">
        <v>24</v>
      </c>
      <c r="J154" s="24" t="s">
        <v>3</v>
      </c>
      <c r="K154" s="103">
        <v>142986</v>
      </c>
      <c r="L154" s="46">
        <f t="shared" si="12"/>
        <v>3431664</v>
      </c>
      <c r="M154" s="144">
        <v>0.50685714285714278</v>
      </c>
      <c r="N154" s="146">
        <f t="shared" si="10"/>
        <v>72473.475428571415</v>
      </c>
      <c r="O154" s="144">
        <v>44.075208333333329</v>
      </c>
      <c r="P154" s="146">
        <f t="shared" si="11"/>
        <v>6302137.7387499996</v>
      </c>
    </row>
    <row r="155" spans="2:16" x14ac:dyDescent="0.2">
      <c r="B155" s="44">
        <v>149</v>
      </c>
      <c r="C155" s="23" t="s">
        <v>389</v>
      </c>
      <c r="D155" s="106">
        <v>5006034</v>
      </c>
      <c r="E155" s="24" t="s">
        <v>218</v>
      </c>
      <c r="F155" s="44" t="s">
        <v>424</v>
      </c>
      <c r="G155" s="44" t="s">
        <v>158</v>
      </c>
      <c r="H155" s="24" t="s">
        <v>721</v>
      </c>
      <c r="I155" s="44">
        <v>6</v>
      </c>
      <c r="J155" s="24" t="s">
        <v>3</v>
      </c>
      <c r="K155" s="103">
        <v>80250</v>
      </c>
      <c r="L155" s="46">
        <f t="shared" si="12"/>
        <v>481500</v>
      </c>
      <c r="M155" s="144">
        <v>0.37546113989637309</v>
      </c>
      <c r="N155" s="146">
        <f t="shared" si="10"/>
        <v>30130.756476683939</v>
      </c>
      <c r="O155" s="144">
        <v>77.939732673267329</v>
      </c>
      <c r="P155" s="146">
        <f t="shared" si="11"/>
        <v>6254663.5470297029</v>
      </c>
    </row>
    <row r="156" spans="2:16" x14ac:dyDescent="0.2">
      <c r="B156" s="44">
        <v>150</v>
      </c>
      <c r="C156" s="23" t="s">
        <v>389</v>
      </c>
      <c r="D156" s="106">
        <v>5001352</v>
      </c>
      <c r="E156" s="24" t="s">
        <v>211</v>
      </c>
      <c r="F156" s="44" t="s">
        <v>424</v>
      </c>
      <c r="G156" s="44" t="s">
        <v>158</v>
      </c>
      <c r="H156" s="24" t="s">
        <v>722</v>
      </c>
      <c r="I156" s="44">
        <v>24</v>
      </c>
      <c r="J156" s="24" t="s">
        <v>3</v>
      </c>
      <c r="K156" s="103">
        <v>141036</v>
      </c>
      <c r="L156" s="46">
        <f t="shared" si="12"/>
        <v>3384864</v>
      </c>
      <c r="M156" s="144">
        <v>0.50685714285714278</v>
      </c>
      <c r="N156" s="146">
        <f t="shared" si="10"/>
        <v>71485.103999999992</v>
      </c>
      <c r="O156" s="144">
        <v>44.075208333333329</v>
      </c>
      <c r="P156" s="146">
        <f t="shared" si="11"/>
        <v>6216191.0824999996</v>
      </c>
    </row>
    <row r="157" spans="2:16" x14ac:dyDescent="0.2">
      <c r="B157" s="44">
        <v>151</v>
      </c>
      <c r="C157" s="23" t="s">
        <v>389</v>
      </c>
      <c r="D157" s="106">
        <v>5001533</v>
      </c>
      <c r="E157" s="24" t="s">
        <v>392</v>
      </c>
      <c r="F157" s="44" t="s">
        <v>426</v>
      </c>
      <c r="G157" s="44" t="s">
        <v>158</v>
      </c>
      <c r="H157" s="24" t="s">
        <v>723</v>
      </c>
      <c r="I157" s="44">
        <v>90</v>
      </c>
      <c r="J157" s="24" t="s">
        <v>7</v>
      </c>
      <c r="K157" s="103">
        <v>10916</v>
      </c>
      <c r="L157" s="46">
        <f t="shared" si="12"/>
        <v>982440</v>
      </c>
      <c r="M157" s="144">
        <v>2.5342708333333333</v>
      </c>
      <c r="N157" s="146">
        <f t="shared" si="10"/>
        <v>27664.100416666664</v>
      </c>
      <c r="O157" s="144">
        <v>98.601749448123613</v>
      </c>
      <c r="P157" s="146">
        <f t="shared" si="11"/>
        <v>1076336.6969757173</v>
      </c>
    </row>
    <row r="158" spans="2:16" x14ac:dyDescent="0.2">
      <c r="B158" s="44">
        <v>152</v>
      </c>
      <c r="C158" s="23" t="s">
        <v>389</v>
      </c>
      <c r="D158" s="106">
        <v>5001533</v>
      </c>
      <c r="E158" s="24" t="s">
        <v>392</v>
      </c>
      <c r="F158" s="44" t="s">
        <v>426</v>
      </c>
      <c r="G158" s="44" t="s">
        <v>158</v>
      </c>
      <c r="H158" s="24" t="s">
        <v>724</v>
      </c>
      <c r="I158" s="44">
        <v>90</v>
      </c>
      <c r="J158" s="24" t="s">
        <v>7</v>
      </c>
      <c r="K158" s="103">
        <v>10736</v>
      </c>
      <c r="L158" s="46">
        <f t="shared" si="12"/>
        <v>966240</v>
      </c>
      <c r="M158" s="144">
        <v>2.5342708333333333</v>
      </c>
      <c r="N158" s="146">
        <f t="shared" si="10"/>
        <v>27207.931666666667</v>
      </c>
      <c r="O158" s="144">
        <v>98.601749448123613</v>
      </c>
      <c r="P158" s="146">
        <f t="shared" si="11"/>
        <v>1058588.382075055</v>
      </c>
    </row>
    <row r="159" spans="2:16" x14ac:dyDescent="0.2">
      <c r="B159" s="44">
        <v>153</v>
      </c>
      <c r="C159" s="23" t="s">
        <v>389</v>
      </c>
      <c r="D159" s="106">
        <v>5002780</v>
      </c>
      <c r="E159" s="24" t="s">
        <v>587</v>
      </c>
      <c r="F159" s="44" t="s">
        <v>424</v>
      </c>
      <c r="G159" s="44" t="s">
        <v>158</v>
      </c>
      <c r="H159" s="24" t="s">
        <v>405</v>
      </c>
      <c r="I159" s="44">
        <v>6</v>
      </c>
      <c r="J159" s="24" t="s">
        <v>3</v>
      </c>
      <c r="K159" s="103">
        <v>18270</v>
      </c>
      <c r="L159" s="46">
        <f t="shared" si="12"/>
        <v>109620</v>
      </c>
      <c r="M159" s="144">
        <v>0.28375510204081633</v>
      </c>
      <c r="N159" s="146">
        <f t="shared" si="10"/>
        <v>5184.2057142857147</v>
      </c>
      <c r="O159" s="144">
        <v>18.997499999999999</v>
      </c>
      <c r="P159" s="146">
        <f t="shared" si="11"/>
        <v>347084.32499999995</v>
      </c>
    </row>
    <row r="160" spans="2:16" x14ac:dyDescent="0.2">
      <c r="B160" s="73"/>
      <c r="C160" s="74"/>
      <c r="D160" s="74"/>
      <c r="E160" s="66"/>
      <c r="F160" s="66"/>
      <c r="G160" s="74"/>
      <c r="H160" s="74"/>
      <c r="I160" s="74"/>
      <c r="J160" s="97"/>
      <c r="K160" s="75">
        <f>SUM(K65:K159)</f>
        <v>4708192</v>
      </c>
      <c r="L160" s="75">
        <f>SUM(L65:L159)</f>
        <v>109004518</v>
      </c>
      <c r="M160" s="145"/>
      <c r="N160" s="147">
        <f t="shared" ref="N160:P160" si="13">SUM(N65:N159)</f>
        <v>3215389.0237786309</v>
      </c>
      <c r="O160" s="145"/>
      <c r="P160" s="147">
        <f t="shared" si="13"/>
        <v>239584472.88535497</v>
      </c>
    </row>
    <row r="162" spans="10:16" x14ac:dyDescent="0.2">
      <c r="J162" s="67" t="s">
        <v>197</v>
      </c>
      <c r="K162" s="68">
        <f>K160+K64+K44</f>
        <v>8227121</v>
      </c>
      <c r="L162" s="68">
        <f>L160+L64+L44</f>
        <v>154538066</v>
      </c>
      <c r="M162" s="137"/>
      <c r="N162" s="143">
        <f t="shared" ref="N162:P162" si="14">N160+N64+N44</f>
        <v>7634045.961638337</v>
      </c>
      <c r="O162" s="137"/>
      <c r="P162" s="143">
        <f t="shared" si="14"/>
        <v>423205799.73145139</v>
      </c>
    </row>
  </sheetData>
  <autoFilter ref="B4:P162"/>
  <sortState ref="B5:L159">
    <sortCondition ref="G5:G159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P211"/>
  <sheetViews>
    <sheetView topLeftCell="A5" workbookViewId="0">
      <selection activeCell="G5" sqref="B2:P209"/>
    </sheetView>
  </sheetViews>
  <sheetFormatPr defaultRowHeight="12" x14ac:dyDescent="0.2"/>
  <cols>
    <col min="1" max="1" width="5.7109375" style="24" customWidth="1"/>
    <col min="2" max="2" width="9.140625" style="24"/>
    <col min="3" max="3" width="5" style="23" bestFit="1" customWidth="1"/>
    <col min="4" max="4" width="10.7109375" style="24" bestFit="1" customWidth="1"/>
    <col min="5" max="5" width="37.140625" style="24" bestFit="1" customWidth="1"/>
    <col min="6" max="6" width="11.7109375" style="34" bestFit="1" customWidth="1"/>
    <col min="7" max="7" width="19.140625" style="34" bestFit="1" customWidth="1"/>
    <col min="8" max="8" width="8.140625" style="34" bestFit="1" customWidth="1"/>
    <col min="9" max="9" width="7.42578125" style="23" bestFit="1" customWidth="1"/>
    <col min="10" max="10" width="4" style="23" bestFit="1" customWidth="1"/>
    <col min="11" max="11" width="15.5703125" style="35" bestFit="1" customWidth="1"/>
    <col min="12" max="12" width="12" style="35" bestFit="1" customWidth="1"/>
    <col min="13" max="13" width="12.140625" style="149" bestFit="1" customWidth="1"/>
    <col min="14" max="14" width="12.140625" style="152" bestFit="1" customWidth="1"/>
    <col min="15" max="15" width="12.140625" style="149" bestFit="1" customWidth="1"/>
    <col min="16" max="16" width="14.42578125" style="152" bestFit="1" customWidth="1"/>
    <col min="17" max="16384" width="9.140625" style="24"/>
  </cols>
  <sheetData>
    <row r="1" spans="2:16" s="29" customFormat="1" x14ac:dyDescent="0.2">
      <c r="C1" s="28"/>
      <c r="D1" s="36"/>
      <c r="E1" s="36"/>
      <c r="I1" s="28"/>
      <c r="J1" s="28"/>
      <c r="K1" s="38"/>
      <c r="L1" s="38"/>
      <c r="M1" s="148"/>
      <c r="N1" s="151"/>
      <c r="O1" s="148"/>
      <c r="P1" s="151"/>
    </row>
    <row r="2" spans="2:16" s="29" customFormat="1" x14ac:dyDescent="0.2">
      <c r="B2" s="39" t="s">
        <v>177</v>
      </c>
      <c r="C2" s="27"/>
      <c r="D2" s="36"/>
      <c r="E2" s="36"/>
      <c r="I2" s="28"/>
      <c r="J2" s="28"/>
      <c r="K2" s="38"/>
      <c r="L2" s="38"/>
      <c r="M2" s="148"/>
      <c r="N2" s="151"/>
      <c r="O2" s="148"/>
      <c r="P2" s="151"/>
    </row>
    <row r="3" spans="2:16" s="29" customFormat="1" x14ac:dyDescent="0.2">
      <c r="B3" s="18" t="s">
        <v>428</v>
      </c>
      <c r="C3" s="27"/>
      <c r="D3" s="36"/>
      <c r="E3" s="36"/>
      <c r="I3" s="28"/>
      <c r="J3" s="28"/>
      <c r="K3" s="31" t="s">
        <v>169</v>
      </c>
      <c r="L3" s="38"/>
      <c r="M3" s="148"/>
      <c r="N3" s="151"/>
      <c r="O3" s="148"/>
      <c r="P3" s="151"/>
    </row>
    <row r="4" spans="2:16" s="43" customFormat="1" x14ac:dyDescent="0.2">
      <c r="B4" s="32" t="s">
        <v>168</v>
      </c>
      <c r="C4" s="32" t="s">
        <v>196</v>
      </c>
      <c r="D4" s="107" t="s">
        <v>118</v>
      </c>
      <c r="E4" s="20" t="s">
        <v>115</v>
      </c>
      <c r="F4" s="105" t="s">
        <v>423</v>
      </c>
      <c r="G4" s="105" t="s">
        <v>119</v>
      </c>
      <c r="H4" s="96" t="s">
        <v>297</v>
      </c>
      <c r="I4" s="20" t="s">
        <v>172</v>
      </c>
      <c r="J4" s="19" t="s">
        <v>120</v>
      </c>
      <c r="K4" s="42" t="s">
        <v>170</v>
      </c>
      <c r="L4" s="42" t="s">
        <v>173</v>
      </c>
      <c r="M4" s="130" t="s">
        <v>1486</v>
      </c>
      <c r="N4" s="131" t="s">
        <v>1487</v>
      </c>
      <c r="O4" s="130" t="s">
        <v>1488</v>
      </c>
      <c r="P4" s="131" t="s">
        <v>1482</v>
      </c>
    </row>
    <row r="5" spans="2:16" x14ac:dyDescent="0.2">
      <c r="B5" s="23">
        <v>1</v>
      </c>
      <c r="C5" s="23" t="s">
        <v>386</v>
      </c>
      <c r="D5" s="106">
        <v>5500801</v>
      </c>
      <c r="E5" s="24" t="s">
        <v>319</v>
      </c>
      <c r="F5" s="23" t="s">
        <v>425</v>
      </c>
      <c r="G5" s="29" t="s">
        <v>159</v>
      </c>
      <c r="H5" s="24" t="s">
        <v>787</v>
      </c>
      <c r="I5" s="23">
        <v>15</v>
      </c>
      <c r="J5" s="24" t="s">
        <v>65</v>
      </c>
      <c r="K5" s="103">
        <v>32075</v>
      </c>
      <c r="L5" s="35">
        <f t="shared" ref="L5:L14" si="0">K5*I5</f>
        <v>481125</v>
      </c>
      <c r="M5" s="149">
        <v>1.1030729166666668</v>
      </c>
      <c r="N5" s="152">
        <f>+K5*M5</f>
        <v>35381.063802083336</v>
      </c>
      <c r="O5" s="149">
        <v>214.70999556701878</v>
      </c>
      <c r="P5" s="152">
        <f>+K5*O5</f>
        <v>6886823.1078121271</v>
      </c>
    </row>
    <row r="6" spans="2:16" x14ac:dyDescent="0.2">
      <c r="B6" s="23">
        <v>2</v>
      </c>
      <c r="C6" s="23" t="s">
        <v>386</v>
      </c>
      <c r="D6" s="106">
        <v>5500800</v>
      </c>
      <c r="E6" s="24" t="s">
        <v>745</v>
      </c>
      <c r="F6" s="23" t="s">
        <v>425</v>
      </c>
      <c r="G6" s="29" t="s">
        <v>159</v>
      </c>
      <c r="H6" s="24" t="s">
        <v>822</v>
      </c>
      <c r="I6" s="23">
        <v>15</v>
      </c>
      <c r="J6" s="24" t="s">
        <v>65</v>
      </c>
      <c r="K6" s="103">
        <v>30994</v>
      </c>
      <c r="L6" s="35">
        <f t="shared" si="0"/>
        <v>464910</v>
      </c>
      <c r="M6" s="149">
        <v>1.1030729166666668</v>
      </c>
      <c r="N6" s="152">
        <f t="shared" ref="N6:N14" si="1">+K6*M6</f>
        <v>34188.64197916667</v>
      </c>
      <c r="O6" s="149">
        <v>175.50000197784809</v>
      </c>
      <c r="P6" s="152">
        <f t="shared" ref="P6:P14" si="2">+K6*O6</f>
        <v>5439447.0613014232</v>
      </c>
    </row>
    <row r="7" spans="2:16" x14ac:dyDescent="0.2">
      <c r="B7" s="23">
        <v>3</v>
      </c>
      <c r="C7" s="23" t="s">
        <v>386</v>
      </c>
      <c r="D7" s="106">
        <v>5500674</v>
      </c>
      <c r="E7" s="24" t="s">
        <v>241</v>
      </c>
      <c r="F7" s="23" t="s">
        <v>425</v>
      </c>
      <c r="G7" s="29" t="s">
        <v>159</v>
      </c>
      <c r="H7" s="24" t="s">
        <v>831</v>
      </c>
      <c r="I7" s="23">
        <v>15</v>
      </c>
      <c r="J7" s="24" t="s">
        <v>3</v>
      </c>
      <c r="K7" s="103">
        <v>32871</v>
      </c>
      <c r="L7" s="35">
        <f t="shared" si="0"/>
        <v>493065</v>
      </c>
      <c r="M7" s="149">
        <v>0.64</v>
      </c>
      <c r="N7" s="152">
        <f t="shared" si="1"/>
        <v>21037.439999999999</v>
      </c>
      <c r="O7" s="149">
        <v>190.92992815600417</v>
      </c>
      <c r="P7" s="152">
        <f t="shared" si="2"/>
        <v>6276057.668416013</v>
      </c>
    </row>
    <row r="8" spans="2:16" x14ac:dyDescent="0.2">
      <c r="B8" s="23">
        <v>4</v>
      </c>
      <c r="C8" s="23" t="s">
        <v>386</v>
      </c>
      <c r="D8" s="106">
        <v>5500801</v>
      </c>
      <c r="E8" s="24" t="s">
        <v>319</v>
      </c>
      <c r="F8" s="23" t="s">
        <v>425</v>
      </c>
      <c r="G8" s="29" t="s">
        <v>159</v>
      </c>
      <c r="H8" s="24" t="s">
        <v>844</v>
      </c>
      <c r="I8" s="23">
        <v>15</v>
      </c>
      <c r="J8" s="24" t="s">
        <v>65</v>
      </c>
      <c r="K8" s="103">
        <v>5950</v>
      </c>
      <c r="L8" s="35">
        <f t="shared" si="0"/>
        <v>89250</v>
      </c>
      <c r="M8" s="149">
        <v>1.1030729166666668</v>
      </c>
      <c r="N8" s="152">
        <f t="shared" si="1"/>
        <v>6563.2838541666679</v>
      </c>
      <c r="O8" s="149">
        <v>214.70999556701878</v>
      </c>
      <c r="P8" s="152">
        <f t="shared" si="2"/>
        <v>1277524.4736237617</v>
      </c>
    </row>
    <row r="9" spans="2:16" x14ac:dyDescent="0.2">
      <c r="B9" s="23">
        <v>5</v>
      </c>
      <c r="C9" s="23" t="s">
        <v>386</v>
      </c>
      <c r="D9" s="106">
        <v>5500674</v>
      </c>
      <c r="E9" s="24" t="s">
        <v>241</v>
      </c>
      <c r="F9" s="23" t="s">
        <v>425</v>
      </c>
      <c r="G9" s="29" t="s">
        <v>159</v>
      </c>
      <c r="H9" s="24" t="s">
        <v>858</v>
      </c>
      <c r="I9" s="23">
        <v>15</v>
      </c>
      <c r="J9" s="24" t="s">
        <v>3</v>
      </c>
      <c r="K9" s="103">
        <v>32981</v>
      </c>
      <c r="L9" s="35">
        <f t="shared" si="0"/>
        <v>494715</v>
      </c>
      <c r="M9" s="149">
        <v>0.64</v>
      </c>
      <c r="N9" s="152">
        <f t="shared" si="1"/>
        <v>21107.84</v>
      </c>
      <c r="O9" s="149">
        <v>190.92992815600417</v>
      </c>
      <c r="P9" s="152">
        <f t="shared" si="2"/>
        <v>6297059.9605131736</v>
      </c>
    </row>
    <row r="10" spans="2:16" x14ac:dyDescent="0.2">
      <c r="B10" s="23">
        <v>6</v>
      </c>
      <c r="C10" s="23" t="s">
        <v>386</v>
      </c>
      <c r="D10" s="106">
        <v>5500674</v>
      </c>
      <c r="E10" s="24" t="s">
        <v>241</v>
      </c>
      <c r="F10" s="23" t="s">
        <v>425</v>
      </c>
      <c r="G10" s="29" t="s">
        <v>159</v>
      </c>
      <c r="H10" s="24" t="s">
        <v>875</v>
      </c>
      <c r="I10" s="23">
        <v>15</v>
      </c>
      <c r="J10" s="24" t="s">
        <v>3</v>
      </c>
      <c r="K10" s="103">
        <v>32911</v>
      </c>
      <c r="L10" s="35">
        <f t="shared" si="0"/>
        <v>493665</v>
      </c>
      <c r="M10" s="149">
        <v>0.64</v>
      </c>
      <c r="N10" s="152">
        <f t="shared" si="1"/>
        <v>21063.040000000001</v>
      </c>
      <c r="O10" s="149">
        <v>190.92992815600417</v>
      </c>
      <c r="P10" s="152">
        <f t="shared" si="2"/>
        <v>6283694.8655422535</v>
      </c>
    </row>
    <row r="11" spans="2:16" x14ac:dyDescent="0.2">
      <c r="B11" s="23">
        <v>7</v>
      </c>
      <c r="C11" s="23" t="s">
        <v>386</v>
      </c>
      <c r="D11" s="106">
        <v>5500674</v>
      </c>
      <c r="E11" s="24" t="s">
        <v>241</v>
      </c>
      <c r="F11" s="23" t="s">
        <v>425</v>
      </c>
      <c r="G11" s="29" t="s">
        <v>159</v>
      </c>
      <c r="H11" s="24" t="s">
        <v>876</v>
      </c>
      <c r="I11" s="23">
        <v>15</v>
      </c>
      <c r="J11" s="24" t="s">
        <v>3</v>
      </c>
      <c r="K11" s="103">
        <v>32971</v>
      </c>
      <c r="L11" s="35">
        <f t="shared" si="0"/>
        <v>494565</v>
      </c>
      <c r="M11" s="149">
        <v>0.64</v>
      </c>
      <c r="N11" s="152">
        <f t="shared" si="1"/>
        <v>21101.439999999999</v>
      </c>
      <c r="O11" s="149">
        <v>190.92992815600417</v>
      </c>
      <c r="P11" s="152">
        <f t="shared" si="2"/>
        <v>6295150.6612316137</v>
      </c>
    </row>
    <row r="12" spans="2:16" x14ac:dyDescent="0.2">
      <c r="B12" s="23">
        <v>8</v>
      </c>
      <c r="C12" s="23" t="s">
        <v>386</v>
      </c>
      <c r="D12" s="106">
        <v>5500675</v>
      </c>
      <c r="E12" s="24" t="s">
        <v>242</v>
      </c>
      <c r="F12" s="23" t="s">
        <v>425</v>
      </c>
      <c r="G12" s="29" t="s">
        <v>159</v>
      </c>
      <c r="H12" s="24" t="s">
        <v>895</v>
      </c>
      <c r="I12" s="23">
        <v>15</v>
      </c>
      <c r="J12" s="24" t="s">
        <v>3</v>
      </c>
      <c r="K12" s="103">
        <v>32951</v>
      </c>
      <c r="L12" s="35">
        <f t="shared" si="0"/>
        <v>494265</v>
      </c>
      <c r="M12" s="149">
        <v>0.64</v>
      </c>
      <c r="N12" s="152">
        <f t="shared" si="1"/>
        <v>21088.639999999999</v>
      </c>
      <c r="O12" s="149">
        <v>235.2899962984504</v>
      </c>
      <c r="P12" s="152">
        <f t="shared" si="2"/>
        <v>7753040.6680302396</v>
      </c>
    </row>
    <row r="13" spans="2:16" x14ac:dyDescent="0.2">
      <c r="B13" s="23">
        <v>9</v>
      </c>
      <c r="C13" s="23" t="s">
        <v>386</v>
      </c>
      <c r="D13" s="106">
        <v>5500801</v>
      </c>
      <c r="E13" s="24" t="s">
        <v>319</v>
      </c>
      <c r="F13" s="23" t="s">
        <v>425</v>
      </c>
      <c r="G13" s="29" t="s">
        <v>159</v>
      </c>
      <c r="H13" s="24" t="s">
        <v>909</v>
      </c>
      <c r="I13" s="23">
        <v>15</v>
      </c>
      <c r="J13" s="24" t="s">
        <v>65</v>
      </c>
      <c r="K13" s="103">
        <v>26590</v>
      </c>
      <c r="L13" s="35">
        <f t="shared" si="0"/>
        <v>398850</v>
      </c>
      <c r="M13" s="149">
        <v>1.1030729166666668</v>
      </c>
      <c r="N13" s="152">
        <f t="shared" si="1"/>
        <v>29330.708854166671</v>
      </c>
      <c r="O13" s="149">
        <v>214.70999556701878</v>
      </c>
      <c r="P13" s="152">
        <f t="shared" si="2"/>
        <v>5709138.7821270293</v>
      </c>
    </row>
    <row r="14" spans="2:16" x14ac:dyDescent="0.2">
      <c r="B14" s="23">
        <v>10</v>
      </c>
      <c r="C14" s="23" t="s">
        <v>386</v>
      </c>
      <c r="D14" s="106">
        <v>5500675</v>
      </c>
      <c r="E14" s="24" t="s">
        <v>242</v>
      </c>
      <c r="F14" s="23" t="s">
        <v>425</v>
      </c>
      <c r="G14" s="29" t="s">
        <v>159</v>
      </c>
      <c r="H14" s="24" t="s">
        <v>950</v>
      </c>
      <c r="I14" s="23">
        <v>15</v>
      </c>
      <c r="J14" s="24" t="s">
        <v>3</v>
      </c>
      <c r="K14" s="103">
        <v>33101</v>
      </c>
      <c r="L14" s="35">
        <f t="shared" si="0"/>
        <v>496515</v>
      </c>
      <c r="M14" s="149">
        <v>0.64</v>
      </c>
      <c r="N14" s="152">
        <f t="shared" si="1"/>
        <v>21184.639999999999</v>
      </c>
      <c r="O14" s="149">
        <v>235.2899962984504</v>
      </c>
      <c r="P14" s="152">
        <f t="shared" si="2"/>
        <v>7788334.1674750065</v>
      </c>
    </row>
    <row r="15" spans="2:16" x14ac:dyDescent="0.2">
      <c r="B15" s="69"/>
      <c r="C15" s="69"/>
      <c r="D15" s="108"/>
      <c r="E15" s="26"/>
      <c r="F15" s="69"/>
      <c r="G15" s="77"/>
      <c r="H15" s="26"/>
      <c r="I15" s="69"/>
      <c r="J15" s="26"/>
      <c r="K15" s="104">
        <f>SUM(K5:K14)</f>
        <v>293395</v>
      </c>
      <c r="L15" s="71">
        <f>SUM(L5:L14)</f>
        <v>4400925</v>
      </c>
      <c r="M15" s="150"/>
      <c r="N15" s="153">
        <f t="shared" ref="N15:P15" si="3">SUM(N5:N14)</f>
        <v>232046.73848958337</v>
      </c>
      <c r="O15" s="150"/>
      <c r="P15" s="153">
        <f t="shared" si="3"/>
        <v>60006271.416072644</v>
      </c>
    </row>
    <row r="16" spans="2:16" x14ac:dyDescent="0.2">
      <c r="B16" s="23">
        <v>11</v>
      </c>
      <c r="C16" s="23" t="s">
        <v>386</v>
      </c>
      <c r="D16" s="106">
        <v>5005000</v>
      </c>
      <c r="E16" s="24" t="s">
        <v>728</v>
      </c>
      <c r="F16" s="23" t="s">
        <v>424</v>
      </c>
      <c r="G16" s="100" t="s">
        <v>208</v>
      </c>
      <c r="H16" s="24" t="s">
        <v>769</v>
      </c>
      <c r="I16" s="23">
        <v>1</v>
      </c>
      <c r="J16" s="24" t="s">
        <v>34</v>
      </c>
      <c r="K16" s="103">
        <v>9578</v>
      </c>
      <c r="L16" s="35">
        <f t="shared" ref="L16:L48" si="4">K16*I16</f>
        <v>9578</v>
      </c>
      <c r="M16" s="149">
        <v>1.2737411701333201</v>
      </c>
      <c r="N16" s="152">
        <f t="shared" ref="N16:N48" si="5">+K16*M16</f>
        <v>12199.892927536939</v>
      </c>
      <c r="O16" s="149">
        <v>131.12</v>
      </c>
      <c r="P16" s="152">
        <f t="shared" ref="P16:P48" si="6">+K16*O16</f>
        <v>1255867.3600000001</v>
      </c>
    </row>
    <row r="17" spans="2:16" x14ac:dyDescent="0.2">
      <c r="B17" s="23">
        <v>12</v>
      </c>
      <c r="C17" s="23" t="s">
        <v>386</v>
      </c>
      <c r="D17" s="106">
        <v>5501153</v>
      </c>
      <c r="E17" s="24" t="s">
        <v>245</v>
      </c>
      <c r="F17" s="23" t="s">
        <v>425</v>
      </c>
      <c r="G17" s="100" t="s">
        <v>208</v>
      </c>
      <c r="H17" s="24" t="s">
        <v>772</v>
      </c>
      <c r="I17" s="23">
        <v>1</v>
      </c>
      <c r="J17" s="24" t="s">
        <v>34</v>
      </c>
      <c r="K17" s="103">
        <v>79281</v>
      </c>
      <c r="L17" s="35">
        <f t="shared" si="4"/>
        <v>79281</v>
      </c>
      <c r="M17" s="149">
        <v>1.1602040816326531</v>
      </c>
      <c r="N17" s="152">
        <f t="shared" si="5"/>
        <v>91982.139795918367</v>
      </c>
      <c r="O17" s="149">
        <v>166.50015102974828</v>
      </c>
      <c r="P17" s="152">
        <f t="shared" si="6"/>
        <v>13200298.473789474</v>
      </c>
    </row>
    <row r="18" spans="2:16" x14ac:dyDescent="0.2">
      <c r="B18" s="23">
        <v>13</v>
      </c>
      <c r="C18" s="23" t="s">
        <v>386</v>
      </c>
      <c r="D18" s="106">
        <v>5501153</v>
      </c>
      <c r="E18" s="24" t="s">
        <v>245</v>
      </c>
      <c r="F18" s="23" t="s">
        <v>425</v>
      </c>
      <c r="G18" s="100" t="s">
        <v>208</v>
      </c>
      <c r="H18" s="24" t="s">
        <v>776</v>
      </c>
      <c r="I18" s="23">
        <v>1</v>
      </c>
      <c r="J18" s="24" t="s">
        <v>34</v>
      </c>
      <c r="K18" s="103">
        <v>79399</v>
      </c>
      <c r="L18" s="35">
        <f t="shared" si="4"/>
        <v>79399</v>
      </c>
      <c r="M18" s="149">
        <v>1.1602040816326531</v>
      </c>
      <c r="N18" s="152">
        <f t="shared" si="5"/>
        <v>92119.043877551027</v>
      </c>
      <c r="O18" s="149">
        <v>166.50015102974828</v>
      </c>
      <c r="P18" s="152">
        <f t="shared" si="6"/>
        <v>13219945.491610983</v>
      </c>
    </row>
    <row r="19" spans="2:16" x14ac:dyDescent="0.2">
      <c r="B19" s="23">
        <v>14</v>
      </c>
      <c r="C19" s="23" t="s">
        <v>386</v>
      </c>
      <c r="D19" s="106">
        <v>5501340</v>
      </c>
      <c r="E19" s="24" t="s">
        <v>249</v>
      </c>
      <c r="F19" s="23" t="s">
        <v>425</v>
      </c>
      <c r="G19" s="100" t="s">
        <v>208</v>
      </c>
      <c r="H19" s="24" t="s">
        <v>777</v>
      </c>
      <c r="I19" s="23">
        <v>1</v>
      </c>
      <c r="J19" s="24" t="s">
        <v>34</v>
      </c>
      <c r="K19" s="103">
        <v>11849</v>
      </c>
      <c r="L19" s="35">
        <f t="shared" si="4"/>
        <v>11849</v>
      </c>
      <c r="M19" s="149">
        <v>2.0959183673469388</v>
      </c>
      <c r="N19" s="152">
        <f t="shared" si="5"/>
        <v>24834.536734693876</v>
      </c>
      <c r="O19" s="149">
        <v>183.21171875000002</v>
      </c>
      <c r="P19" s="152">
        <f t="shared" si="6"/>
        <v>2170875.6554687503</v>
      </c>
    </row>
    <row r="20" spans="2:16" x14ac:dyDescent="0.2">
      <c r="B20" s="23">
        <v>15</v>
      </c>
      <c r="C20" s="23" t="s">
        <v>386</v>
      </c>
      <c r="D20" s="106">
        <v>5000507</v>
      </c>
      <c r="E20" s="24" t="s">
        <v>732</v>
      </c>
      <c r="F20" s="23" t="s">
        <v>424</v>
      </c>
      <c r="G20" s="100" t="s">
        <v>208</v>
      </c>
      <c r="H20" s="24" t="s">
        <v>779</v>
      </c>
      <c r="I20" s="23">
        <v>1</v>
      </c>
      <c r="J20" s="24" t="s">
        <v>34</v>
      </c>
      <c r="K20" s="103">
        <v>9899</v>
      </c>
      <c r="L20" s="35">
        <f t="shared" si="4"/>
        <v>9899</v>
      </c>
      <c r="M20" s="149">
        <v>1.2868725224027358</v>
      </c>
      <c r="N20" s="152">
        <f t="shared" si="5"/>
        <v>12738.75109926468</v>
      </c>
      <c r="O20" s="149">
        <v>113.28749999999999</v>
      </c>
      <c r="P20" s="152">
        <f t="shared" si="6"/>
        <v>1121432.9624999999</v>
      </c>
    </row>
    <row r="21" spans="2:16" x14ac:dyDescent="0.2">
      <c r="B21" s="23">
        <v>16</v>
      </c>
      <c r="C21" s="23" t="s">
        <v>386</v>
      </c>
      <c r="D21" s="106">
        <v>5500930</v>
      </c>
      <c r="E21" s="24" t="s">
        <v>53</v>
      </c>
      <c r="F21" s="23" t="s">
        <v>425</v>
      </c>
      <c r="G21" s="100" t="s">
        <v>208</v>
      </c>
      <c r="H21" s="24" t="s">
        <v>788</v>
      </c>
      <c r="I21" s="23">
        <v>1</v>
      </c>
      <c r="J21" s="24" t="s">
        <v>34</v>
      </c>
      <c r="K21" s="103">
        <v>489</v>
      </c>
      <c r="L21" s="35">
        <f t="shared" si="4"/>
        <v>489</v>
      </c>
      <c r="M21" s="149">
        <v>3.5591836734693878</v>
      </c>
      <c r="N21" s="152">
        <f t="shared" si="5"/>
        <v>1740.4408163265307</v>
      </c>
      <c r="O21" s="149">
        <v>232.47</v>
      </c>
      <c r="P21" s="152">
        <f t="shared" si="6"/>
        <v>113677.83</v>
      </c>
    </row>
    <row r="22" spans="2:16" x14ac:dyDescent="0.2">
      <c r="B22" s="23">
        <v>17</v>
      </c>
      <c r="C22" s="23" t="s">
        <v>386</v>
      </c>
      <c r="D22" s="106">
        <v>5501153</v>
      </c>
      <c r="E22" s="24" t="s">
        <v>245</v>
      </c>
      <c r="F22" s="23" t="s">
        <v>425</v>
      </c>
      <c r="G22" s="100" t="s">
        <v>208</v>
      </c>
      <c r="H22" s="24" t="s">
        <v>789</v>
      </c>
      <c r="I22" s="23">
        <v>1</v>
      </c>
      <c r="J22" s="24" t="s">
        <v>34</v>
      </c>
      <c r="K22" s="103">
        <v>79254</v>
      </c>
      <c r="L22" s="35">
        <f t="shared" si="4"/>
        <v>79254</v>
      </c>
      <c r="M22" s="149">
        <v>1.1602040816326531</v>
      </c>
      <c r="N22" s="152">
        <f t="shared" si="5"/>
        <v>91950.814285714281</v>
      </c>
      <c r="O22" s="149">
        <v>166.50015102974828</v>
      </c>
      <c r="P22" s="152">
        <f t="shared" si="6"/>
        <v>13195802.969711671</v>
      </c>
    </row>
    <row r="23" spans="2:16" x14ac:dyDescent="0.2">
      <c r="B23" s="23">
        <v>18</v>
      </c>
      <c r="C23" s="23" t="s">
        <v>386</v>
      </c>
      <c r="D23" s="106">
        <v>5000337</v>
      </c>
      <c r="E23" s="24" t="s">
        <v>316</v>
      </c>
      <c r="F23" s="23" t="s">
        <v>424</v>
      </c>
      <c r="G23" s="100" t="s">
        <v>208</v>
      </c>
      <c r="H23" s="24" t="s">
        <v>790</v>
      </c>
      <c r="I23" s="23">
        <v>1</v>
      </c>
      <c r="J23" s="24" t="s">
        <v>34</v>
      </c>
      <c r="K23" s="103">
        <v>65828</v>
      </c>
      <c r="L23" s="35">
        <f t="shared" si="4"/>
        <v>65828</v>
      </c>
      <c r="M23" s="149">
        <v>0.93284009268924306</v>
      </c>
      <c r="N23" s="152">
        <f t="shared" si="5"/>
        <v>61406.997621547489</v>
      </c>
      <c r="O23" s="149">
        <v>118.32209997439836</v>
      </c>
      <c r="P23" s="152">
        <f t="shared" si="6"/>
        <v>7788907.1971146949</v>
      </c>
    </row>
    <row r="24" spans="2:16" x14ac:dyDescent="0.2">
      <c r="B24" s="23">
        <v>19</v>
      </c>
      <c r="C24" s="23" t="s">
        <v>386</v>
      </c>
      <c r="D24" s="106">
        <v>5000507</v>
      </c>
      <c r="E24" s="24" t="s">
        <v>732</v>
      </c>
      <c r="F24" s="23" t="s">
        <v>424</v>
      </c>
      <c r="G24" s="100" t="s">
        <v>208</v>
      </c>
      <c r="H24" s="24" t="s">
        <v>797</v>
      </c>
      <c r="I24" s="23">
        <v>1</v>
      </c>
      <c r="J24" s="24" t="s">
        <v>34</v>
      </c>
      <c r="K24" s="103">
        <v>9809</v>
      </c>
      <c r="L24" s="35">
        <f t="shared" si="4"/>
        <v>9809</v>
      </c>
      <c r="M24" s="149">
        <v>1.2868725224027358</v>
      </c>
      <c r="N24" s="152">
        <f t="shared" si="5"/>
        <v>12622.932572248435</v>
      </c>
      <c r="O24" s="149">
        <v>113.28749999999999</v>
      </c>
      <c r="P24" s="152">
        <f t="shared" si="6"/>
        <v>1111237.0874999999</v>
      </c>
    </row>
    <row r="25" spans="2:16" x14ac:dyDescent="0.2">
      <c r="B25" s="23">
        <v>20</v>
      </c>
      <c r="C25" s="23" t="s">
        <v>386</v>
      </c>
      <c r="D25" s="106">
        <v>5500943</v>
      </c>
      <c r="E25" s="24" t="s">
        <v>738</v>
      </c>
      <c r="F25" s="23" t="s">
        <v>425</v>
      </c>
      <c r="G25" s="100" t="s">
        <v>208</v>
      </c>
      <c r="H25" s="24" t="s">
        <v>801</v>
      </c>
      <c r="I25" s="23">
        <v>1</v>
      </c>
      <c r="J25" s="24" t="s">
        <v>34</v>
      </c>
      <c r="K25" s="103">
        <v>2982</v>
      </c>
      <c r="L25" s="35">
        <f t="shared" si="4"/>
        <v>2982</v>
      </c>
      <c r="M25" s="149">
        <v>4.6942141174310805</v>
      </c>
      <c r="N25" s="152">
        <f t="shared" si="5"/>
        <v>13998.146498179482</v>
      </c>
      <c r="O25" s="149">
        <v>284.95</v>
      </c>
      <c r="P25" s="152">
        <f t="shared" si="6"/>
        <v>849720.9</v>
      </c>
    </row>
    <row r="26" spans="2:16" x14ac:dyDescent="0.2">
      <c r="B26" s="23">
        <v>21</v>
      </c>
      <c r="C26" s="23" t="s">
        <v>386</v>
      </c>
      <c r="D26" s="106">
        <v>5000337</v>
      </c>
      <c r="E26" s="24" t="s">
        <v>316</v>
      </c>
      <c r="F26" s="23" t="s">
        <v>424</v>
      </c>
      <c r="G26" s="100" t="s">
        <v>208</v>
      </c>
      <c r="H26" s="24" t="s">
        <v>802</v>
      </c>
      <c r="I26" s="23">
        <v>1</v>
      </c>
      <c r="J26" s="24" t="s">
        <v>34</v>
      </c>
      <c r="K26" s="103">
        <v>65361</v>
      </c>
      <c r="L26" s="35">
        <f t="shared" si="4"/>
        <v>65361</v>
      </c>
      <c r="M26" s="149">
        <v>0.93284009268924306</v>
      </c>
      <c r="N26" s="152">
        <f t="shared" si="5"/>
        <v>60971.361298261618</v>
      </c>
      <c r="O26" s="149">
        <v>118.32209997439836</v>
      </c>
      <c r="P26" s="152">
        <f t="shared" si="6"/>
        <v>7733650.7764266506</v>
      </c>
    </row>
    <row r="27" spans="2:16" x14ac:dyDescent="0.2">
      <c r="B27" s="23">
        <v>22</v>
      </c>
      <c r="C27" s="23" t="s">
        <v>386</v>
      </c>
      <c r="D27" s="106">
        <v>5500024</v>
      </c>
      <c r="E27" s="24" t="s">
        <v>232</v>
      </c>
      <c r="F27" s="23" t="s">
        <v>425</v>
      </c>
      <c r="G27" s="100" t="s">
        <v>208</v>
      </c>
      <c r="H27" s="24" t="s">
        <v>818</v>
      </c>
      <c r="I27" s="23">
        <v>1</v>
      </c>
      <c r="J27" s="24" t="s">
        <v>34</v>
      </c>
      <c r="K27" s="103">
        <v>19228</v>
      </c>
      <c r="L27" s="35">
        <f t="shared" si="4"/>
        <v>19228</v>
      </c>
      <c r="M27" s="149">
        <v>0.93284009268924306</v>
      </c>
      <c r="N27" s="152">
        <f t="shared" si="5"/>
        <v>17936.649302228765</v>
      </c>
      <c r="O27" s="149">
        <v>283.49</v>
      </c>
      <c r="P27" s="152">
        <f t="shared" si="6"/>
        <v>5450945.7199999997</v>
      </c>
    </row>
    <row r="28" spans="2:16" x14ac:dyDescent="0.2">
      <c r="B28" s="23">
        <v>23</v>
      </c>
      <c r="C28" s="23" t="s">
        <v>386</v>
      </c>
      <c r="D28" s="106">
        <v>5500274</v>
      </c>
      <c r="E28" s="24" t="s">
        <v>80</v>
      </c>
      <c r="F28" s="23" t="s">
        <v>425</v>
      </c>
      <c r="G28" s="100" t="s">
        <v>208</v>
      </c>
      <c r="H28" s="24" t="s">
        <v>819</v>
      </c>
      <c r="I28" s="23">
        <v>1</v>
      </c>
      <c r="J28" s="24" t="s">
        <v>34</v>
      </c>
      <c r="K28" s="103">
        <v>8266</v>
      </c>
      <c r="L28" s="35">
        <f t="shared" si="4"/>
        <v>8266</v>
      </c>
      <c r="M28" s="149">
        <v>2.3229925443482733</v>
      </c>
      <c r="N28" s="152">
        <f t="shared" si="5"/>
        <v>19201.856371582828</v>
      </c>
      <c r="O28" s="149">
        <v>199.53106060606063</v>
      </c>
      <c r="P28" s="152">
        <f t="shared" si="6"/>
        <v>1649323.7469696973</v>
      </c>
    </row>
    <row r="29" spans="2:16" x14ac:dyDescent="0.2">
      <c r="B29" s="23">
        <v>24</v>
      </c>
      <c r="C29" s="23" t="s">
        <v>386</v>
      </c>
      <c r="D29" s="106">
        <v>5500199</v>
      </c>
      <c r="E29" s="24" t="s">
        <v>79</v>
      </c>
      <c r="F29" s="23" t="s">
        <v>425</v>
      </c>
      <c r="G29" s="100" t="s">
        <v>208</v>
      </c>
      <c r="H29" s="24" t="s">
        <v>826</v>
      </c>
      <c r="I29" s="23">
        <v>1</v>
      </c>
      <c r="J29" s="24" t="s">
        <v>34</v>
      </c>
      <c r="K29" s="103">
        <v>28865</v>
      </c>
      <c r="L29" s="35">
        <f t="shared" si="4"/>
        <v>28865</v>
      </c>
      <c r="M29" s="149">
        <v>0.81918367346938781</v>
      </c>
      <c r="N29" s="152">
        <f t="shared" si="5"/>
        <v>23645.736734693881</v>
      </c>
      <c r="O29" s="149">
        <v>338.80368872987486</v>
      </c>
      <c r="P29" s="152">
        <f t="shared" si="6"/>
        <v>9779568.4751878381</v>
      </c>
    </row>
    <row r="30" spans="2:16" x14ac:dyDescent="0.2">
      <c r="B30" s="23">
        <v>25</v>
      </c>
      <c r="C30" s="23" t="s">
        <v>386</v>
      </c>
      <c r="D30" s="106">
        <v>5000296</v>
      </c>
      <c r="E30" s="24" t="s">
        <v>228</v>
      </c>
      <c r="F30" s="23" t="s">
        <v>424</v>
      </c>
      <c r="G30" s="100" t="s">
        <v>208</v>
      </c>
      <c r="H30" s="24" t="s">
        <v>836</v>
      </c>
      <c r="I30" s="23">
        <v>1</v>
      </c>
      <c r="J30" s="24" t="s">
        <v>34</v>
      </c>
      <c r="K30" s="103">
        <v>39649</v>
      </c>
      <c r="L30" s="35">
        <f t="shared" si="4"/>
        <v>39649</v>
      </c>
      <c r="M30" s="149">
        <v>2.0959183673469388</v>
      </c>
      <c r="N30" s="152">
        <f t="shared" si="5"/>
        <v>83101.067346938784</v>
      </c>
      <c r="O30" s="149">
        <v>81.915299747474748</v>
      </c>
      <c r="P30" s="152">
        <f t="shared" si="6"/>
        <v>3247859.7196876262</v>
      </c>
    </row>
    <row r="31" spans="2:16" x14ac:dyDescent="0.2">
      <c r="B31" s="23">
        <v>26</v>
      </c>
      <c r="C31" s="23" t="s">
        <v>386</v>
      </c>
      <c r="D31" s="106">
        <v>5500930</v>
      </c>
      <c r="E31" s="24" t="s">
        <v>53</v>
      </c>
      <c r="F31" s="23" t="s">
        <v>425</v>
      </c>
      <c r="G31" s="100" t="s">
        <v>208</v>
      </c>
      <c r="H31" s="24" t="s">
        <v>845</v>
      </c>
      <c r="I31" s="23">
        <v>1</v>
      </c>
      <c r="J31" s="24" t="s">
        <v>34</v>
      </c>
      <c r="K31" s="103">
        <v>4959</v>
      </c>
      <c r="L31" s="35">
        <f t="shared" si="4"/>
        <v>4959</v>
      </c>
      <c r="M31" s="149">
        <v>3.5591836734693878</v>
      </c>
      <c r="N31" s="152">
        <f t="shared" si="5"/>
        <v>17649.991836734695</v>
      </c>
      <c r="O31" s="149">
        <v>232.47</v>
      </c>
      <c r="P31" s="152">
        <f t="shared" si="6"/>
        <v>1152818.73</v>
      </c>
    </row>
    <row r="32" spans="2:16" x14ac:dyDescent="0.2">
      <c r="B32" s="23">
        <v>27</v>
      </c>
      <c r="C32" s="23" t="s">
        <v>386</v>
      </c>
      <c r="D32" s="106">
        <v>5000443</v>
      </c>
      <c r="E32" s="24" t="s">
        <v>320</v>
      </c>
      <c r="F32" s="23" t="s">
        <v>424</v>
      </c>
      <c r="G32" s="100" t="s">
        <v>208</v>
      </c>
      <c r="H32" s="24" t="s">
        <v>861</v>
      </c>
      <c r="I32" s="23">
        <v>1</v>
      </c>
      <c r="J32" s="24" t="s">
        <v>34</v>
      </c>
      <c r="K32" s="103">
        <v>5324</v>
      </c>
      <c r="L32" s="35">
        <f t="shared" si="4"/>
        <v>5324</v>
      </c>
      <c r="M32" s="149">
        <v>0.93284009268924306</v>
      </c>
      <c r="N32" s="152">
        <f t="shared" si="5"/>
        <v>4966.4406534775298</v>
      </c>
      <c r="O32" s="149">
        <v>122.925</v>
      </c>
      <c r="P32" s="152">
        <f t="shared" si="6"/>
        <v>654452.69999999995</v>
      </c>
    </row>
    <row r="33" spans="2:16" x14ac:dyDescent="0.2">
      <c r="B33" s="23">
        <v>28</v>
      </c>
      <c r="C33" s="23" t="s">
        <v>386</v>
      </c>
      <c r="D33" s="106">
        <v>5001460</v>
      </c>
      <c r="E33" s="24" t="s">
        <v>751</v>
      </c>
      <c r="F33" s="23" t="s">
        <v>424</v>
      </c>
      <c r="G33" s="100" t="s">
        <v>208</v>
      </c>
      <c r="H33" s="24" t="s">
        <v>862</v>
      </c>
      <c r="I33" s="23">
        <v>1</v>
      </c>
      <c r="J33" s="24" t="s">
        <v>34</v>
      </c>
      <c r="K33" s="103">
        <v>13735</v>
      </c>
      <c r="L33" s="35">
        <f t="shared" si="4"/>
        <v>13735</v>
      </c>
      <c r="M33" s="149">
        <v>0.93284009268924306</v>
      </c>
      <c r="N33" s="152">
        <f t="shared" si="5"/>
        <v>12812.558673086753</v>
      </c>
      <c r="O33" s="149">
        <v>190.72</v>
      </c>
      <c r="P33" s="152">
        <f t="shared" si="6"/>
        <v>2619539.2000000002</v>
      </c>
    </row>
    <row r="34" spans="2:16" x14ac:dyDescent="0.2">
      <c r="B34" s="23">
        <v>29</v>
      </c>
      <c r="C34" s="23" t="s">
        <v>386</v>
      </c>
      <c r="D34" s="106">
        <v>5500290</v>
      </c>
      <c r="E34" s="24" t="s">
        <v>81</v>
      </c>
      <c r="F34" s="23" t="s">
        <v>425</v>
      </c>
      <c r="G34" s="100" t="s">
        <v>208</v>
      </c>
      <c r="H34" s="24" t="s">
        <v>873</v>
      </c>
      <c r="I34" s="23">
        <v>1</v>
      </c>
      <c r="J34" s="24" t="s">
        <v>34</v>
      </c>
      <c r="K34" s="103">
        <v>9805</v>
      </c>
      <c r="L34" s="35">
        <f t="shared" si="4"/>
        <v>9805</v>
      </c>
      <c r="M34" s="149">
        <v>1.2737411701333201</v>
      </c>
      <c r="N34" s="152">
        <f t="shared" si="5"/>
        <v>12489.032173157204</v>
      </c>
      <c r="O34" s="149">
        <v>114.43018302828609</v>
      </c>
      <c r="P34" s="152">
        <f t="shared" si="6"/>
        <v>1121987.9445923453</v>
      </c>
    </row>
    <row r="35" spans="2:16" x14ac:dyDescent="0.2">
      <c r="B35" s="23">
        <v>30</v>
      </c>
      <c r="C35" s="23" t="s">
        <v>386</v>
      </c>
      <c r="D35" s="106">
        <v>5006100</v>
      </c>
      <c r="E35" s="24" t="s">
        <v>752</v>
      </c>
      <c r="F35" s="23" t="s">
        <v>424</v>
      </c>
      <c r="G35" s="100" t="s">
        <v>208</v>
      </c>
      <c r="H35" s="24" t="s">
        <v>883</v>
      </c>
      <c r="I35" s="23">
        <v>1</v>
      </c>
      <c r="J35" s="24" t="s">
        <v>34</v>
      </c>
      <c r="K35" s="103">
        <v>14257</v>
      </c>
      <c r="L35" s="35">
        <f t="shared" si="4"/>
        <v>14257</v>
      </c>
      <c r="M35" s="149">
        <v>0.93284009268924306</v>
      </c>
      <c r="N35" s="152">
        <f t="shared" si="5"/>
        <v>13299.501201470539</v>
      </c>
      <c r="O35" s="149">
        <v>160.17499999999998</v>
      </c>
      <c r="P35" s="152">
        <f t="shared" si="6"/>
        <v>2283614.9749999996</v>
      </c>
    </row>
    <row r="36" spans="2:16" x14ac:dyDescent="0.2">
      <c r="B36" s="23">
        <v>31</v>
      </c>
      <c r="C36" s="23" t="s">
        <v>386</v>
      </c>
      <c r="D36" s="106">
        <v>5500274</v>
      </c>
      <c r="E36" s="24" t="s">
        <v>80</v>
      </c>
      <c r="F36" s="23" t="s">
        <v>425</v>
      </c>
      <c r="G36" s="100" t="s">
        <v>208</v>
      </c>
      <c r="H36" s="24" t="s">
        <v>886</v>
      </c>
      <c r="I36" s="23">
        <v>1</v>
      </c>
      <c r="J36" s="24" t="s">
        <v>34</v>
      </c>
      <c r="K36" s="103">
        <v>8198</v>
      </c>
      <c r="L36" s="35">
        <f t="shared" si="4"/>
        <v>8198</v>
      </c>
      <c r="M36" s="149">
        <v>2.3229925443482733</v>
      </c>
      <c r="N36" s="152">
        <f t="shared" si="5"/>
        <v>19043.892878567145</v>
      </c>
      <c r="O36" s="149">
        <v>199.53106060606063</v>
      </c>
      <c r="P36" s="152">
        <f t="shared" si="6"/>
        <v>1635755.634848485</v>
      </c>
    </row>
    <row r="37" spans="2:16" x14ac:dyDescent="0.2">
      <c r="B37" s="23">
        <v>32</v>
      </c>
      <c r="C37" s="23" t="s">
        <v>386</v>
      </c>
      <c r="D37" s="106">
        <v>5500942</v>
      </c>
      <c r="E37" s="24" t="s">
        <v>377</v>
      </c>
      <c r="F37" s="23" t="s">
        <v>425</v>
      </c>
      <c r="G37" s="100" t="s">
        <v>208</v>
      </c>
      <c r="H37" s="24" t="s">
        <v>890</v>
      </c>
      <c r="I37" s="23">
        <v>1</v>
      </c>
      <c r="J37" s="24" t="s">
        <v>34</v>
      </c>
      <c r="K37" s="103">
        <v>4312</v>
      </c>
      <c r="L37" s="35">
        <f t="shared" si="4"/>
        <v>4312</v>
      </c>
      <c r="M37" s="149">
        <v>2.3229925443482733</v>
      </c>
      <c r="N37" s="152">
        <f t="shared" si="5"/>
        <v>10016.743851229754</v>
      </c>
      <c r="O37" s="149">
        <v>136.6797965116279</v>
      </c>
      <c r="P37" s="152">
        <f t="shared" si="6"/>
        <v>589363.28255813953</v>
      </c>
    </row>
    <row r="38" spans="2:16" x14ac:dyDescent="0.2">
      <c r="B38" s="23">
        <v>33</v>
      </c>
      <c r="C38" s="23" t="s">
        <v>386</v>
      </c>
      <c r="D38" s="106">
        <v>5005085</v>
      </c>
      <c r="E38" s="24" t="s">
        <v>231</v>
      </c>
      <c r="F38" s="23" t="s">
        <v>424</v>
      </c>
      <c r="G38" s="100" t="s">
        <v>208</v>
      </c>
      <c r="H38" s="24" t="s">
        <v>891</v>
      </c>
      <c r="I38" s="23">
        <v>1</v>
      </c>
      <c r="J38" s="24" t="s">
        <v>34</v>
      </c>
      <c r="K38" s="103">
        <v>5234</v>
      </c>
      <c r="L38" s="35">
        <f t="shared" si="4"/>
        <v>5234</v>
      </c>
      <c r="M38" s="149">
        <v>0.94245700086129713</v>
      </c>
      <c r="N38" s="152">
        <f t="shared" si="5"/>
        <v>4932.8199425080293</v>
      </c>
      <c r="O38" s="149">
        <v>108.062</v>
      </c>
      <c r="P38" s="152">
        <f t="shared" si="6"/>
        <v>565596.50800000003</v>
      </c>
    </row>
    <row r="39" spans="2:16" x14ac:dyDescent="0.2">
      <c r="B39" s="23">
        <v>34</v>
      </c>
      <c r="C39" s="23" t="s">
        <v>386</v>
      </c>
      <c r="D39" s="106">
        <v>5500940</v>
      </c>
      <c r="E39" s="24" t="s">
        <v>82</v>
      </c>
      <c r="F39" s="23" t="s">
        <v>425</v>
      </c>
      <c r="G39" s="100" t="s">
        <v>208</v>
      </c>
      <c r="H39" s="24" t="s">
        <v>899</v>
      </c>
      <c r="I39" s="23">
        <v>1</v>
      </c>
      <c r="J39" s="24" t="s">
        <v>34</v>
      </c>
      <c r="K39" s="103">
        <v>2394</v>
      </c>
      <c r="L39" s="35">
        <f t="shared" si="4"/>
        <v>2394</v>
      </c>
      <c r="M39" s="149">
        <v>3.5591836734693878</v>
      </c>
      <c r="N39" s="152">
        <f t="shared" si="5"/>
        <v>8520.6857142857152</v>
      </c>
      <c r="O39" s="149">
        <v>191.58851851851853</v>
      </c>
      <c r="P39" s="152">
        <f t="shared" si="6"/>
        <v>458662.91333333333</v>
      </c>
    </row>
    <row r="40" spans="2:16" x14ac:dyDescent="0.2">
      <c r="B40" s="23">
        <v>35</v>
      </c>
      <c r="C40" s="23" t="s">
        <v>386</v>
      </c>
      <c r="D40" s="106">
        <v>5500940</v>
      </c>
      <c r="E40" s="24" t="s">
        <v>82</v>
      </c>
      <c r="F40" s="23" t="s">
        <v>425</v>
      </c>
      <c r="G40" s="100" t="s">
        <v>208</v>
      </c>
      <c r="H40" s="24" t="s">
        <v>900</v>
      </c>
      <c r="I40" s="23">
        <v>1</v>
      </c>
      <c r="J40" s="24" t="s">
        <v>34</v>
      </c>
      <c r="K40" s="103">
        <v>4971</v>
      </c>
      <c r="L40" s="35">
        <f t="shared" si="4"/>
        <v>4971</v>
      </c>
      <c r="M40" s="149">
        <v>3.5591836734693878</v>
      </c>
      <c r="N40" s="152">
        <f t="shared" si="5"/>
        <v>17692.702040816326</v>
      </c>
      <c r="O40" s="149">
        <v>191.58851851851853</v>
      </c>
      <c r="P40" s="152">
        <f t="shared" si="6"/>
        <v>952386.52555555559</v>
      </c>
    </row>
    <row r="41" spans="2:16" x14ac:dyDescent="0.2">
      <c r="B41" s="23">
        <v>36</v>
      </c>
      <c r="C41" s="23" t="s">
        <v>386</v>
      </c>
      <c r="D41" s="106">
        <v>5500940</v>
      </c>
      <c r="E41" s="24" t="s">
        <v>82</v>
      </c>
      <c r="F41" s="23" t="s">
        <v>425</v>
      </c>
      <c r="G41" s="100" t="s">
        <v>208</v>
      </c>
      <c r="H41" s="24" t="s">
        <v>901</v>
      </c>
      <c r="I41" s="23">
        <v>1</v>
      </c>
      <c r="J41" s="24" t="s">
        <v>34</v>
      </c>
      <c r="K41" s="103">
        <v>4972</v>
      </c>
      <c r="L41" s="35">
        <f t="shared" si="4"/>
        <v>4972</v>
      </c>
      <c r="M41" s="149">
        <v>3.5591836734693878</v>
      </c>
      <c r="N41" s="152">
        <f t="shared" si="5"/>
        <v>17696.261224489797</v>
      </c>
      <c r="O41" s="149">
        <v>191.58851851851853</v>
      </c>
      <c r="P41" s="152">
        <f t="shared" si="6"/>
        <v>952578.11407407408</v>
      </c>
    </row>
    <row r="42" spans="2:16" x14ac:dyDescent="0.2">
      <c r="B42" s="23">
        <v>37</v>
      </c>
      <c r="C42" s="23" t="s">
        <v>386</v>
      </c>
      <c r="D42" s="106">
        <v>5001161</v>
      </c>
      <c r="E42" s="24" t="s">
        <v>379</v>
      </c>
      <c r="F42" s="23" t="s">
        <v>424</v>
      </c>
      <c r="G42" s="100" t="s">
        <v>208</v>
      </c>
      <c r="H42" s="24" t="s">
        <v>902</v>
      </c>
      <c r="I42" s="23">
        <v>1</v>
      </c>
      <c r="J42" s="24" t="s">
        <v>34</v>
      </c>
      <c r="K42" s="103">
        <v>19088</v>
      </c>
      <c r="L42" s="35">
        <f t="shared" si="4"/>
        <v>19088</v>
      </c>
      <c r="M42" s="149">
        <v>0.81918367346938781</v>
      </c>
      <c r="N42" s="152">
        <f t="shared" si="5"/>
        <v>15636.577959183674</v>
      </c>
      <c r="O42" s="149">
        <v>189.97499999999999</v>
      </c>
      <c r="P42" s="152">
        <f t="shared" si="6"/>
        <v>3626242.8</v>
      </c>
    </row>
    <row r="43" spans="2:16" x14ac:dyDescent="0.2">
      <c r="B43" s="23">
        <v>38</v>
      </c>
      <c r="C43" s="23" t="s">
        <v>386</v>
      </c>
      <c r="D43" s="106">
        <v>5500940</v>
      </c>
      <c r="E43" s="24" t="s">
        <v>82</v>
      </c>
      <c r="F43" s="23" t="s">
        <v>425</v>
      </c>
      <c r="G43" s="100" t="s">
        <v>208</v>
      </c>
      <c r="H43" s="24" t="s">
        <v>910</v>
      </c>
      <c r="I43" s="23">
        <v>1</v>
      </c>
      <c r="J43" s="24" t="s">
        <v>34</v>
      </c>
      <c r="K43" s="103">
        <v>4963</v>
      </c>
      <c r="L43" s="35">
        <f t="shared" si="4"/>
        <v>4963</v>
      </c>
      <c r="M43" s="149">
        <v>3.5591836734693878</v>
      </c>
      <c r="N43" s="152">
        <f t="shared" si="5"/>
        <v>17664.228571428572</v>
      </c>
      <c r="O43" s="149">
        <v>191.58851851851853</v>
      </c>
      <c r="P43" s="152">
        <f t="shared" si="6"/>
        <v>950853.81740740745</v>
      </c>
    </row>
    <row r="44" spans="2:16" x14ac:dyDescent="0.2">
      <c r="B44" s="23">
        <v>39</v>
      </c>
      <c r="C44" s="23" t="s">
        <v>386</v>
      </c>
      <c r="D44" s="106">
        <v>5500940</v>
      </c>
      <c r="E44" s="24" t="s">
        <v>82</v>
      </c>
      <c r="F44" s="23" t="s">
        <v>425</v>
      </c>
      <c r="G44" s="100" t="s">
        <v>208</v>
      </c>
      <c r="H44" s="24" t="s">
        <v>911</v>
      </c>
      <c r="I44" s="23">
        <v>1</v>
      </c>
      <c r="J44" s="24" t="s">
        <v>34</v>
      </c>
      <c r="K44" s="103">
        <v>4944</v>
      </c>
      <c r="L44" s="35">
        <f t="shared" si="4"/>
        <v>4944</v>
      </c>
      <c r="M44" s="149">
        <v>3.5591836734693878</v>
      </c>
      <c r="N44" s="152">
        <f t="shared" si="5"/>
        <v>17596.604081632653</v>
      </c>
      <c r="O44" s="149">
        <v>191.58851851851853</v>
      </c>
      <c r="P44" s="152">
        <f t="shared" si="6"/>
        <v>947213.63555555558</v>
      </c>
    </row>
    <row r="45" spans="2:16" x14ac:dyDescent="0.2">
      <c r="B45" s="23">
        <v>40</v>
      </c>
      <c r="C45" s="23" t="s">
        <v>386</v>
      </c>
      <c r="D45" s="106">
        <v>5500940</v>
      </c>
      <c r="E45" s="24" t="s">
        <v>82</v>
      </c>
      <c r="F45" s="23" t="s">
        <v>425</v>
      </c>
      <c r="G45" s="100" t="s">
        <v>208</v>
      </c>
      <c r="H45" s="24" t="s">
        <v>912</v>
      </c>
      <c r="I45" s="23">
        <v>1</v>
      </c>
      <c r="J45" s="24" t="s">
        <v>34</v>
      </c>
      <c r="K45" s="103">
        <v>4958</v>
      </c>
      <c r="L45" s="35">
        <f t="shared" si="4"/>
        <v>4958</v>
      </c>
      <c r="M45" s="149">
        <v>3.5591836734693878</v>
      </c>
      <c r="N45" s="152">
        <f t="shared" si="5"/>
        <v>17646.432653061223</v>
      </c>
      <c r="O45" s="149">
        <v>191.58851851851853</v>
      </c>
      <c r="P45" s="152">
        <f t="shared" si="6"/>
        <v>949895.87481481489</v>
      </c>
    </row>
    <row r="46" spans="2:16" x14ac:dyDescent="0.2">
      <c r="B46" s="23">
        <v>41</v>
      </c>
      <c r="C46" s="23" t="s">
        <v>386</v>
      </c>
      <c r="D46" s="106">
        <v>5500480</v>
      </c>
      <c r="E46" s="24" t="s">
        <v>92</v>
      </c>
      <c r="F46" s="23" t="s">
        <v>425</v>
      </c>
      <c r="G46" s="100" t="s">
        <v>208</v>
      </c>
      <c r="H46" s="24" t="s">
        <v>915</v>
      </c>
      <c r="I46" s="23">
        <v>1</v>
      </c>
      <c r="J46" s="24" t="s">
        <v>34</v>
      </c>
      <c r="K46" s="103">
        <v>14556</v>
      </c>
      <c r="L46" s="35">
        <f t="shared" si="4"/>
        <v>14556</v>
      </c>
      <c r="M46" s="149">
        <v>1.0465306122448979</v>
      </c>
      <c r="N46" s="152">
        <f t="shared" si="5"/>
        <v>15233.299591836732</v>
      </c>
      <c r="O46" s="149">
        <v>230.03225000000003</v>
      </c>
      <c r="P46" s="152">
        <f t="shared" si="6"/>
        <v>3348349.4310000003</v>
      </c>
    </row>
    <row r="47" spans="2:16" x14ac:dyDescent="0.2">
      <c r="B47" s="23">
        <v>42</v>
      </c>
      <c r="C47" s="23" t="s">
        <v>386</v>
      </c>
      <c r="D47" s="106">
        <v>5000337</v>
      </c>
      <c r="E47" s="24" t="s">
        <v>316</v>
      </c>
      <c r="F47" s="23" t="s">
        <v>424</v>
      </c>
      <c r="G47" s="100" t="s">
        <v>208</v>
      </c>
      <c r="H47" s="24" t="s">
        <v>934</v>
      </c>
      <c r="I47" s="23">
        <v>1</v>
      </c>
      <c r="J47" s="24" t="s">
        <v>34</v>
      </c>
      <c r="K47" s="103">
        <v>65555</v>
      </c>
      <c r="L47" s="35">
        <f t="shared" si="4"/>
        <v>65555</v>
      </c>
      <c r="M47" s="149">
        <v>0.93284009268924306</v>
      </c>
      <c r="N47" s="152">
        <f t="shared" si="5"/>
        <v>61152.332276243331</v>
      </c>
      <c r="O47" s="149">
        <v>118.32209997439836</v>
      </c>
      <c r="P47" s="152">
        <f t="shared" si="6"/>
        <v>7756605.2638216838</v>
      </c>
    </row>
    <row r="48" spans="2:16" x14ac:dyDescent="0.2">
      <c r="B48" s="23">
        <v>43</v>
      </c>
      <c r="C48" s="23" t="s">
        <v>386</v>
      </c>
      <c r="D48" s="106">
        <v>5500943</v>
      </c>
      <c r="E48" s="24" t="s">
        <v>738</v>
      </c>
      <c r="F48" s="23" t="s">
        <v>425</v>
      </c>
      <c r="G48" s="100" t="s">
        <v>208</v>
      </c>
      <c r="H48" s="24" t="s">
        <v>942</v>
      </c>
      <c r="I48" s="23">
        <v>1</v>
      </c>
      <c r="J48" s="24" t="s">
        <v>34</v>
      </c>
      <c r="K48" s="103">
        <v>3311</v>
      </c>
      <c r="L48" s="35">
        <f t="shared" si="4"/>
        <v>3311</v>
      </c>
      <c r="M48" s="149">
        <v>4.6942141174310805</v>
      </c>
      <c r="N48" s="152">
        <f t="shared" si="5"/>
        <v>15542.542942814307</v>
      </c>
      <c r="O48" s="149">
        <v>284.95</v>
      </c>
      <c r="P48" s="152">
        <f t="shared" si="6"/>
        <v>943469.45</v>
      </c>
    </row>
    <row r="49" spans="2:16" x14ac:dyDescent="0.2">
      <c r="B49" s="69"/>
      <c r="C49" s="69"/>
      <c r="D49" s="108"/>
      <c r="E49" s="26"/>
      <c r="F49" s="69"/>
      <c r="G49" s="102"/>
      <c r="H49" s="26"/>
      <c r="I49" s="69"/>
      <c r="J49" s="26"/>
      <c r="K49" s="104">
        <f>SUM(K16:K48)</f>
        <v>705273</v>
      </c>
      <c r="L49" s="71">
        <f>SUM(L16:L48)</f>
        <v>705273</v>
      </c>
      <c r="M49" s="150"/>
      <c r="N49" s="153">
        <f t="shared" ref="N49:P49" si="7">SUM(N16:N48)</f>
        <v>920043.01554871106</v>
      </c>
      <c r="O49" s="150"/>
      <c r="P49" s="153">
        <f t="shared" si="7"/>
        <v>113398501.16652878</v>
      </c>
    </row>
    <row r="50" spans="2:16" x14ac:dyDescent="0.2">
      <c r="B50" s="23">
        <v>44</v>
      </c>
      <c r="C50" s="23" t="s">
        <v>386</v>
      </c>
      <c r="D50" s="106">
        <v>5002064</v>
      </c>
      <c r="E50" s="24" t="s">
        <v>230</v>
      </c>
      <c r="F50" s="23" t="s">
        <v>424</v>
      </c>
      <c r="G50" s="34" t="s">
        <v>155</v>
      </c>
      <c r="H50" s="24" t="s">
        <v>766</v>
      </c>
      <c r="I50" s="23">
        <v>1</v>
      </c>
      <c r="J50" s="24" t="s">
        <v>7</v>
      </c>
      <c r="K50" s="103">
        <v>6828</v>
      </c>
      <c r="L50" s="35">
        <f t="shared" ref="L50:L67" si="8">K50*I50</f>
        <v>6828</v>
      </c>
      <c r="M50" s="149">
        <v>1.1814285714285715</v>
      </c>
      <c r="N50" s="152">
        <f t="shared" ref="N50:N67" si="9">+K50*M50</f>
        <v>8066.7942857142862</v>
      </c>
      <c r="O50" s="149">
        <v>115.33344999999997</v>
      </c>
      <c r="P50" s="152">
        <f t="shared" ref="P50:P67" si="10">+K50*O50</f>
        <v>787496.79659999977</v>
      </c>
    </row>
    <row r="51" spans="2:16" x14ac:dyDescent="0.2">
      <c r="B51" s="23">
        <v>45</v>
      </c>
      <c r="C51" s="23" t="s">
        <v>386</v>
      </c>
      <c r="D51" s="106">
        <v>5002063</v>
      </c>
      <c r="E51" s="24" t="s">
        <v>229</v>
      </c>
      <c r="F51" s="23" t="s">
        <v>424</v>
      </c>
      <c r="G51" s="34" t="s">
        <v>155</v>
      </c>
      <c r="H51" s="24" t="s">
        <v>781</v>
      </c>
      <c r="I51" s="23">
        <v>1</v>
      </c>
      <c r="J51" s="24" t="s">
        <v>7</v>
      </c>
      <c r="K51" s="103">
        <v>6815</v>
      </c>
      <c r="L51" s="35">
        <f t="shared" si="8"/>
        <v>6815</v>
      </c>
      <c r="M51" s="149">
        <v>1.1814285714285715</v>
      </c>
      <c r="N51" s="152">
        <f t="shared" si="9"/>
        <v>8051.4357142857143</v>
      </c>
      <c r="O51" s="149">
        <v>76.608349999999987</v>
      </c>
      <c r="P51" s="152">
        <f t="shared" si="10"/>
        <v>522085.90524999989</v>
      </c>
    </row>
    <row r="52" spans="2:16" x14ac:dyDescent="0.2">
      <c r="B52" s="23">
        <v>46</v>
      </c>
      <c r="C52" s="23" t="s">
        <v>386</v>
      </c>
      <c r="D52" s="106">
        <v>5002063</v>
      </c>
      <c r="E52" s="24" t="s">
        <v>229</v>
      </c>
      <c r="F52" s="23" t="s">
        <v>424</v>
      </c>
      <c r="G52" s="34" t="s">
        <v>155</v>
      </c>
      <c r="H52" s="24" t="s">
        <v>791</v>
      </c>
      <c r="I52" s="23">
        <v>1</v>
      </c>
      <c r="J52" s="24" t="s">
        <v>7</v>
      </c>
      <c r="K52" s="103">
        <v>6861</v>
      </c>
      <c r="L52" s="35">
        <f t="shared" si="8"/>
        <v>6861</v>
      </c>
      <c r="M52" s="149">
        <v>1.1814285714285715</v>
      </c>
      <c r="N52" s="152">
        <f t="shared" si="9"/>
        <v>8105.7814285714294</v>
      </c>
      <c r="O52" s="149">
        <v>76.608349999999987</v>
      </c>
      <c r="P52" s="152">
        <f t="shared" si="10"/>
        <v>525609.88934999995</v>
      </c>
    </row>
    <row r="53" spans="2:16" x14ac:dyDescent="0.2">
      <c r="B53" s="23">
        <v>47</v>
      </c>
      <c r="C53" s="23" t="s">
        <v>386</v>
      </c>
      <c r="D53" s="106">
        <v>5002063</v>
      </c>
      <c r="E53" s="24" t="s">
        <v>229</v>
      </c>
      <c r="F53" s="23" t="s">
        <v>424</v>
      </c>
      <c r="G53" s="34" t="s">
        <v>155</v>
      </c>
      <c r="H53" s="24" t="s">
        <v>799</v>
      </c>
      <c r="I53" s="23">
        <v>1</v>
      </c>
      <c r="J53" s="24" t="s">
        <v>7</v>
      </c>
      <c r="K53" s="103">
        <v>6848</v>
      </c>
      <c r="L53" s="35">
        <f t="shared" si="8"/>
        <v>6848</v>
      </c>
      <c r="M53" s="149">
        <v>1.1814285714285715</v>
      </c>
      <c r="N53" s="152">
        <f t="shared" si="9"/>
        <v>8090.4228571428575</v>
      </c>
      <c r="O53" s="149">
        <v>76.608349999999987</v>
      </c>
      <c r="P53" s="152">
        <f t="shared" si="10"/>
        <v>524613.9807999999</v>
      </c>
    </row>
    <row r="54" spans="2:16" x14ac:dyDescent="0.2">
      <c r="B54" s="23">
        <v>48</v>
      </c>
      <c r="C54" s="23" t="s">
        <v>386</v>
      </c>
      <c r="D54" s="106">
        <v>5002063</v>
      </c>
      <c r="E54" s="24" t="s">
        <v>229</v>
      </c>
      <c r="F54" s="23" t="s">
        <v>424</v>
      </c>
      <c r="G54" s="34" t="s">
        <v>155</v>
      </c>
      <c r="H54" s="24" t="s">
        <v>803</v>
      </c>
      <c r="I54" s="23">
        <v>1</v>
      </c>
      <c r="J54" s="24" t="s">
        <v>7</v>
      </c>
      <c r="K54" s="103">
        <v>6847</v>
      </c>
      <c r="L54" s="35">
        <f t="shared" si="8"/>
        <v>6847</v>
      </c>
      <c r="M54" s="149">
        <v>1.1814285714285715</v>
      </c>
      <c r="N54" s="152">
        <f t="shared" si="9"/>
        <v>8089.2414285714294</v>
      </c>
      <c r="O54" s="149">
        <v>76.608349999999987</v>
      </c>
      <c r="P54" s="152">
        <f t="shared" si="10"/>
        <v>524537.37244999991</v>
      </c>
    </row>
    <row r="55" spans="2:16" x14ac:dyDescent="0.2">
      <c r="B55" s="23">
        <v>49</v>
      </c>
      <c r="C55" s="23" t="s">
        <v>386</v>
      </c>
      <c r="D55" s="106">
        <v>5002063</v>
      </c>
      <c r="E55" s="24" t="s">
        <v>229</v>
      </c>
      <c r="F55" s="23" t="s">
        <v>424</v>
      </c>
      <c r="G55" s="34" t="s">
        <v>155</v>
      </c>
      <c r="H55" s="24" t="s">
        <v>804</v>
      </c>
      <c r="I55" s="23">
        <v>1</v>
      </c>
      <c r="J55" s="24" t="s">
        <v>7</v>
      </c>
      <c r="K55" s="103">
        <v>6846</v>
      </c>
      <c r="L55" s="35">
        <f t="shared" si="8"/>
        <v>6846</v>
      </c>
      <c r="M55" s="149">
        <v>1.1814285714285715</v>
      </c>
      <c r="N55" s="152">
        <f t="shared" si="9"/>
        <v>8088.06</v>
      </c>
      <c r="O55" s="149">
        <v>76.608349999999987</v>
      </c>
      <c r="P55" s="152">
        <f t="shared" si="10"/>
        <v>524460.76409999991</v>
      </c>
    </row>
    <row r="56" spans="2:16" x14ac:dyDescent="0.2">
      <c r="B56" s="23">
        <v>50</v>
      </c>
      <c r="C56" s="23" t="s">
        <v>386</v>
      </c>
      <c r="D56" s="106">
        <v>5002063</v>
      </c>
      <c r="E56" s="24" t="s">
        <v>229</v>
      </c>
      <c r="F56" s="23" t="s">
        <v>424</v>
      </c>
      <c r="G56" s="34" t="s">
        <v>155</v>
      </c>
      <c r="H56" s="24" t="s">
        <v>811</v>
      </c>
      <c r="I56" s="23">
        <v>1</v>
      </c>
      <c r="J56" s="24" t="s">
        <v>7</v>
      </c>
      <c r="K56" s="103">
        <v>6851</v>
      </c>
      <c r="L56" s="35">
        <f t="shared" si="8"/>
        <v>6851</v>
      </c>
      <c r="M56" s="149">
        <v>1.1814285714285715</v>
      </c>
      <c r="N56" s="152">
        <f t="shared" si="9"/>
        <v>8093.9671428571437</v>
      </c>
      <c r="O56" s="149">
        <v>76.608349999999987</v>
      </c>
      <c r="P56" s="152">
        <f t="shared" si="10"/>
        <v>524843.80584999989</v>
      </c>
    </row>
    <row r="57" spans="2:16" x14ac:dyDescent="0.2">
      <c r="B57" s="23">
        <v>51</v>
      </c>
      <c r="C57" s="23" t="s">
        <v>386</v>
      </c>
      <c r="D57" s="106">
        <v>5002063</v>
      </c>
      <c r="E57" s="24" t="s">
        <v>229</v>
      </c>
      <c r="F57" s="23" t="s">
        <v>424</v>
      </c>
      <c r="G57" s="34" t="s">
        <v>155</v>
      </c>
      <c r="H57" s="24" t="s">
        <v>816</v>
      </c>
      <c r="I57" s="23">
        <v>1</v>
      </c>
      <c r="J57" s="24" t="s">
        <v>7</v>
      </c>
      <c r="K57" s="103">
        <v>6837</v>
      </c>
      <c r="L57" s="35">
        <f t="shared" si="8"/>
        <v>6837</v>
      </c>
      <c r="M57" s="149">
        <v>1.1814285714285715</v>
      </c>
      <c r="N57" s="152">
        <f t="shared" si="9"/>
        <v>8077.4271428571437</v>
      </c>
      <c r="O57" s="149">
        <v>76.608349999999987</v>
      </c>
      <c r="P57" s="152">
        <f t="shared" si="10"/>
        <v>523771.2889499999</v>
      </c>
    </row>
    <row r="58" spans="2:16" x14ac:dyDescent="0.2">
      <c r="B58" s="23">
        <v>52</v>
      </c>
      <c r="C58" s="23" t="s">
        <v>386</v>
      </c>
      <c r="D58" s="106">
        <v>5002063</v>
      </c>
      <c r="E58" s="24" t="s">
        <v>229</v>
      </c>
      <c r="F58" s="23" t="s">
        <v>424</v>
      </c>
      <c r="G58" s="34" t="s">
        <v>155</v>
      </c>
      <c r="H58" s="24" t="s">
        <v>825</v>
      </c>
      <c r="I58" s="23">
        <v>1</v>
      </c>
      <c r="J58" s="24" t="s">
        <v>7</v>
      </c>
      <c r="K58" s="103">
        <v>6819</v>
      </c>
      <c r="L58" s="35">
        <f t="shared" si="8"/>
        <v>6819</v>
      </c>
      <c r="M58" s="149">
        <v>1.1814285714285715</v>
      </c>
      <c r="N58" s="152">
        <f t="shared" si="9"/>
        <v>8056.1614285714286</v>
      </c>
      <c r="O58" s="149">
        <v>76.608349999999987</v>
      </c>
      <c r="P58" s="152">
        <f t="shared" si="10"/>
        <v>522392.33864999993</v>
      </c>
    </row>
    <row r="59" spans="2:16" x14ac:dyDescent="0.2">
      <c r="B59" s="23">
        <v>53</v>
      </c>
      <c r="C59" s="23" t="s">
        <v>386</v>
      </c>
      <c r="D59" s="106">
        <v>5002063</v>
      </c>
      <c r="E59" s="24" t="s">
        <v>229</v>
      </c>
      <c r="F59" s="23" t="s">
        <v>424</v>
      </c>
      <c r="G59" s="34" t="s">
        <v>155</v>
      </c>
      <c r="H59" s="24" t="s">
        <v>830</v>
      </c>
      <c r="I59" s="23">
        <v>1</v>
      </c>
      <c r="J59" s="24" t="s">
        <v>7</v>
      </c>
      <c r="K59" s="103">
        <v>6837</v>
      </c>
      <c r="L59" s="35">
        <f t="shared" si="8"/>
        <v>6837</v>
      </c>
      <c r="M59" s="149">
        <v>1.1814285714285715</v>
      </c>
      <c r="N59" s="152">
        <f t="shared" si="9"/>
        <v>8077.4271428571437</v>
      </c>
      <c r="O59" s="149">
        <v>76.608349999999987</v>
      </c>
      <c r="P59" s="152">
        <f t="shared" si="10"/>
        <v>523771.2889499999</v>
      </c>
    </row>
    <row r="60" spans="2:16" x14ac:dyDescent="0.2">
      <c r="B60" s="23">
        <v>54</v>
      </c>
      <c r="C60" s="23" t="s">
        <v>386</v>
      </c>
      <c r="D60" s="106">
        <v>5002063</v>
      </c>
      <c r="E60" s="24" t="s">
        <v>229</v>
      </c>
      <c r="F60" s="23" t="s">
        <v>424</v>
      </c>
      <c r="G60" s="34" t="s">
        <v>155</v>
      </c>
      <c r="H60" s="24" t="s">
        <v>837</v>
      </c>
      <c r="I60" s="23">
        <v>1</v>
      </c>
      <c r="J60" s="24" t="s">
        <v>7</v>
      </c>
      <c r="K60" s="103">
        <v>6840</v>
      </c>
      <c r="L60" s="35">
        <f t="shared" si="8"/>
        <v>6840</v>
      </c>
      <c r="M60" s="149">
        <v>1.1814285714285715</v>
      </c>
      <c r="N60" s="152">
        <f t="shared" si="9"/>
        <v>8080.971428571429</v>
      </c>
      <c r="O60" s="149">
        <v>76.608349999999987</v>
      </c>
      <c r="P60" s="152">
        <f t="shared" si="10"/>
        <v>524001.11399999988</v>
      </c>
    </row>
    <row r="61" spans="2:16" x14ac:dyDescent="0.2">
      <c r="B61" s="23">
        <v>55</v>
      </c>
      <c r="C61" s="23" t="s">
        <v>386</v>
      </c>
      <c r="D61" s="106">
        <v>5002063</v>
      </c>
      <c r="E61" s="24" t="s">
        <v>229</v>
      </c>
      <c r="F61" s="23" t="s">
        <v>424</v>
      </c>
      <c r="G61" s="34" t="s">
        <v>155</v>
      </c>
      <c r="H61" s="24" t="s">
        <v>851</v>
      </c>
      <c r="I61" s="23">
        <v>1</v>
      </c>
      <c r="J61" s="24" t="s">
        <v>7</v>
      </c>
      <c r="K61" s="103">
        <v>6852</v>
      </c>
      <c r="L61" s="35">
        <f t="shared" si="8"/>
        <v>6852</v>
      </c>
      <c r="M61" s="149">
        <v>1.1814285714285715</v>
      </c>
      <c r="N61" s="152">
        <f t="shared" si="9"/>
        <v>8095.1485714285718</v>
      </c>
      <c r="O61" s="149">
        <v>76.608349999999987</v>
      </c>
      <c r="P61" s="152">
        <f t="shared" si="10"/>
        <v>524920.41419999988</v>
      </c>
    </row>
    <row r="62" spans="2:16" x14ac:dyDescent="0.2">
      <c r="B62" s="23">
        <v>56</v>
      </c>
      <c r="C62" s="23" t="s">
        <v>386</v>
      </c>
      <c r="D62" s="106">
        <v>5002064</v>
      </c>
      <c r="E62" s="24" t="s">
        <v>230</v>
      </c>
      <c r="F62" s="23" t="s">
        <v>424</v>
      </c>
      <c r="G62" s="34" t="s">
        <v>155</v>
      </c>
      <c r="H62" s="24" t="s">
        <v>870</v>
      </c>
      <c r="I62" s="23">
        <v>1</v>
      </c>
      <c r="J62" s="24" t="s">
        <v>7</v>
      </c>
      <c r="K62" s="103">
        <v>6852</v>
      </c>
      <c r="L62" s="35">
        <f t="shared" si="8"/>
        <v>6852</v>
      </c>
      <c r="M62" s="149">
        <v>1.1814285714285715</v>
      </c>
      <c r="N62" s="152">
        <f t="shared" si="9"/>
        <v>8095.1485714285718</v>
      </c>
      <c r="O62" s="149">
        <v>115.33344999999997</v>
      </c>
      <c r="P62" s="152">
        <f t="shared" si="10"/>
        <v>790264.79939999979</v>
      </c>
    </row>
    <row r="63" spans="2:16" x14ac:dyDescent="0.2">
      <c r="B63" s="23">
        <v>57</v>
      </c>
      <c r="C63" s="23" t="s">
        <v>386</v>
      </c>
      <c r="D63" s="106">
        <v>5002064</v>
      </c>
      <c r="E63" s="24" t="s">
        <v>230</v>
      </c>
      <c r="F63" s="23" t="s">
        <v>424</v>
      </c>
      <c r="G63" s="34" t="s">
        <v>155</v>
      </c>
      <c r="H63" s="24" t="s">
        <v>882</v>
      </c>
      <c r="I63" s="23">
        <v>1</v>
      </c>
      <c r="J63" s="24" t="s">
        <v>7</v>
      </c>
      <c r="K63" s="103">
        <v>6856</v>
      </c>
      <c r="L63" s="35">
        <f t="shared" si="8"/>
        <v>6856</v>
      </c>
      <c r="M63" s="149">
        <v>1.1814285714285715</v>
      </c>
      <c r="N63" s="152">
        <f t="shared" si="9"/>
        <v>8099.8742857142861</v>
      </c>
      <c r="O63" s="149">
        <v>115.33344999999997</v>
      </c>
      <c r="P63" s="152">
        <f t="shared" si="10"/>
        <v>790726.13319999981</v>
      </c>
    </row>
    <row r="64" spans="2:16" x14ac:dyDescent="0.2">
      <c r="B64" s="23">
        <v>58</v>
      </c>
      <c r="C64" s="23" t="s">
        <v>386</v>
      </c>
      <c r="D64" s="106">
        <v>5002064</v>
      </c>
      <c r="E64" s="24" t="s">
        <v>230</v>
      </c>
      <c r="F64" s="23" t="s">
        <v>424</v>
      </c>
      <c r="G64" s="34" t="s">
        <v>155</v>
      </c>
      <c r="H64" s="24" t="s">
        <v>903</v>
      </c>
      <c r="I64" s="23">
        <v>1</v>
      </c>
      <c r="J64" s="24" t="s">
        <v>7</v>
      </c>
      <c r="K64" s="103">
        <v>6828</v>
      </c>
      <c r="L64" s="35">
        <f t="shared" si="8"/>
        <v>6828</v>
      </c>
      <c r="M64" s="149">
        <v>1.1814285714285715</v>
      </c>
      <c r="N64" s="152">
        <f t="shared" si="9"/>
        <v>8066.7942857142862</v>
      </c>
      <c r="O64" s="149">
        <v>115.33344999999997</v>
      </c>
      <c r="P64" s="152">
        <f t="shared" si="10"/>
        <v>787496.79659999977</v>
      </c>
    </row>
    <row r="65" spans="2:16" x14ac:dyDescent="0.2">
      <c r="B65" s="23">
        <v>59</v>
      </c>
      <c r="C65" s="23" t="s">
        <v>386</v>
      </c>
      <c r="D65" s="106">
        <v>5002064</v>
      </c>
      <c r="E65" s="24" t="s">
        <v>230</v>
      </c>
      <c r="F65" s="23" t="s">
        <v>424</v>
      </c>
      <c r="G65" s="34" t="s">
        <v>155</v>
      </c>
      <c r="H65" s="24" t="s">
        <v>914</v>
      </c>
      <c r="I65" s="23">
        <v>1</v>
      </c>
      <c r="J65" s="24" t="s">
        <v>7</v>
      </c>
      <c r="K65" s="103">
        <v>6828</v>
      </c>
      <c r="L65" s="35">
        <f t="shared" si="8"/>
        <v>6828</v>
      </c>
      <c r="M65" s="149">
        <v>1.1814285714285715</v>
      </c>
      <c r="N65" s="152">
        <f t="shared" si="9"/>
        <v>8066.7942857142862</v>
      </c>
      <c r="O65" s="149">
        <v>115.33344999999997</v>
      </c>
      <c r="P65" s="152">
        <f t="shared" si="10"/>
        <v>787496.79659999977</v>
      </c>
    </row>
    <row r="66" spans="2:16" x14ac:dyDescent="0.2">
      <c r="B66" s="23">
        <v>60</v>
      </c>
      <c r="C66" s="23" t="s">
        <v>386</v>
      </c>
      <c r="D66" s="106">
        <v>5002064</v>
      </c>
      <c r="E66" s="24" t="s">
        <v>230</v>
      </c>
      <c r="F66" s="23" t="s">
        <v>424</v>
      </c>
      <c r="G66" s="34" t="s">
        <v>155</v>
      </c>
      <c r="H66" s="24" t="s">
        <v>929</v>
      </c>
      <c r="I66" s="23">
        <v>1</v>
      </c>
      <c r="J66" s="24" t="s">
        <v>7</v>
      </c>
      <c r="K66" s="103">
        <v>6852</v>
      </c>
      <c r="L66" s="35">
        <f t="shared" si="8"/>
        <v>6852</v>
      </c>
      <c r="M66" s="149">
        <v>1.1814285714285715</v>
      </c>
      <c r="N66" s="152">
        <f t="shared" si="9"/>
        <v>8095.1485714285718</v>
      </c>
      <c r="O66" s="149">
        <v>115.33344999999997</v>
      </c>
      <c r="P66" s="152">
        <f t="shared" si="10"/>
        <v>790264.79939999979</v>
      </c>
    </row>
    <row r="67" spans="2:16" x14ac:dyDescent="0.2">
      <c r="B67" s="23">
        <v>61</v>
      </c>
      <c r="C67" s="23" t="s">
        <v>386</v>
      </c>
      <c r="D67" s="106">
        <v>5002064</v>
      </c>
      <c r="E67" s="24" t="s">
        <v>230</v>
      </c>
      <c r="F67" s="23" t="s">
        <v>424</v>
      </c>
      <c r="G67" s="34" t="s">
        <v>155</v>
      </c>
      <c r="H67" s="24" t="s">
        <v>944</v>
      </c>
      <c r="I67" s="23">
        <v>1</v>
      </c>
      <c r="J67" s="24" t="s">
        <v>7</v>
      </c>
      <c r="K67" s="103">
        <v>6852</v>
      </c>
      <c r="L67" s="35">
        <f t="shared" si="8"/>
        <v>6852</v>
      </c>
      <c r="M67" s="149">
        <v>1.1814285714285715</v>
      </c>
      <c r="N67" s="152">
        <f t="shared" si="9"/>
        <v>8095.1485714285718</v>
      </c>
      <c r="O67" s="149">
        <v>115.33344999999997</v>
      </c>
      <c r="P67" s="152">
        <f t="shared" si="10"/>
        <v>790264.79939999979</v>
      </c>
    </row>
    <row r="68" spans="2:16" x14ac:dyDescent="0.2">
      <c r="B68" s="69"/>
      <c r="C68" s="69"/>
      <c r="D68" s="108"/>
      <c r="E68" s="26"/>
      <c r="F68" s="69"/>
      <c r="G68" s="70"/>
      <c r="H68" s="26"/>
      <c r="I68" s="69"/>
      <c r="J68" s="26"/>
      <c r="K68" s="104">
        <f>SUM(K50:K67)</f>
        <v>123149</v>
      </c>
      <c r="L68" s="71">
        <f>SUM(L50:L67)</f>
        <v>123149</v>
      </c>
      <c r="M68" s="150"/>
      <c r="N68" s="153">
        <f t="shared" ref="N68:P68" si="11">SUM(N50:N67)</f>
        <v>145491.74714285717</v>
      </c>
      <c r="O68" s="150"/>
      <c r="P68" s="153">
        <f t="shared" si="11"/>
        <v>11289019.083749996</v>
      </c>
    </row>
    <row r="69" spans="2:16" x14ac:dyDescent="0.2">
      <c r="B69" s="23">
        <v>62</v>
      </c>
      <c r="C69" s="23" t="s">
        <v>386</v>
      </c>
      <c r="D69" s="106">
        <v>5003541</v>
      </c>
      <c r="E69" s="24" t="s">
        <v>747</v>
      </c>
      <c r="F69" s="23" t="s">
        <v>424</v>
      </c>
      <c r="G69" s="101" t="s">
        <v>163</v>
      </c>
      <c r="H69" s="24" t="s">
        <v>839</v>
      </c>
      <c r="I69" s="23">
        <v>1</v>
      </c>
      <c r="J69" s="24" t="s">
        <v>39</v>
      </c>
      <c r="K69" s="103">
        <v>48120</v>
      </c>
      <c r="L69" s="35">
        <f t="shared" ref="L69:L100" si="12">K69*I69</f>
        <v>48120</v>
      </c>
      <c r="M69" s="149">
        <v>2.36</v>
      </c>
      <c r="N69" s="152">
        <f t="shared" ref="N69:N100" si="13">+K69*M69</f>
        <v>113563.2</v>
      </c>
      <c r="O69" s="149">
        <v>108.02499999999999</v>
      </c>
      <c r="P69" s="152">
        <f t="shared" ref="P69:P100" si="14">+K69*O69</f>
        <v>5198163</v>
      </c>
    </row>
    <row r="70" spans="2:16" x14ac:dyDescent="0.2">
      <c r="B70" s="23">
        <v>63</v>
      </c>
      <c r="C70" s="23" t="s">
        <v>386</v>
      </c>
      <c r="D70" s="106">
        <v>5501190</v>
      </c>
      <c r="E70" s="24" t="s">
        <v>248</v>
      </c>
      <c r="F70" s="23" t="s">
        <v>425</v>
      </c>
      <c r="G70" s="101" t="s">
        <v>163</v>
      </c>
      <c r="H70" s="24" t="s">
        <v>846</v>
      </c>
      <c r="I70" s="23">
        <v>1</v>
      </c>
      <c r="J70" s="24" t="s">
        <v>39</v>
      </c>
      <c r="K70" s="103">
        <v>19108</v>
      </c>
      <c r="L70" s="35">
        <f t="shared" si="12"/>
        <v>19108</v>
      </c>
      <c r="M70" s="149">
        <v>1.92</v>
      </c>
      <c r="N70" s="152">
        <f t="shared" si="13"/>
        <v>36687.360000000001</v>
      </c>
      <c r="O70" s="149">
        <v>124.07003061099505</v>
      </c>
      <c r="P70" s="152">
        <f t="shared" si="14"/>
        <v>2370730.1449148934</v>
      </c>
    </row>
    <row r="71" spans="2:16" x14ac:dyDescent="0.2">
      <c r="B71" s="23">
        <v>64</v>
      </c>
      <c r="C71" s="23" t="s">
        <v>386</v>
      </c>
      <c r="D71" s="106">
        <v>5500071</v>
      </c>
      <c r="E71" s="24" t="s">
        <v>380</v>
      </c>
      <c r="F71" s="23" t="s">
        <v>425</v>
      </c>
      <c r="G71" s="101" t="s">
        <v>163</v>
      </c>
      <c r="H71" s="24" t="s">
        <v>847</v>
      </c>
      <c r="I71" s="23">
        <v>1</v>
      </c>
      <c r="J71" s="24" t="s">
        <v>39</v>
      </c>
      <c r="K71" s="103">
        <v>57345</v>
      </c>
      <c r="L71" s="35">
        <f t="shared" si="12"/>
        <v>57345</v>
      </c>
      <c r="M71" s="149">
        <v>1.92</v>
      </c>
      <c r="N71" s="152">
        <f t="shared" si="13"/>
        <v>110102.39999999999</v>
      </c>
      <c r="O71" s="149">
        <v>108.64000000000004</v>
      </c>
      <c r="P71" s="152">
        <f t="shared" si="14"/>
        <v>6229960.8000000026</v>
      </c>
    </row>
    <row r="72" spans="2:16" x14ac:dyDescent="0.2">
      <c r="B72" s="23">
        <v>65</v>
      </c>
      <c r="C72" s="23" t="s">
        <v>386</v>
      </c>
      <c r="D72" s="106">
        <v>5501370</v>
      </c>
      <c r="E72" s="24" t="s">
        <v>749</v>
      </c>
      <c r="F72" s="23" t="s">
        <v>425</v>
      </c>
      <c r="G72" s="101" t="s">
        <v>163</v>
      </c>
      <c r="H72" s="24" t="s">
        <v>850</v>
      </c>
      <c r="I72" s="23">
        <v>1</v>
      </c>
      <c r="J72" s="24" t="s">
        <v>39</v>
      </c>
      <c r="K72" s="103">
        <v>18310</v>
      </c>
      <c r="L72" s="35">
        <f t="shared" si="12"/>
        <v>18310</v>
      </c>
      <c r="M72" s="149">
        <v>1.9159999999999999</v>
      </c>
      <c r="N72" s="152">
        <f t="shared" si="13"/>
        <v>35081.96</v>
      </c>
      <c r="O72" s="149">
        <v>197.35969753373621</v>
      </c>
      <c r="P72" s="152">
        <f t="shared" si="14"/>
        <v>3613656.0618427098</v>
      </c>
    </row>
    <row r="73" spans="2:16" x14ac:dyDescent="0.2">
      <c r="B73" s="23">
        <v>66</v>
      </c>
      <c r="C73" s="23" t="s">
        <v>386</v>
      </c>
      <c r="D73" s="106">
        <v>5500603</v>
      </c>
      <c r="E73" s="24" t="s">
        <v>382</v>
      </c>
      <c r="F73" s="23" t="s">
        <v>425</v>
      </c>
      <c r="G73" s="101" t="s">
        <v>163</v>
      </c>
      <c r="H73" s="24" t="s">
        <v>866</v>
      </c>
      <c r="I73" s="23">
        <v>1</v>
      </c>
      <c r="J73" s="24" t="s">
        <v>39</v>
      </c>
      <c r="K73" s="103">
        <v>37920</v>
      </c>
      <c r="L73" s="35">
        <f t="shared" si="12"/>
        <v>37920</v>
      </c>
      <c r="M73" s="149">
        <v>1.92</v>
      </c>
      <c r="N73" s="152">
        <f t="shared" si="13"/>
        <v>72806.399999999994</v>
      </c>
      <c r="O73" s="149">
        <v>125.68001551590376</v>
      </c>
      <c r="P73" s="152">
        <f t="shared" si="14"/>
        <v>4765786.1883630706</v>
      </c>
    </row>
    <row r="74" spans="2:16" x14ac:dyDescent="0.2">
      <c r="B74" s="23">
        <v>67</v>
      </c>
      <c r="C74" s="23" t="s">
        <v>386</v>
      </c>
      <c r="D74" s="106">
        <v>5500179</v>
      </c>
      <c r="E74" s="24" t="s">
        <v>234</v>
      </c>
      <c r="F74" s="23" t="s">
        <v>425</v>
      </c>
      <c r="G74" s="101" t="s">
        <v>163</v>
      </c>
      <c r="H74" s="24" t="s">
        <v>872</v>
      </c>
      <c r="I74" s="23">
        <v>1</v>
      </c>
      <c r="J74" s="24" t="s">
        <v>39</v>
      </c>
      <c r="K74" s="103">
        <v>34306</v>
      </c>
      <c r="L74" s="35">
        <f t="shared" si="12"/>
        <v>34306</v>
      </c>
      <c r="M74" s="149">
        <v>1.9159999999999999</v>
      </c>
      <c r="N74" s="152">
        <f t="shared" si="13"/>
        <v>65730.296000000002</v>
      </c>
      <c r="O74" s="149">
        <v>123.11000765892285</v>
      </c>
      <c r="P74" s="152">
        <f t="shared" si="14"/>
        <v>4223411.9227470076</v>
      </c>
    </row>
    <row r="75" spans="2:16" x14ac:dyDescent="0.2">
      <c r="B75" s="23">
        <v>68</v>
      </c>
      <c r="C75" s="23" t="s">
        <v>386</v>
      </c>
      <c r="D75" s="106">
        <v>5500484</v>
      </c>
      <c r="E75" s="24" t="s">
        <v>237</v>
      </c>
      <c r="F75" s="23" t="s">
        <v>425</v>
      </c>
      <c r="G75" s="101" t="s">
        <v>163</v>
      </c>
      <c r="H75" s="24" t="s">
        <v>874</v>
      </c>
      <c r="I75" s="23">
        <v>1</v>
      </c>
      <c r="J75" s="24" t="s">
        <v>39</v>
      </c>
      <c r="K75" s="103">
        <v>14932</v>
      </c>
      <c r="L75" s="35">
        <f t="shared" si="12"/>
        <v>14932</v>
      </c>
      <c r="M75" s="149">
        <v>1.9159999999999999</v>
      </c>
      <c r="N75" s="152">
        <f t="shared" si="13"/>
        <v>28609.712</v>
      </c>
      <c r="O75" s="149">
        <v>314.35992923377302</v>
      </c>
      <c r="P75" s="152">
        <f t="shared" si="14"/>
        <v>4694022.463318699</v>
      </c>
    </row>
    <row r="76" spans="2:16" x14ac:dyDescent="0.2">
      <c r="B76" s="23">
        <v>69</v>
      </c>
      <c r="C76" s="23" t="s">
        <v>386</v>
      </c>
      <c r="D76" s="106">
        <v>5501350</v>
      </c>
      <c r="E76" s="24" t="s">
        <v>250</v>
      </c>
      <c r="F76" s="23" t="s">
        <v>425</v>
      </c>
      <c r="G76" s="101" t="s">
        <v>163</v>
      </c>
      <c r="H76" s="24" t="s">
        <v>881</v>
      </c>
      <c r="I76" s="23">
        <v>1</v>
      </c>
      <c r="J76" s="24" t="s">
        <v>39</v>
      </c>
      <c r="K76" s="103">
        <v>25560</v>
      </c>
      <c r="L76" s="35">
        <f t="shared" si="12"/>
        <v>25560</v>
      </c>
      <c r="M76" s="149">
        <v>2.36</v>
      </c>
      <c r="N76" s="152">
        <f t="shared" si="13"/>
        <v>60321.599999999999</v>
      </c>
      <c r="O76" s="149">
        <v>27.639974489795922</v>
      </c>
      <c r="P76" s="152">
        <f t="shared" si="14"/>
        <v>706477.74795918376</v>
      </c>
    </row>
    <row r="77" spans="2:16" x14ac:dyDescent="0.2">
      <c r="B77" s="23">
        <v>70</v>
      </c>
      <c r="C77" s="23" t="s">
        <v>386</v>
      </c>
      <c r="D77" s="106">
        <v>5500041</v>
      </c>
      <c r="E77" s="24" t="s">
        <v>49</v>
      </c>
      <c r="F77" s="23" t="s">
        <v>425</v>
      </c>
      <c r="G77" s="101" t="s">
        <v>163</v>
      </c>
      <c r="H77" s="24" t="s">
        <v>884</v>
      </c>
      <c r="I77" s="23">
        <v>1</v>
      </c>
      <c r="J77" s="24" t="s">
        <v>39</v>
      </c>
      <c r="K77" s="103">
        <v>33100</v>
      </c>
      <c r="L77" s="35">
        <f t="shared" si="12"/>
        <v>33100</v>
      </c>
      <c r="M77" s="149">
        <v>2.3580000000000001</v>
      </c>
      <c r="N77" s="152">
        <f t="shared" si="13"/>
        <v>78049.8</v>
      </c>
      <c r="O77" s="149">
        <v>25.679911338270568</v>
      </c>
      <c r="P77" s="152">
        <f t="shared" si="14"/>
        <v>850005.06529675575</v>
      </c>
    </row>
    <row r="78" spans="2:16" x14ac:dyDescent="0.2">
      <c r="B78" s="23">
        <v>71</v>
      </c>
      <c r="C78" s="23" t="s">
        <v>386</v>
      </c>
      <c r="D78" s="106">
        <v>5500063</v>
      </c>
      <c r="E78" s="24" t="s">
        <v>54</v>
      </c>
      <c r="F78" s="23" t="s">
        <v>425</v>
      </c>
      <c r="G78" s="101" t="s">
        <v>163</v>
      </c>
      <c r="H78" s="24" t="s">
        <v>885</v>
      </c>
      <c r="I78" s="23">
        <v>1</v>
      </c>
      <c r="J78" s="24" t="s">
        <v>39</v>
      </c>
      <c r="K78" s="103">
        <v>23094</v>
      </c>
      <c r="L78" s="35">
        <f t="shared" si="12"/>
        <v>23094</v>
      </c>
      <c r="M78" s="149">
        <v>1.9159999999999999</v>
      </c>
      <c r="N78" s="152">
        <f t="shared" si="13"/>
        <v>44248.103999999999</v>
      </c>
      <c r="O78" s="149">
        <v>124.71002320928358</v>
      </c>
      <c r="P78" s="152">
        <f t="shared" si="14"/>
        <v>2880053.2759951949</v>
      </c>
    </row>
    <row r="79" spans="2:16" x14ac:dyDescent="0.2">
      <c r="B79" s="23">
        <v>72</v>
      </c>
      <c r="C79" s="23" t="s">
        <v>386</v>
      </c>
      <c r="D79" s="106">
        <v>5500105</v>
      </c>
      <c r="E79" s="24" t="s">
        <v>62</v>
      </c>
      <c r="F79" s="23" t="s">
        <v>425</v>
      </c>
      <c r="G79" s="101" t="s">
        <v>163</v>
      </c>
      <c r="H79" s="24" t="s">
        <v>892</v>
      </c>
      <c r="I79" s="23">
        <v>1</v>
      </c>
      <c r="J79" s="24" t="s">
        <v>39</v>
      </c>
      <c r="K79" s="103">
        <v>18688</v>
      </c>
      <c r="L79" s="35">
        <f t="shared" si="12"/>
        <v>18688</v>
      </c>
      <c r="M79" s="149">
        <v>1.9159999999999999</v>
      </c>
      <c r="N79" s="152">
        <f t="shared" si="13"/>
        <v>35806.207999999999</v>
      </c>
      <c r="O79" s="149">
        <v>154.93009533898302</v>
      </c>
      <c r="P79" s="152">
        <f t="shared" si="14"/>
        <v>2895333.6216949145</v>
      </c>
    </row>
    <row r="80" spans="2:16" x14ac:dyDescent="0.2">
      <c r="B80" s="23">
        <v>73</v>
      </c>
      <c r="C80" s="23" t="s">
        <v>386</v>
      </c>
      <c r="D80" s="106">
        <v>5500111</v>
      </c>
      <c r="E80" s="24" t="s">
        <v>63</v>
      </c>
      <c r="F80" s="23" t="s">
        <v>425</v>
      </c>
      <c r="G80" s="101" t="s">
        <v>163</v>
      </c>
      <c r="H80" s="24" t="s">
        <v>893</v>
      </c>
      <c r="I80" s="23">
        <v>1</v>
      </c>
      <c r="J80" s="24" t="s">
        <v>39</v>
      </c>
      <c r="K80" s="103">
        <v>29285</v>
      </c>
      <c r="L80" s="35">
        <f t="shared" si="12"/>
        <v>29285</v>
      </c>
      <c r="M80" s="149">
        <v>2.36</v>
      </c>
      <c r="N80" s="152">
        <f t="shared" si="13"/>
        <v>69112.599999999991</v>
      </c>
      <c r="O80" s="149">
        <v>90.119763476347615</v>
      </c>
      <c r="P80" s="152">
        <f t="shared" si="14"/>
        <v>2639157.2734048399</v>
      </c>
    </row>
    <row r="81" spans="2:16" x14ac:dyDescent="0.2">
      <c r="B81" s="23">
        <v>74</v>
      </c>
      <c r="C81" s="23" t="s">
        <v>386</v>
      </c>
      <c r="D81" s="106">
        <v>5500180</v>
      </c>
      <c r="E81" s="24" t="s">
        <v>235</v>
      </c>
      <c r="F81" s="23" t="s">
        <v>425</v>
      </c>
      <c r="G81" s="101" t="s">
        <v>163</v>
      </c>
      <c r="H81" s="24" t="s">
        <v>904</v>
      </c>
      <c r="I81" s="23">
        <v>1</v>
      </c>
      <c r="J81" s="24" t="s">
        <v>39</v>
      </c>
      <c r="K81" s="103">
        <v>35832</v>
      </c>
      <c r="L81" s="35">
        <f t="shared" si="12"/>
        <v>35832</v>
      </c>
      <c r="M81" s="149">
        <v>1.9159999999999999</v>
      </c>
      <c r="N81" s="152">
        <f t="shared" si="13"/>
        <v>68654.111999999994</v>
      </c>
      <c r="O81" s="149">
        <v>98.360105820106014</v>
      </c>
      <c r="P81" s="152">
        <f t="shared" si="14"/>
        <v>3524439.3117460385</v>
      </c>
    </row>
    <row r="82" spans="2:16" x14ac:dyDescent="0.2">
      <c r="B82" s="23">
        <v>75</v>
      </c>
      <c r="C82" s="23" t="s">
        <v>386</v>
      </c>
      <c r="D82" s="106">
        <v>5501350</v>
      </c>
      <c r="E82" s="24" t="s">
        <v>250</v>
      </c>
      <c r="F82" s="23" t="s">
        <v>425</v>
      </c>
      <c r="G82" s="101" t="s">
        <v>163</v>
      </c>
      <c r="H82" s="24" t="s">
        <v>913</v>
      </c>
      <c r="I82" s="23">
        <v>1</v>
      </c>
      <c r="J82" s="24" t="s">
        <v>39</v>
      </c>
      <c r="K82" s="103">
        <v>25880</v>
      </c>
      <c r="L82" s="35">
        <f t="shared" si="12"/>
        <v>25880</v>
      </c>
      <c r="M82" s="149">
        <v>2.36</v>
      </c>
      <c r="N82" s="152">
        <f t="shared" si="13"/>
        <v>61076.799999999996</v>
      </c>
      <c r="O82" s="149">
        <v>27.639974489795922</v>
      </c>
      <c r="P82" s="152">
        <f t="shared" si="14"/>
        <v>715322.53979591851</v>
      </c>
    </row>
    <row r="83" spans="2:16" x14ac:dyDescent="0.2">
      <c r="B83" s="23">
        <v>76</v>
      </c>
      <c r="C83" s="23" t="s">
        <v>386</v>
      </c>
      <c r="D83" s="106">
        <v>5501350</v>
      </c>
      <c r="E83" s="24" t="s">
        <v>250</v>
      </c>
      <c r="F83" s="23" t="s">
        <v>425</v>
      </c>
      <c r="G83" s="101" t="s">
        <v>163</v>
      </c>
      <c r="H83" s="24" t="s">
        <v>917</v>
      </c>
      <c r="I83" s="23">
        <v>1</v>
      </c>
      <c r="J83" s="24" t="s">
        <v>39</v>
      </c>
      <c r="K83" s="103">
        <v>25790</v>
      </c>
      <c r="L83" s="35">
        <f t="shared" si="12"/>
        <v>25790</v>
      </c>
      <c r="M83" s="149">
        <v>2.36</v>
      </c>
      <c r="N83" s="152">
        <f t="shared" si="13"/>
        <v>60864.399999999994</v>
      </c>
      <c r="O83" s="149">
        <v>27.639974489795922</v>
      </c>
      <c r="P83" s="152">
        <f t="shared" si="14"/>
        <v>712834.94209183683</v>
      </c>
    </row>
    <row r="84" spans="2:16" x14ac:dyDescent="0.2">
      <c r="B84" s="23">
        <v>77</v>
      </c>
      <c r="C84" s="23" t="s">
        <v>386</v>
      </c>
      <c r="D84" s="106">
        <v>8000179</v>
      </c>
      <c r="E84" s="24" t="s">
        <v>754</v>
      </c>
      <c r="F84" s="23" t="e">
        <v>#N/A</v>
      </c>
      <c r="G84" s="101" t="s">
        <v>163</v>
      </c>
      <c r="H84" s="24" t="s">
        <v>919</v>
      </c>
      <c r="I84" s="23">
        <v>1</v>
      </c>
      <c r="J84" s="24" t="s">
        <v>39</v>
      </c>
      <c r="K84" s="103">
        <v>26978</v>
      </c>
      <c r="L84" s="35">
        <f t="shared" si="12"/>
        <v>26978</v>
      </c>
      <c r="M84" s="149">
        <v>1.9159999999999999</v>
      </c>
      <c r="N84" s="152">
        <f t="shared" si="13"/>
        <v>51689.847999999998</v>
      </c>
      <c r="O84" s="149">
        <v>0</v>
      </c>
      <c r="P84" s="152">
        <f t="shared" si="14"/>
        <v>0</v>
      </c>
    </row>
    <row r="85" spans="2:16" x14ac:dyDescent="0.2">
      <c r="B85" s="23">
        <v>78</v>
      </c>
      <c r="C85" s="23" t="s">
        <v>386</v>
      </c>
      <c r="D85" s="106">
        <v>5500092</v>
      </c>
      <c r="E85" s="24" t="s">
        <v>58</v>
      </c>
      <c r="F85" s="23" t="s">
        <v>425</v>
      </c>
      <c r="G85" s="101" t="s">
        <v>163</v>
      </c>
      <c r="H85" s="24" t="s">
        <v>922</v>
      </c>
      <c r="I85" s="23">
        <v>1</v>
      </c>
      <c r="J85" s="24" t="s">
        <v>39</v>
      </c>
      <c r="K85" s="103">
        <v>14958</v>
      </c>
      <c r="L85" s="35">
        <f t="shared" si="12"/>
        <v>14958</v>
      </c>
      <c r="M85" s="149">
        <v>1.9159999999999999</v>
      </c>
      <c r="N85" s="152">
        <f t="shared" si="13"/>
        <v>28659.527999999998</v>
      </c>
      <c r="O85" s="149">
        <v>299.57002679425767</v>
      </c>
      <c r="P85" s="152">
        <f t="shared" si="14"/>
        <v>4480968.4607885061</v>
      </c>
    </row>
    <row r="86" spans="2:16" x14ac:dyDescent="0.2">
      <c r="B86" s="23">
        <v>79</v>
      </c>
      <c r="C86" s="23" t="s">
        <v>386</v>
      </c>
      <c r="D86" s="106">
        <v>5500092</v>
      </c>
      <c r="E86" s="24" t="s">
        <v>58</v>
      </c>
      <c r="F86" s="23" t="s">
        <v>425</v>
      </c>
      <c r="G86" s="101" t="s">
        <v>163</v>
      </c>
      <c r="H86" s="24" t="s">
        <v>923</v>
      </c>
      <c r="I86" s="23">
        <v>1</v>
      </c>
      <c r="J86" s="24" t="s">
        <v>39</v>
      </c>
      <c r="K86" s="103">
        <v>15042</v>
      </c>
      <c r="L86" s="35">
        <f t="shared" si="12"/>
        <v>15042</v>
      </c>
      <c r="M86" s="149">
        <v>1.9159999999999999</v>
      </c>
      <c r="N86" s="152">
        <f t="shared" si="13"/>
        <v>28820.471999999998</v>
      </c>
      <c r="O86" s="149">
        <v>299.57002679425767</v>
      </c>
      <c r="P86" s="152">
        <f t="shared" si="14"/>
        <v>4506132.3430392239</v>
      </c>
    </row>
    <row r="87" spans="2:16" x14ac:dyDescent="0.2">
      <c r="B87" s="23">
        <v>80</v>
      </c>
      <c r="C87" s="23" t="s">
        <v>386</v>
      </c>
      <c r="D87" s="106">
        <v>5500183</v>
      </c>
      <c r="E87" s="24" t="s">
        <v>78</v>
      </c>
      <c r="F87" s="23" t="s">
        <v>425</v>
      </c>
      <c r="G87" s="101" t="s">
        <v>163</v>
      </c>
      <c r="H87" s="24" t="s">
        <v>924</v>
      </c>
      <c r="I87" s="23">
        <v>1</v>
      </c>
      <c r="J87" s="24" t="s">
        <v>39</v>
      </c>
      <c r="K87" s="103">
        <v>57360</v>
      </c>
      <c r="L87" s="35">
        <f t="shared" si="12"/>
        <v>57360</v>
      </c>
      <c r="M87" s="149">
        <v>1.92</v>
      </c>
      <c r="N87" s="152">
        <f t="shared" si="13"/>
        <v>110131.2</v>
      </c>
      <c r="O87" s="149">
        <v>98.999988131204162</v>
      </c>
      <c r="P87" s="152">
        <f t="shared" si="14"/>
        <v>5678639.3192058709</v>
      </c>
    </row>
    <row r="88" spans="2:16" x14ac:dyDescent="0.2">
      <c r="B88" s="23">
        <v>81</v>
      </c>
      <c r="C88" s="23" t="s">
        <v>386</v>
      </c>
      <c r="D88" s="106">
        <v>5501350</v>
      </c>
      <c r="E88" s="24" t="s">
        <v>250</v>
      </c>
      <c r="F88" s="23" t="s">
        <v>425</v>
      </c>
      <c r="G88" s="101" t="s">
        <v>163</v>
      </c>
      <c r="H88" s="24" t="s">
        <v>927</v>
      </c>
      <c r="I88" s="23">
        <v>1</v>
      </c>
      <c r="J88" s="24" t="s">
        <v>39</v>
      </c>
      <c r="K88" s="103">
        <v>25740</v>
      </c>
      <c r="L88" s="35">
        <f t="shared" si="12"/>
        <v>25740</v>
      </c>
      <c r="M88" s="149">
        <v>2.36</v>
      </c>
      <c r="N88" s="152">
        <f t="shared" si="13"/>
        <v>60746.399999999994</v>
      </c>
      <c r="O88" s="149">
        <v>27.639974489795922</v>
      </c>
      <c r="P88" s="152">
        <f t="shared" si="14"/>
        <v>711452.943367347</v>
      </c>
    </row>
    <row r="89" spans="2:16" x14ac:dyDescent="0.2">
      <c r="B89" s="23">
        <v>82</v>
      </c>
      <c r="C89" s="23" t="s">
        <v>386</v>
      </c>
      <c r="D89" s="106">
        <v>5005022</v>
      </c>
      <c r="E89" s="24" t="s">
        <v>758</v>
      </c>
      <c r="F89" s="23" t="s">
        <v>424</v>
      </c>
      <c r="G89" s="101" t="s">
        <v>163</v>
      </c>
      <c r="H89" s="24" t="s">
        <v>930</v>
      </c>
      <c r="I89" s="23">
        <v>1</v>
      </c>
      <c r="J89" s="24" t="s">
        <v>39</v>
      </c>
      <c r="K89" s="103">
        <v>4490</v>
      </c>
      <c r="L89" s="35">
        <f t="shared" si="12"/>
        <v>4490</v>
      </c>
      <c r="M89" s="149">
        <v>1.9159999999999999</v>
      </c>
      <c r="N89" s="152">
        <f t="shared" si="13"/>
        <v>8602.84</v>
      </c>
      <c r="O89" s="149">
        <v>0</v>
      </c>
      <c r="P89" s="152">
        <f t="shared" si="14"/>
        <v>0</v>
      </c>
    </row>
    <row r="90" spans="2:16" x14ac:dyDescent="0.2">
      <c r="B90" s="23">
        <v>83</v>
      </c>
      <c r="C90" s="23" t="s">
        <v>386</v>
      </c>
      <c r="D90" s="106">
        <v>5005071</v>
      </c>
      <c r="E90" s="24" t="s">
        <v>759</v>
      </c>
      <c r="F90" s="23" t="s">
        <v>424</v>
      </c>
      <c r="G90" s="101" t="s">
        <v>163</v>
      </c>
      <c r="H90" s="24" t="s">
        <v>384</v>
      </c>
      <c r="I90" s="23">
        <v>1</v>
      </c>
      <c r="J90" s="24" t="s">
        <v>39</v>
      </c>
      <c r="K90" s="103">
        <v>4840</v>
      </c>
      <c r="L90" s="35">
        <f t="shared" si="12"/>
        <v>4840</v>
      </c>
      <c r="M90" s="149">
        <v>1.9159999999999999</v>
      </c>
      <c r="N90" s="152">
        <f t="shared" si="13"/>
        <v>9273.44</v>
      </c>
      <c r="O90" s="149">
        <v>0</v>
      </c>
      <c r="P90" s="152">
        <f t="shared" si="14"/>
        <v>0</v>
      </c>
    </row>
    <row r="91" spans="2:16" x14ac:dyDescent="0.2">
      <c r="B91" s="23">
        <v>84</v>
      </c>
      <c r="C91" s="23" t="s">
        <v>386</v>
      </c>
      <c r="D91" s="106">
        <v>5500125</v>
      </c>
      <c r="E91" s="24" t="s">
        <v>760</v>
      </c>
      <c r="F91" s="23" t="s">
        <v>425</v>
      </c>
      <c r="G91" s="101" t="s">
        <v>163</v>
      </c>
      <c r="H91" s="24" t="s">
        <v>931</v>
      </c>
      <c r="I91" s="23">
        <v>1</v>
      </c>
      <c r="J91" s="24" t="s">
        <v>39</v>
      </c>
      <c r="K91" s="103">
        <v>31656</v>
      </c>
      <c r="L91" s="35">
        <f t="shared" si="12"/>
        <v>31656</v>
      </c>
      <c r="M91" s="149">
        <v>1.92</v>
      </c>
      <c r="N91" s="152">
        <f t="shared" si="13"/>
        <v>60779.519999999997</v>
      </c>
      <c r="O91" s="149">
        <v>129.81045679222808</v>
      </c>
      <c r="P91" s="152">
        <f t="shared" si="14"/>
        <v>4109279.8202147721</v>
      </c>
    </row>
    <row r="92" spans="2:16" x14ac:dyDescent="0.2">
      <c r="B92" s="23">
        <v>85</v>
      </c>
      <c r="C92" s="23" t="s">
        <v>386</v>
      </c>
      <c r="D92" s="106">
        <v>5501350</v>
      </c>
      <c r="E92" s="24" t="s">
        <v>250</v>
      </c>
      <c r="F92" s="23" t="s">
        <v>425</v>
      </c>
      <c r="G92" s="101" t="s">
        <v>163</v>
      </c>
      <c r="H92" s="24" t="s">
        <v>933</v>
      </c>
      <c r="I92" s="23">
        <v>1</v>
      </c>
      <c r="J92" s="24" t="s">
        <v>39</v>
      </c>
      <c r="K92" s="103">
        <v>25960</v>
      </c>
      <c r="L92" s="35">
        <f t="shared" si="12"/>
        <v>25960</v>
      </c>
      <c r="M92" s="149">
        <v>2.36</v>
      </c>
      <c r="N92" s="152">
        <f t="shared" si="13"/>
        <v>61265.599999999999</v>
      </c>
      <c r="O92" s="149">
        <v>27.639974489795922</v>
      </c>
      <c r="P92" s="152">
        <f t="shared" si="14"/>
        <v>717533.73775510211</v>
      </c>
    </row>
    <row r="93" spans="2:16" x14ac:dyDescent="0.2">
      <c r="B93" s="23">
        <v>86</v>
      </c>
      <c r="C93" s="23" t="s">
        <v>386</v>
      </c>
      <c r="D93" s="106">
        <v>5000688</v>
      </c>
      <c r="E93" s="24" t="s">
        <v>761</v>
      </c>
      <c r="F93" s="23" t="s">
        <v>424</v>
      </c>
      <c r="G93" s="101" t="s">
        <v>163</v>
      </c>
      <c r="H93" s="24" t="s">
        <v>936</v>
      </c>
      <c r="I93" s="23">
        <v>1</v>
      </c>
      <c r="J93" s="24" t="s">
        <v>39</v>
      </c>
      <c r="K93" s="103">
        <v>31080</v>
      </c>
      <c r="L93" s="35">
        <f t="shared" si="12"/>
        <v>31080</v>
      </c>
      <c r="M93" s="149">
        <v>1.92</v>
      </c>
      <c r="N93" s="152">
        <f t="shared" si="13"/>
        <v>59673.599999999999</v>
      </c>
      <c r="O93" s="149">
        <v>170.44253333333333</v>
      </c>
      <c r="P93" s="152">
        <f t="shared" si="14"/>
        <v>5297353.9359999998</v>
      </c>
    </row>
    <row r="94" spans="2:16" x14ac:dyDescent="0.2">
      <c r="B94" s="23">
        <v>87</v>
      </c>
      <c r="C94" s="23" t="s">
        <v>386</v>
      </c>
      <c r="D94" s="106">
        <v>5500850</v>
      </c>
      <c r="E94" s="24" t="s">
        <v>762</v>
      </c>
      <c r="F94" s="23" t="s">
        <v>425</v>
      </c>
      <c r="G94" s="101" t="s">
        <v>163</v>
      </c>
      <c r="H94" s="24" t="s">
        <v>941</v>
      </c>
      <c r="I94" s="23">
        <v>1</v>
      </c>
      <c r="J94" s="24" t="s">
        <v>39</v>
      </c>
      <c r="K94" s="103">
        <v>27882</v>
      </c>
      <c r="L94" s="35">
        <f t="shared" si="12"/>
        <v>27882</v>
      </c>
      <c r="M94" s="149">
        <v>1.9159999999999999</v>
      </c>
      <c r="N94" s="152">
        <f t="shared" si="13"/>
        <v>53421.911999999997</v>
      </c>
      <c r="O94" s="149">
        <v>183.76807102069998</v>
      </c>
      <c r="P94" s="152">
        <f t="shared" si="14"/>
        <v>5123821.3561991565</v>
      </c>
    </row>
    <row r="95" spans="2:16" x14ac:dyDescent="0.2">
      <c r="B95" s="23">
        <v>88</v>
      </c>
      <c r="C95" s="23" t="s">
        <v>386</v>
      </c>
      <c r="D95" s="106">
        <v>5501350</v>
      </c>
      <c r="E95" s="24" t="s">
        <v>250</v>
      </c>
      <c r="F95" s="23" t="s">
        <v>425</v>
      </c>
      <c r="G95" s="101" t="s">
        <v>163</v>
      </c>
      <c r="H95" s="24" t="s">
        <v>943</v>
      </c>
      <c r="I95" s="23">
        <v>1</v>
      </c>
      <c r="J95" s="24" t="s">
        <v>39</v>
      </c>
      <c r="K95" s="103">
        <v>25950</v>
      </c>
      <c r="L95" s="35">
        <f t="shared" si="12"/>
        <v>25950</v>
      </c>
      <c r="M95" s="149">
        <v>2.36</v>
      </c>
      <c r="N95" s="152">
        <f t="shared" si="13"/>
        <v>61242</v>
      </c>
      <c r="O95" s="149">
        <v>27.639974489795922</v>
      </c>
      <c r="P95" s="152">
        <f t="shared" si="14"/>
        <v>717257.33801020414</v>
      </c>
    </row>
    <row r="96" spans="2:16" x14ac:dyDescent="0.2">
      <c r="B96" s="23">
        <v>89</v>
      </c>
      <c r="C96" s="23" t="s">
        <v>386</v>
      </c>
      <c r="D96" s="106">
        <v>5500141</v>
      </c>
      <c r="E96" s="24" t="s">
        <v>383</v>
      </c>
      <c r="F96" s="23" t="s">
        <v>425</v>
      </c>
      <c r="G96" s="101" t="s">
        <v>163</v>
      </c>
      <c r="H96" s="24" t="s">
        <v>930</v>
      </c>
      <c r="I96" s="23">
        <v>1</v>
      </c>
      <c r="J96" s="24" t="s">
        <v>39</v>
      </c>
      <c r="K96" s="103">
        <v>10541</v>
      </c>
      <c r="L96" s="35">
        <f t="shared" si="12"/>
        <v>10541</v>
      </c>
      <c r="M96" s="149">
        <v>1.9159999999999999</v>
      </c>
      <c r="N96" s="152">
        <f t="shared" si="13"/>
        <v>20196.556</v>
      </c>
      <c r="O96" s="149">
        <v>216.64016705069125</v>
      </c>
      <c r="P96" s="152">
        <f t="shared" si="14"/>
        <v>2283604.0008813366</v>
      </c>
    </row>
    <row r="97" spans="2:16" x14ac:dyDescent="0.2">
      <c r="B97" s="23">
        <v>90</v>
      </c>
      <c r="C97" s="23" t="s">
        <v>386</v>
      </c>
      <c r="D97" s="106">
        <v>5501350</v>
      </c>
      <c r="E97" s="24" t="s">
        <v>250</v>
      </c>
      <c r="F97" s="23" t="s">
        <v>425</v>
      </c>
      <c r="G97" s="101" t="s">
        <v>163</v>
      </c>
      <c r="H97" s="24" t="s">
        <v>952</v>
      </c>
      <c r="I97" s="23">
        <v>1</v>
      </c>
      <c r="J97" s="24" t="s">
        <v>39</v>
      </c>
      <c r="K97" s="103">
        <v>25900</v>
      </c>
      <c r="L97" s="35">
        <f t="shared" si="12"/>
        <v>25900</v>
      </c>
      <c r="M97" s="149">
        <v>2.36</v>
      </c>
      <c r="N97" s="152">
        <f t="shared" si="13"/>
        <v>61124</v>
      </c>
      <c r="O97" s="149">
        <v>27.639974489795922</v>
      </c>
      <c r="P97" s="152">
        <f t="shared" si="14"/>
        <v>715875.33928571432</v>
      </c>
    </row>
    <row r="98" spans="2:16" x14ac:dyDescent="0.2">
      <c r="B98" s="23">
        <v>91</v>
      </c>
      <c r="C98" s="23" t="s">
        <v>386</v>
      </c>
      <c r="D98" s="106">
        <v>5003541</v>
      </c>
      <c r="E98" s="24" t="s">
        <v>747</v>
      </c>
      <c r="F98" s="23" t="s">
        <v>424</v>
      </c>
      <c r="G98" s="101" t="s">
        <v>163</v>
      </c>
      <c r="H98" s="24" t="s">
        <v>953</v>
      </c>
      <c r="I98" s="23">
        <v>1</v>
      </c>
      <c r="J98" s="24" t="s">
        <v>39</v>
      </c>
      <c r="K98" s="103">
        <v>48420</v>
      </c>
      <c r="L98" s="35">
        <f t="shared" si="12"/>
        <v>48420</v>
      </c>
      <c r="M98" s="149">
        <v>2.36</v>
      </c>
      <c r="N98" s="152">
        <f t="shared" si="13"/>
        <v>114271.2</v>
      </c>
      <c r="O98" s="149">
        <v>108.02499999999999</v>
      </c>
      <c r="P98" s="152">
        <f t="shared" si="14"/>
        <v>5230570.5</v>
      </c>
    </row>
    <row r="99" spans="2:16" x14ac:dyDescent="0.2">
      <c r="B99" s="23">
        <v>92</v>
      </c>
      <c r="C99" s="23" t="s">
        <v>386</v>
      </c>
      <c r="D99" s="106">
        <v>5500483</v>
      </c>
      <c r="E99" s="24" t="s">
        <v>376</v>
      </c>
      <c r="F99" s="23" t="s">
        <v>425</v>
      </c>
      <c r="G99" s="101" t="s">
        <v>163</v>
      </c>
      <c r="H99" s="24" t="s">
        <v>955</v>
      </c>
      <c r="I99" s="23">
        <v>1</v>
      </c>
      <c r="J99" s="24" t="s">
        <v>39</v>
      </c>
      <c r="K99" s="103">
        <v>37458</v>
      </c>
      <c r="L99" s="35">
        <f t="shared" si="12"/>
        <v>37458</v>
      </c>
      <c r="M99" s="149">
        <v>1.9159999999999999</v>
      </c>
      <c r="N99" s="152">
        <f t="shared" si="13"/>
        <v>71769.527999999991</v>
      </c>
      <c r="O99" s="149">
        <v>124.06992622757252</v>
      </c>
      <c r="P99" s="152">
        <f t="shared" si="14"/>
        <v>4647411.2966324119</v>
      </c>
    </row>
    <row r="100" spans="2:16" x14ac:dyDescent="0.2">
      <c r="B100" s="23">
        <v>93</v>
      </c>
      <c r="C100" s="23" t="s">
        <v>386</v>
      </c>
      <c r="D100" s="106">
        <v>5501350</v>
      </c>
      <c r="E100" s="24" t="s">
        <v>250</v>
      </c>
      <c r="F100" s="23" t="s">
        <v>425</v>
      </c>
      <c r="G100" s="101" t="s">
        <v>163</v>
      </c>
      <c r="H100" s="24" t="s">
        <v>956</v>
      </c>
      <c r="I100" s="23">
        <v>1</v>
      </c>
      <c r="J100" s="24" t="s">
        <v>39</v>
      </c>
      <c r="K100" s="103">
        <v>25730</v>
      </c>
      <c r="L100" s="35">
        <f t="shared" si="12"/>
        <v>25730</v>
      </c>
      <c r="M100" s="149">
        <v>2.36</v>
      </c>
      <c r="N100" s="152">
        <f t="shared" si="13"/>
        <v>60722.799999999996</v>
      </c>
      <c r="O100" s="149">
        <v>27.639974489795922</v>
      </c>
      <c r="P100" s="152">
        <f t="shared" si="14"/>
        <v>711176.54362244904</v>
      </c>
    </row>
    <row r="101" spans="2:16" x14ac:dyDescent="0.2">
      <c r="B101" s="69"/>
      <c r="C101" s="69"/>
      <c r="D101" s="108"/>
      <c r="E101" s="26"/>
      <c r="F101" s="69"/>
      <c r="G101" s="110"/>
      <c r="H101" s="26"/>
      <c r="I101" s="69"/>
      <c r="J101" s="26"/>
      <c r="K101" s="104">
        <f>SUM(K69:K100)</f>
        <v>887255</v>
      </c>
      <c r="L101" s="71">
        <f>SUM(L69:L100)</f>
        <v>887255</v>
      </c>
      <c r="M101" s="150"/>
      <c r="N101" s="153">
        <f t="shared" ref="N101:P101" si="15">SUM(N69:N100)</f>
        <v>1863105.3960000002</v>
      </c>
      <c r="O101" s="150"/>
      <c r="P101" s="153">
        <f t="shared" si="15"/>
        <v>90950431.294173151</v>
      </c>
    </row>
    <row r="102" spans="2:16" x14ac:dyDescent="0.2">
      <c r="B102" s="23">
        <v>94</v>
      </c>
      <c r="C102" s="23" t="s">
        <v>386</v>
      </c>
      <c r="D102" s="106">
        <v>5500220</v>
      </c>
      <c r="E102" s="24" t="s">
        <v>236</v>
      </c>
      <c r="F102" s="23" t="s">
        <v>425</v>
      </c>
      <c r="G102" s="34" t="s">
        <v>957</v>
      </c>
      <c r="H102" s="24" t="s">
        <v>854</v>
      </c>
      <c r="I102" s="23">
        <v>1</v>
      </c>
      <c r="J102" s="24" t="s">
        <v>34</v>
      </c>
      <c r="K102" s="103">
        <v>4955</v>
      </c>
      <c r="L102" s="35">
        <f>K102*I102</f>
        <v>4955</v>
      </c>
      <c r="M102" s="149">
        <v>2.8653061224489798</v>
      </c>
      <c r="N102" s="152">
        <f t="shared" ref="N102:N104" si="16">+K102*M102</f>
        <v>14197.591836734695</v>
      </c>
      <c r="O102" s="149">
        <v>217.83012195121955</v>
      </c>
      <c r="P102" s="152">
        <f t="shared" ref="P102:P104" si="17">+K102*O102</f>
        <v>1079348.2542682928</v>
      </c>
    </row>
    <row r="103" spans="2:16" x14ac:dyDescent="0.2">
      <c r="B103" s="23">
        <v>95</v>
      </c>
      <c r="C103" s="23" t="s">
        <v>386</v>
      </c>
      <c r="D103" s="106">
        <v>5500220</v>
      </c>
      <c r="E103" s="24" t="s">
        <v>236</v>
      </c>
      <c r="F103" s="23" t="s">
        <v>425</v>
      </c>
      <c r="G103" s="34" t="s">
        <v>957</v>
      </c>
      <c r="H103" s="24" t="s">
        <v>855</v>
      </c>
      <c r="I103" s="23">
        <v>1</v>
      </c>
      <c r="J103" s="24" t="s">
        <v>34</v>
      </c>
      <c r="K103" s="103">
        <v>4933</v>
      </c>
      <c r="L103" s="35">
        <f>K103*I103</f>
        <v>4933</v>
      </c>
      <c r="M103" s="149">
        <v>2.8653061224489798</v>
      </c>
      <c r="N103" s="152">
        <f t="shared" si="16"/>
        <v>14134.555102040817</v>
      </c>
      <c r="O103" s="149">
        <v>217.83012195121955</v>
      </c>
      <c r="P103" s="152">
        <f t="shared" si="17"/>
        <v>1074555.991585366</v>
      </c>
    </row>
    <row r="104" spans="2:16" x14ac:dyDescent="0.2">
      <c r="B104" s="23">
        <v>96</v>
      </c>
      <c r="C104" s="23" t="s">
        <v>386</v>
      </c>
      <c r="D104" s="106">
        <v>5500220</v>
      </c>
      <c r="E104" s="24" t="s">
        <v>236</v>
      </c>
      <c r="F104" s="23" t="s">
        <v>425</v>
      </c>
      <c r="G104" s="34" t="s">
        <v>957</v>
      </c>
      <c r="H104" s="24" t="s">
        <v>865</v>
      </c>
      <c r="I104" s="23">
        <v>1</v>
      </c>
      <c r="J104" s="24" t="s">
        <v>34</v>
      </c>
      <c r="K104" s="103">
        <v>4905</v>
      </c>
      <c r="L104" s="35">
        <f>K104*I104</f>
        <v>4905</v>
      </c>
      <c r="M104" s="149">
        <v>2.8653061224489798</v>
      </c>
      <c r="N104" s="152">
        <f t="shared" si="16"/>
        <v>14054.326530612245</v>
      </c>
      <c r="O104" s="149">
        <v>217.83012195121955</v>
      </c>
      <c r="P104" s="152">
        <f t="shared" si="17"/>
        <v>1068456.7481707318</v>
      </c>
    </row>
    <row r="105" spans="2:16" x14ac:dyDescent="0.2">
      <c r="B105" s="69"/>
      <c r="C105" s="69"/>
      <c r="D105" s="108"/>
      <c r="E105" s="26"/>
      <c r="F105" s="69"/>
      <c r="G105" s="70"/>
      <c r="H105" s="26"/>
      <c r="I105" s="69"/>
      <c r="J105" s="26"/>
      <c r="K105" s="104">
        <f>SUM(K102:K104)</f>
        <v>14793</v>
      </c>
      <c r="L105" s="71">
        <f>SUM(L102:L104)</f>
        <v>14793</v>
      </c>
      <c r="M105" s="150"/>
      <c r="N105" s="153">
        <f t="shared" ref="N105:P105" si="18">SUM(N102:N104)</f>
        <v>42386.473469387754</v>
      </c>
      <c r="O105" s="150"/>
      <c r="P105" s="153">
        <f t="shared" si="18"/>
        <v>3222360.9940243904</v>
      </c>
    </row>
    <row r="106" spans="2:16" x14ac:dyDescent="0.2">
      <c r="B106" s="23">
        <v>97</v>
      </c>
      <c r="C106" s="23" t="s">
        <v>386</v>
      </c>
      <c r="D106" s="106">
        <v>5000247</v>
      </c>
      <c r="E106" s="24" t="s">
        <v>310</v>
      </c>
      <c r="F106" s="23" t="s">
        <v>424</v>
      </c>
      <c r="G106" s="100" t="s">
        <v>209</v>
      </c>
      <c r="H106" s="24" t="s">
        <v>778</v>
      </c>
      <c r="I106" s="23">
        <v>1</v>
      </c>
      <c r="J106" s="24" t="s">
        <v>1</v>
      </c>
      <c r="K106" s="103">
        <v>551950</v>
      </c>
      <c r="L106" s="35">
        <f>K106*I106</f>
        <v>551950</v>
      </c>
      <c r="M106" s="149">
        <v>0.62059989780275926</v>
      </c>
      <c r="N106" s="152">
        <f t="shared" ref="N106:N107" si="19">+K106*M106</f>
        <v>342540.11359223298</v>
      </c>
      <c r="O106" s="149">
        <v>6.378570571428571</v>
      </c>
      <c r="P106" s="152">
        <f t="shared" ref="P106:P107" si="20">+K106*O106</f>
        <v>3520652.0268999999</v>
      </c>
    </row>
    <row r="107" spans="2:16" x14ac:dyDescent="0.2">
      <c r="B107" s="23">
        <v>98</v>
      </c>
      <c r="C107" s="23" t="s">
        <v>386</v>
      </c>
      <c r="D107" s="106">
        <v>5004565</v>
      </c>
      <c r="E107" s="24" t="s">
        <v>756</v>
      </c>
      <c r="F107" s="23" t="s">
        <v>424</v>
      </c>
      <c r="G107" s="47" t="s">
        <v>209</v>
      </c>
      <c r="H107" s="24" t="s">
        <v>921</v>
      </c>
      <c r="I107" s="23">
        <v>1</v>
      </c>
      <c r="J107" s="24" t="s">
        <v>1</v>
      </c>
      <c r="K107" s="103">
        <v>78477</v>
      </c>
      <c r="L107" s="35">
        <f>K107*I107</f>
        <v>78477</v>
      </c>
      <c r="M107" s="149">
        <v>0.633946132164109</v>
      </c>
      <c r="N107" s="152">
        <f t="shared" si="19"/>
        <v>49750.19061384278</v>
      </c>
      <c r="O107" s="149">
        <v>7.1428622908622907</v>
      </c>
      <c r="P107" s="152">
        <f t="shared" si="20"/>
        <v>560550.40399999998</v>
      </c>
    </row>
    <row r="108" spans="2:16" x14ac:dyDescent="0.2">
      <c r="B108" s="69"/>
      <c r="C108" s="69"/>
      <c r="D108" s="108"/>
      <c r="E108" s="26"/>
      <c r="F108" s="69"/>
      <c r="G108" s="66"/>
      <c r="H108" s="26"/>
      <c r="I108" s="69"/>
      <c r="J108" s="26"/>
      <c r="K108" s="104">
        <f>SUM(K106:K107)</f>
        <v>630427</v>
      </c>
      <c r="L108" s="71">
        <f>SUM(L106:L107)</f>
        <v>630427</v>
      </c>
      <c r="M108" s="150"/>
      <c r="N108" s="153">
        <f t="shared" ref="N108:P108" si="21">SUM(N106:N107)</f>
        <v>392290.30420607579</v>
      </c>
      <c r="O108" s="150"/>
      <c r="P108" s="153">
        <f t="shared" si="21"/>
        <v>4081202.4309</v>
      </c>
    </row>
    <row r="109" spans="2:16" x14ac:dyDescent="0.2">
      <c r="B109" s="23">
        <v>99</v>
      </c>
      <c r="C109" s="23" t="s">
        <v>386</v>
      </c>
      <c r="D109" s="106">
        <v>5500133</v>
      </c>
      <c r="E109" s="24" t="s">
        <v>233</v>
      </c>
      <c r="F109" s="23" t="s">
        <v>425</v>
      </c>
      <c r="G109" s="34" t="s">
        <v>299</v>
      </c>
      <c r="H109" s="24" t="s">
        <v>864</v>
      </c>
      <c r="I109" s="23">
        <v>1</v>
      </c>
      <c r="J109" s="24" t="s">
        <v>34</v>
      </c>
      <c r="K109" s="103">
        <v>8246</v>
      </c>
      <c r="L109" s="35">
        <f>K109*I109</f>
        <v>8246</v>
      </c>
      <c r="M109" s="149">
        <v>2.3229925443482733</v>
      </c>
      <c r="N109" s="152">
        <f t="shared" ref="N109:N110" si="22">+K109*M109</f>
        <v>19155.39652069586</v>
      </c>
      <c r="O109" s="149">
        <v>253.21934782608696</v>
      </c>
      <c r="P109" s="152">
        <f t="shared" ref="P109:P110" si="23">+K109*O109</f>
        <v>2088046.7421739132</v>
      </c>
    </row>
    <row r="110" spans="2:16" x14ac:dyDescent="0.2">
      <c r="B110" s="23">
        <v>100</v>
      </c>
      <c r="C110" s="23" t="s">
        <v>386</v>
      </c>
      <c r="D110" s="106">
        <v>5500133</v>
      </c>
      <c r="E110" s="24" t="s">
        <v>233</v>
      </c>
      <c r="F110" s="23" t="s">
        <v>425</v>
      </c>
      <c r="G110" s="34" t="s">
        <v>299</v>
      </c>
      <c r="H110" s="24" t="s">
        <v>871</v>
      </c>
      <c r="I110" s="23">
        <v>1</v>
      </c>
      <c r="J110" s="24" t="s">
        <v>34</v>
      </c>
      <c r="K110" s="103">
        <v>8224</v>
      </c>
      <c r="L110" s="35">
        <f>K110*I110</f>
        <v>8224</v>
      </c>
      <c r="M110" s="149">
        <v>2.3229925443482733</v>
      </c>
      <c r="N110" s="152">
        <f t="shared" si="22"/>
        <v>19104.290684720199</v>
      </c>
      <c r="O110" s="149">
        <v>253.21934782608696</v>
      </c>
      <c r="P110" s="152">
        <f t="shared" si="23"/>
        <v>2082475.9165217392</v>
      </c>
    </row>
    <row r="111" spans="2:16" x14ac:dyDescent="0.2">
      <c r="B111" s="69"/>
      <c r="C111" s="69"/>
      <c r="D111" s="108"/>
      <c r="E111" s="26"/>
      <c r="F111" s="69"/>
      <c r="G111" s="70"/>
      <c r="H111" s="26"/>
      <c r="I111" s="69"/>
      <c r="J111" s="26"/>
      <c r="K111" s="104">
        <f>SUM(K109:K110)</f>
        <v>16470</v>
      </c>
      <c r="L111" s="71">
        <f>SUM(L109:L110)</f>
        <v>16470</v>
      </c>
      <c r="M111" s="150"/>
      <c r="N111" s="153">
        <f t="shared" ref="N111:P111" si="24">SUM(N109:N110)</f>
        <v>38259.687205416063</v>
      </c>
      <c r="O111" s="150"/>
      <c r="P111" s="153">
        <f t="shared" si="24"/>
        <v>4170522.6586956521</v>
      </c>
    </row>
    <row r="112" spans="2:16" x14ac:dyDescent="0.2">
      <c r="B112" s="23">
        <v>101</v>
      </c>
      <c r="C112" s="23" t="s">
        <v>386</v>
      </c>
      <c r="D112" s="106">
        <v>5001968</v>
      </c>
      <c r="E112" s="24" t="s">
        <v>726</v>
      </c>
      <c r="F112" s="23" t="s">
        <v>424</v>
      </c>
      <c r="G112" s="47" t="s">
        <v>158</v>
      </c>
      <c r="H112" s="24" t="s">
        <v>765</v>
      </c>
      <c r="I112" s="23">
        <v>10</v>
      </c>
      <c r="J112" s="24" t="s">
        <v>3</v>
      </c>
      <c r="K112" s="103">
        <v>5300</v>
      </c>
      <c r="L112" s="35">
        <f t="shared" ref="L112:L143" si="25">K112*I112</f>
        <v>53000</v>
      </c>
      <c r="M112" s="149">
        <v>0.33200000000000002</v>
      </c>
      <c r="N112" s="152">
        <f t="shared" ref="N112:N175" si="26">+K112*M112</f>
        <v>1759.6000000000001</v>
      </c>
      <c r="O112" s="149">
        <v>0</v>
      </c>
      <c r="P112" s="152">
        <f t="shared" ref="P112:P175" si="27">+K112*O112</f>
        <v>0</v>
      </c>
    </row>
    <row r="113" spans="2:16" x14ac:dyDescent="0.2">
      <c r="B113" s="23">
        <v>102</v>
      </c>
      <c r="C113" s="23" t="s">
        <v>386</v>
      </c>
      <c r="D113" s="106">
        <v>5004113</v>
      </c>
      <c r="E113" s="24" t="s">
        <v>727</v>
      </c>
      <c r="F113" s="23" t="s">
        <v>424</v>
      </c>
      <c r="G113" s="47" t="s">
        <v>158</v>
      </c>
      <c r="H113" s="24" t="s">
        <v>767</v>
      </c>
      <c r="I113" s="23">
        <v>10</v>
      </c>
      <c r="J113" s="24" t="s">
        <v>3</v>
      </c>
      <c r="K113" s="103">
        <v>10572</v>
      </c>
      <c r="L113" s="35">
        <f t="shared" si="25"/>
        <v>105720</v>
      </c>
      <c r="M113" s="149">
        <v>0.40052083333333333</v>
      </c>
      <c r="N113" s="152">
        <f t="shared" si="26"/>
        <v>4234.3062499999996</v>
      </c>
      <c r="O113" s="149">
        <v>167.87333333333333</v>
      </c>
      <c r="P113" s="152">
        <f t="shared" si="27"/>
        <v>1774756.8800000001</v>
      </c>
    </row>
    <row r="114" spans="2:16" x14ac:dyDescent="0.2">
      <c r="B114" s="23">
        <v>103</v>
      </c>
      <c r="C114" s="23" t="s">
        <v>386</v>
      </c>
      <c r="D114" s="106">
        <v>5004113</v>
      </c>
      <c r="E114" s="24" t="s">
        <v>727</v>
      </c>
      <c r="F114" s="23" t="s">
        <v>424</v>
      </c>
      <c r="G114" s="47" t="s">
        <v>158</v>
      </c>
      <c r="H114" s="24" t="s">
        <v>768</v>
      </c>
      <c r="I114" s="23">
        <v>10</v>
      </c>
      <c r="J114" s="24" t="s">
        <v>3</v>
      </c>
      <c r="K114" s="103">
        <v>10623</v>
      </c>
      <c r="L114" s="35">
        <f t="shared" si="25"/>
        <v>106230</v>
      </c>
      <c r="M114" s="149">
        <v>0.40052083333333333</v>
      </c>
      <c r="N114" s="152">
        <f t="shared" si="26"/>
        <v>4254.7328125000004</v>
      </c>
      <c r="O114" s="149">
        <v>167.87333333333333</v>
      </c>
      <c r="P114" s="152">
        <f t="shared" si="27"/>
        <v>1783318.42</v>
      </c>
    </row>
    <row r="115" spans="2:16" x14ac:dyDescent="0.2">
      <c r="B115" s="23">
        <v>104</v>
      </c>
      <c r="C115" s="23" t="s">
        <v>386</v>
      </c>
      <c r="D115" s="106">
        <v>5500783</v>
      </c>
      <c r="E115" s="24" t="s">
        <v>729</v>
      </c>
      <c r="F115" s="23" t="s">
        <v>425</v>
      </c>
      <c r="G115" s="47" t="s">
        <v>158</v>
      </c>
      <c r="H115" s="24" t="s">
        <v>770</v>
      </c>
      <c r="I115" s="23">
        <v>20</v>
      </c>
      <c r="J115" s="24" t="s">
        <v>3</v>
      </c>
      <c r="K115" s="103">
        <v>98518</v>
      </c>
      <c r="L115" s="35">
        <f t="shared" si="25"/>
        <v>1970360</v>
      </c>
      <c r="M115" s="149">
        <v>0.44999999999999996</v>
      </c>
      <c r="N115" s="152">
        <f t="shared" si="26"/>
        <v>44333.1</v>
      </c>
      <c r="O115" s="149">
        <v>64.360152993495291</v>
      </c>
      <c r="P115" s="152">
        <f t="shared" si="27"/>
        <v>6340633.552613169</v>
      </c>
    </row>
    <row r="116" spans="2:16" x14ac:dyDescent="0.2">
      <c r="B116" s="23">
        <v>105</v>
      </c>
      <c r="C116" s="23" t="s">
        <v>386</v>
      </c>
      <c r="D116" s="106">
        <v>5500783</v>
      </c>
      <c r="E116" s="24" t="s">
        <v>729</v>
      </c>
      <c r="F116" s="23" t="s">
        <v>425</v>
      </c>
      <c r="G116" s="47" t="s">
        <v>158</v>
      </c>
      <c r="H116" s="24" t="s">
        <v>771</v>
      </c>
      <c r="I116" s="23">
        <v>20</v>
      </c>
      <c r="J116" s="24" t="s">
        <v>3</v>
      </c>
      <c r="K116" s="103">
        <v>98928</v>
      </c>
      <c r="L116" s="35">
        <f t="shared" si="25"/>
        <v>1978560</v>
      </c>
      <c r="M116" s="149">
        <v>0.44999999999999996</v>
      </c>
      <c r="N116" s="152">
        <f t="shared" si="26"/>
        <v>44517.599999999999</v>
      </c>
      <c r="O116" s="149">
        <v>64.360152993495291</v>
      </c>
      <c r="P116" s="152">
        <f t="shared" si="27"/>
        <v>6367021.2153405026</v>
      </c>
    </row>
    <row r="117" spans="2:16" x14ac:dyDescent="0.2">
      <c r="B117" s="23">
        <v>106</v>
      </c>
      <c r="C117" s="23" t="s">
        <v>386</v>
      </c>
      <c r="D117" s="106">
        <v>5501501</v>
      </c>
      <c r="E117" s="24" t="s">
        <v>730</v>
      </c>
      <c r="F117" s="23" t="s">
        <v>425</v>
      </c>
      <c r="G117" s="47" t="s">
        <v>158</v>
      </c>
      <c r="H117" s="24" t="s">
        <v>773</v>
      </c>
      <c r="I117" s="23">
        <v>10</v>
      </c>
      <c r="J117" s="24" t="s">
        <v>65</v>
      </c>
      <c r="K117" s="103">
        <v>16330</v>
      </c>
      <c r="L117" s="35">
        <f t="shared" si="25"/>
        <v>163300</v>
      </c>
      <c r="M117" s="149">
        <v>0.34177083333333336</v>
      </c>
      <c r="N117" s="152">
        <f t="shared" si="26"/>
        <v>5581.1177083333341</v>
      </c>
      <c r="O117" s="149">
        <v>280.89999999999998</v>
      </c>
      <c r="P117" s="152">
        <f t="shared" si="27"/>
        <v>4587097</v>
      </c>
    </row>
    <row r="118" spans="2:16" x14ac:dyDescent="0.2">
      <c r="B118" s="23">
        <v>107</v>
      </c>
      <c r="C118" s="23" t="s">
        <v>386</v>
      </c>
      <c r="D118" s="106">
        <v>5001974</v>
      </c>
      <c r="E118" s="24" t="s">
        <v>731</v>
      </c>
      <c r="F118" s="23" t="s">
        <v>424</v>
      </c>
      <c r="G118" s="47" t="s">
        <v>158</v>
      </c>
      <c r="H118" s="24" t="s">
        <v>774</v>
      </c>
      <c r="I118" s="23">
        <v>10</v>
      </c>
      <c r="J118" s="24" t="s">
        <v>3</v>
      </c>
      <c r="K118" s="103">
        <v>9634</v>
      </c>
      <c r="L118" s="35">
        <f t="shared" si="25"/>
        <v>96340</v>
      </c>
      <c r="M118" s="149">
        <v>0.40052083333333333</v>
      </c>
      <c r="N118" s="152">
        <f t="shared" si="26"/>
        <v>3858.6177083333332</v>
      </c>
      <c r="O118" s="149">
        <v>207.09509999999997</v>
      </c>
      <c r="P118" s="152">
        <f t="shared" si="27"/>
        <v>1995154.1933999998</v>
      </c>
    </row>
    <row r="119" spans="2:16" x14ac:dyDescent="0.2">
      <c r="B119" s="23">
        <v>108</v>
      </c>
      <c r="C119" s="23" t="s">
        <v>386</v>
      </c>
      <c r="D119" s="106">
        <v>5004113</v>
      </c>
      <c r="E119" s="24" t="s">
        <v>727</v>
      </c>
      <c r="F119" s="23" t="s">
        <v>424</v>
      </c>
      <c r="G119" s="47" t="s">
        <v>158</v>
      </c>
      <c r="H119" s="24" t="s">
        <v>775</v>
      </c>
      <c r="I119" s="23">
        <v>10</v>
      </c>
      <c r="J119" s="24" t="s">
        <v>3</v>
      </c>
      <c r="K119" s="103">
        <v>10611</v>
      </c>
      <c r="L119" s="35">
        <f t="shared" si="25"/>
        <v>106110</v>
      </c>
      <c r="M119" s="149">
        <v>0.40052083333333333</v>
      </c>
      <c r="N119" s="152">
        <f t="shared" si="26"/>
        <v>4249.9265624999998</v>
      </c>
      <c r="O119" s="149">
        <v>167.87333333333333</v>
      </c>
      <c r="P119" s="152">
        <f t="shared" si="27"/>
        <v>1781303.94</v>
      </c>
    </row>
    <row r="120" spans="2:16" x14ac:dyDescent="0.2">
      <c r="B120" s="23">
        <v>109</v>
      </c>
      <c r="C120" s="23" t="s">
        <v>386</v>
      </c>
      <c r="D120" s="106">
        <v>5001480</v>
      </c>
      <c r="E120" s="24" t="s">
        <v>733</v>
      </c>
      <c r="F120" s="23" t="s">
        <v>424</v>
      </c>
      <c r="G120" s="47" t="s">
        <v>158</v>
      </c>
      <c r="H120" s="24" t="s">
        <v>780</v>
      </c>
      <c r="I120" s="23">
        <v>6</v>
      </c>
      <c r="J120" s="24" t="s">
        <v>3</v>
      </c>
      <c r="K120" s="103">
        <v>3367</v>
      </c>
      <c r="L120" s="35">
        <f t="shared" si="25"/>
        <v>20202</v>
      </c>
      <c r="M120" s="149">
        <v>0.34177083333333336</v>
      </c>
      <c r="N120" s="152">
        <f t="shared" si="26"/>
        <v>1150.7423958333334</v>
      </c>
      <c r="O120" s="149">
        <v>168.36999999999998</v>
      </c>
      <c r="P120" s="152">
        <f t="shared" si="27"/>
        <v>566901.78999999992</v>
      </c>
    </row>
    <row r="121" spans="2:16" x14ac:dyDescent="0.2">
      <c r="B121" s="23">
        <v>110</v>
      </c>
      <c r="C121" s="23" t="s">
        <v>386</v>
      </c>
      <c r="D121" s="106">
        <v>5002557</v>
      </c>
      <c r="E121" s="24" t="s">
        <v>302</v>
      </c>
      <c r="F121" s="23" t="s">
        <v>424</v>
      </c>
      <c r="G121" s="47" t="s">
        <v>158</v>
      </c>
      <c r="H121" s="24" t="s">
        <v>782</v>
      </c>
      <c r="I121" s="23">
        <v>10</v>
      </c>
      <c r="J121" s="24" t="s">
        <v>3</v>
      </c>
      <c r="K121" s="103">
        <v>22097</v>
      </c>
      <c r="L121" s="35">
        <f t="shared" si="25"/>
        <v>220970</v>
      </c>
      <c r="M121" s="149">
        <v>0.34177083333333336</v>
      </c>
      <c r="N121" s="152">
        <f t="shared" si="26"/>
        <v>7552.110104166667</v>
      </c>
      <c r="O121" s="149">
        <v>95.255017206477746</v>
      </c>
      <c r="P121" s="152">
        <f t="shared" si="27"/>
        <v>2104850.115211539</v>
      </c>
    </row>
    <row r="122" spans="2:16" x14ac:dyDescent="0.2">
      <c r="B122" s="23">
        <v>111</v>
      </c>
      <c r="C122" s="23" t="s">
        <v>386</v>
      </c>
      <c r="D122" s="106">
        <v>5500781</v>
      </c>
      <c r="E122" s="24" t="s">
        <v>314</v>
      </c>
      <c r="F122" s="23" t="s">
        <v>425</v>
      </c>
      <c r="G122" s="47" t="s">
        <v>158</v>
      </c>
      <c r="H122" s="24" t="s">
        <v>783</v>
      </c>
      <c r="I122" s="23">
        <v>20</v>
      </c>
      <c r="J122" s="24" t="s">
        <v>3</v>
      </c>
      <c r="K122" s="103">
        <v>68383</v>
      </c>
      <c r="L122" s="35">
        <f t="shared" si="25"/>
        <v>1367660</v>
      </c>
      <c r="M122" s="149">
        <v>0.60750000000000004</v>
      </c>
      <c r="N122" s="152">
        <f t="shared" si="26"/>
        <v>41542.672500000001</v>
      </c>
      <c r="O122" s="149">
        <v>161.35999784774972</v>
      </c>
      <c r="P122" s="152">
        <f t="shared" si="27"/>
        <v>11034280.73282267</v>
      </c>
    </row>
    <row r="123" spans="2:16" x14ac:dyDescent="0.2">
      <c r="B123" s="23">
        <v>112</v>
      </c>
      <c r="C123" s="23" t="s">
        <v>386</v>
      </c>
      <c r="D123" s="106">
        <v>5500783</v>
      </c>
      <c r="E123" s="24" t="s">
        <v>729</v>
      </c>
      <c r="F123" s="23" t="s">
        <v>425</v>
      </c>
      <c r="G123" s="47" t="s">
        <v>158</v>
      </c>
      <c r="H123" s="24" t="s">
        <v>784</v>
      </c>
      <c r="I123" s="23">
        <v>20</v>
      </c>
      <c r="J123" s="24" t="s">
        <v>3</v>
      </c>
      <c r="K123" s="103">
        <v>99218</v>
      </c>
      <c r="L123" s="35">
        <f t="shared" si="25"/>
        <v>1984360</v>
      </c>
      <c r="M123" s="149">
        <v>0.44999999999999996</v>
      </c>
      <c r="N123" s="152">
        <f t="shared" si="26"/>
        <v>44648.1</v>
      </c>
      <c r="O123" s="149">
        <v>64.360152993495291</v>
      </c>
      <c r="P123" s="152">
        <f t="shared" si="27"/>
        <v>6385685.6597086154</v>
      </c>
    </row>
    <row r="124" spans="2:16" x14ac:dyDescent="0.2">
      <c r="B124" s="23">
        <v>113</v>
      </c>
      <c r="C124" s="23" t="s">
        <v>386</v>
      </c>
      <c r="D124" s="106">
        <v>5500784</v>
      </c>
      <c r="E124" s="24" t="s">
        <v>313</v>
      </c>
      <c r="F124" s="23" t="s">
        <v>425</v>
      </c>
      <c r="G124" s="47" t="s">
        <v>158</v>
      </c>
      <c r="H124" s="24" t="s">
        <v>785</v>
      </c>
      <c r="I124" s="23">
        <v>20</v>
      </c>
      <c r="J124" s="24" t="s">
        <v>3</v>
      </c>
      <c r="K124" s="103">
        <v>59545</v>
      </c>
      <c r="L124" s="35">
        <f t="shared" si="25"/>
        <v>1190900</v>
      </c>
      <c r="M124" s="149">
        <v>0.44999999999999996</v>
      </c>
      <c r="N124" s="152">
        <f t="shared" si="26"/>
        <v>26795.249999999996</v>
      </c>
      <c r="O124" s="149">
        <v>92.300074955567538</v>
      </c>
      <c r="P124" s="152">
        <f t="shared" si="27"/>
        <v>5496007.9632292688</v>
      </c>
    </row>
    <row r="125" spans="2:16" x14ac:dyDescent="0.2">
      <c r="B125" s="23">
        <v>114</v>
      </c>
      <c r="C125" s="23" t="s">
        <v>386</v>
      </c>
      <c r="D125" s="106">
        <v>5500788</v>
      </c>
      <c r="E125" s="24" t="s">
        <v>244</v>
      </c>
      <c r="F125" s="23" t="s">
        <v>425</v>
      </c>
      <c r="G125" s="47" t="s">
        <v>158</v>
      </c>
      <c r="H125" s="24" t="s">
        <v>786</v>
      </c>
      <c r="I125" s="23">
        <v>15</v>
      </c>
      <c r="J125" s="24" t="s">
        <v>3</v>
      </c>
      <c r="K125" s="103">
        <v>8220</v>
      </c>
      <c r="L125" s="35">
        <f t="shared" si="25"/>
        <v>123300</v>
      </c>
      <c r="M125" s="149">
        <v>0.47619791666666672</v>
      </c>
      <c r="N125" s="152">
        <f t="shared" si="26"/>
        <v>3914.3468750000006</v>
      </c>
      <c r="O125" s="149">
        <v>137.57011989795939</v>
      </c>
      <c r="P125" s="152">
        <f t="shared" si="27"/>
        <v>1130826.3855612262</v>
      </c>
    </row>
    <row r="126" spans="2:16" x14ac:dyDescent="0.2">
      <c r="B126" s="23">
        <v>115</v>
      </c>
      <c r="C126" s="23" t="s">
        <v>386</v>
      </c>
      <c r="D126" s="106">
        <v>5001479</v>
      </c>
      <c r="E126" s="24" t="s">
        <v>734</v>
      </c>
      <c r="F126" s="23" t="s">
        <v>424</v>
      </c>
      <c r="G126" s="47" t="s">
        <v>158</v>
      </c>
      <c r="H126" s="24" t="s">
        <v>780</v>
      </c>
      <c r="I126" s="23">
        <v>3</v>
      </c>
      <c r="J126" s="24" t="s">
        <v>3</v>
      </c>
      <c r="K126" s="103">
        <v>9200</v>
      </c>
      <c r="L126" s="35">
        <f t="shared" si="25"/>
        <v>27600</v>
      </c>
      <c r="M126" s="149">
        <v>0.28766666666666668</v>
      </c>
      <c r="N126" s="152">
        <f t="shared" si="26"/>
        <v>2646.5333333333333</v>
      </c>
      <c r="O126" s="149">
        <v>130.48674999999997</v>
      </c>
      <c r="P126" s="152">
        <f t="shared" si="27"/>
        <v>1200478.0999999999</v>
      </c>
    </row>
    <row r="127" spans="2:16" x14ac:dyDescent="0.2">
      <c r="B127" s="23">
        <v>116</v>
      </c>
      <c r="C127" s="23" t="s">
        <v>386</v>
      </c>
      <c r="D127" s="106">
        <v>5002556</v>
      </c>
      <c r="E127" s="24" t="s">
        <v>735</v>
      </c>
      <c r="F127" s="23" t="s">
        <v>424</v>
      </c>
      <c r="G127" s="47" t="s">
        <v>158</v>
      </c>
      <c r="H127" s="24" t="s">
        <v>792</v>
      </c>
      <c r="I127" s="23">
        <v>10</v>
      </c>
      <c r="J127" s="24" t="s">
        <v>3</v>
      </c>
      <c r="K127" s="103">
        <v>36236</v>
      </c>
      <c r="L127" s="35">
        <f t="shared" si="25"/>
        <v>362360</v>
      </c>
      <c r="M127" s="149">
        <v>0.34177083333333336</v>
      </c>
      <c r="N127" s="152">
        <f t="shared" si="26"/>
        <v>12384.407916666667</v>
      </c>
      <c r="O127" s="149">
        <v>128.34995812908497</v>
      </c>
      <c r="P127" s="152">
        <f t="shared" si="27"/>
        <v>4650889.0827655233</v>
      </c>
    </row>
    <row r="128" spans="2:16" x14ac:dyDescent="0.2">
      <c r="B128" s="23">
        <v>117</v>
      </c>
      <c r="C128" s="23" t="s">
        <v>386</v>
      </c>
      <c r="D128" s="106">
        <v>5002556</v>
      </c>
      <c r="E128" s="24" t="s">
        <v>735</v>
      </c>
      <c r="F128" s="23" t="s">
        <v>424</v>
      </c>
      <c r="G128" s="47" t="s">
        <v>158</v>
      </c>
      <c r="H128" s="24" t="s">
        <v>793</v>
      </c>
      <c r="I128" s="23">
        <v>10</v>
      </c>
      <c r="J128" s="24" t="s">
        <v>3</v>
      </c>
      <c r="K128" s="103">
        <v>36767</v>
      </c>
      <c r="L128" s="35">
        <f t="shared" si="25"/>
        <v>367670</v>
      </c>
      <c r="M128" s="149">
        <v>0.34177083333333336</v>
      </c>
      <c r="N128" s="152">
        <f t="shared" si="26"/>
        <v>12565.888229166667</v>
      </c>
      <c r="O128" s="149">
        <v>128.34995812908497</v>
      </c>
      <c r="P128" s="152">
        <f t="shared" si="27"/>
        <v>4719042.9105320666</v>
      </c>
    </row>
    <row r="129" spans="2:16" x14ac:dyDescent="0.2">
      <c r="B129" s="23">
        <v>118</v>
      </c>
      <c r="C129" s="23" t="s">
        <v>386</v>
      </c>
      <c r="D129" s="106">
        <v>5500784</v>
      </c>
      <c r="E129" s="24" t="s">
        <v>313</v>
      </c>
      <c r="F129" s="23" t="s">
        <v>425</v>
      </c>
      <c r="G129" s="47" t="s">
        <v>158</v>
      </c>
      <c r="H129" s="24" t="s">
        <v>794</v>
      </c>
      <c r="I129" s="23">
        <v>20</v>
      </c>
      <c r="J129" s="24" t="s">
        <v>3</v>
      </c>
      <c r="K129" s="103">
        <v>59285</v>
      </c>
      <c r="L129" s="35">
        <f t="shared" si="25"/>
        <v>1185700</v>
      </c>
      <c r="M129" s="149">
        <v>0.44999999999999996</v>
      </c>
      <c r="N129" s="152">
        <f t="shared" si="26"/>
        <v>26678.249999999996</v>
      </c>
      <c r="O129" s="149">
        <v>92.300074955567538</v>
      </c>
      <c r="P129" s="152">
        <f t="shared" si="27"/>
        <v>5472009.9437408214</v>
      </c>
    </row>
    <row r="130" spans="2:16" x14ac:dyDescent="0.2">
      <c r="B130" s="23">
        <v>119</v>
      </c>
      <c r="C130" s="23" t="s">
        <v>386</v>
      </c>
      <c r="D130" s="106">
        <v>5500788</v>
      </c>
      <c r="E130" s="24" t="s">
        <v>244</v>
      </c>
      <c r="F130" s="23" t="s">
        <v>425</v>
      </c>
      <c r="G130" s="47" t="s">
        <v>158</v>
      </c>
      <c r="H130" s="24" t="s">
        <v>795</v>
      </c>
      <c r="I130" s="23">
        <v>15</v>
      </c>
      <c r="J130" s="24" t="s">
        <v>3</v>
      </c>
      <c r="K130" s="103">
        <v>8130</v>
      </c>
      <c r="L130" s="35">
        <f t="shared" si="25"/>
        <v>121950</v>
      </c>
      <c r="M130" s="149">
        <v>0.47619791666666672</v>
      </c>
      <c r="N130" s="152">
        <f t="shared" si="26"/>
        <v>3871.4890625000003</v>
      </c>
      <c r="O130" s="149">
        <v>137.57011989795939</v>
      </c>
      <c r="P130" s="152">
        <f t="shared" si="27"/>
        <v>1118445.0747704098</v>
      </c>
    </row>
    <row r="131" spans="2:16" x14ac:dyDescent="0.2">
      <c r="B131" s="23">
        <v>120</v>
      </c>
      <c r="C131" s="23" t="s">
        <v>386</v>
      </c>
      <c r="D131" s="106">
        <v>5501152</v>
      </c>
      <c r="E131" s="24" t="s">
        <v>736</v>
      </c>
      <c r="F131" s="23" t="s">
        <v>1490</v>
      </c>
      <c r="G131" s="47" t="s">
        <v>158</v>
      </c>
      <c r="H131" s="24" t="s">
        <v>796</v>
      </c>
      <c r="I131" s="23">
        <v>15</v>
      </c>
      <c r="J131" s="24" t="s">
        <v>3</v>
      </c>
      <c r="K131" s="103">
        <v>66451</v>
      </c>
      <c r="L131" s="35">
        <f t="shared" si="25"/>
        <v>996765</v>
      </c>
      <c r="M131" s="149">
        <v>0.4746354166666667</v>
      </c>
      <c r="N131" s="152">
        <f t="shared" si="26"/>
        <v>31539.998072916667</v>
      </c>
      <c r="O131" s="149">
        <v>21.150029014942696</v>
      </c>
      <c r="P131" s="152">
        <f t="shared" si="27"/>
        <v>1405440.578071957</v>
      </c>
    </row>
    <row r="132" spans="2:16" x14ac:dyDescent="0.2">
      <c r="B132" s="23">
        <v>121</v>
      </c>
      <c r="C132" s="23" t="s">
        <v>386</v>
      </c>
      <c r="D132" s="106">
        <v>5001474</v>
      </c>
      <c r="E132" s="24" t="s">
        <v>737</v>
      </c>
      <c r="F132" s="23" t="s">
        <v>424</v>
      </c>
      <c r="G132" s="47" t="s">
        <v>158</v>
      </c>
      <c r="H132" s="24" t="s">
        <v>798</v>
      </c>
      <c r="I132" s="23">
        <v>10</v>
      </c>
      <c r="J132" s="24" t="s">
        <v>3</v>
      </c>
      <c r="K132" s="103">
        <v>11721</v>
      </c>
      <c r="L132" s="35">
        <f t="shared" si="25"/>
        <v>117210</v>
      </c>
      <c r="M132" s="149">
        <v>0.33479591836734696</v>
      </c>
      <c r="N132" s="152">
        <f t="shared" si="26"/>
        <v>3924.1429591836736</v>
      </c>
      <c r="O132" s="149">
        <v>111.25333333333332</v>
      </c>
      <c r="P132" s="152">
        <f t="shared" si="27"/>
        <v>1304000.3199999998</v>
      </c>
    </row>
    <row r="133" spans="2:16" x14ac:dyDescent="0.2">
      <c r="B133" s="23">
        <v>122</v>
      </c>
      <c r="C133" s="23" t="s">
        <v>386</v>
      </c>
      <c r="D133" s="106">
        <v>5500783</v>
      </c>
      <c r="E133" s="24" t="s">
        <v>729</v>
      </c>
      <c r="F133" s="23" t="s">
        <v>425</v>
      </c>
      <c r="G133" s="47" t="s">
        <v>158</v>
      </c>
      <c r="H133" s="24" t="s">
        <v>800</v>
      </c>
      <c r="I133" s="23">
        <v>20</v>
      </c>
      <c r="J133" s="24" t="s">
        <v>3</v>
      </c>
      <c r="K133" s="103">
        <v>98278</v>
      </c>
      <c r="L133" s="35">
        <f t="shared" si="25"/>
        <v>1965560</v>
      </c>
      <c r="M133" s="149">
        <v>0.44999999999999996</v>
      </c>
      <c r="N133" s="152">
        <f t="shared" si="26"/>
        <v>44225.1</v>
      </c>
      <c r="O133" s="149">
        <v>64.360152993495291</v>
      </c>
      <c r="P133" s="152">
        <f t="shared" si="27"/>
        <v>6325187.1158947302</v>
      </c>
    </row>
    <row r="134" spans="2:16" x14ac:dyDescent="0.2">
      <c r="B134" s="23">
        <v>123</v>
      </c>
      <c r="C134" s="23" t="s">
        <v>386</v>
      </c>
      <c r="D134" s="106">
        <v>5002663</v>
      </c>
      <c r="E134" s="24" t="s">
        <v>739</v>
      </c>
      <c r="F134" s="23" t="s">
        <v>424</v>
      </c>
      <c r="G134" s="47" t="s">
        <v>158</v>
      </c>
      <c r="H134" s="24" t="s">
        <v>805</v>
      </c>
      <c r="I134" s="23">
        <v>10</v>
      </c>
      <c r="J134" s="24" t="s">
        <v>3</v>
      </c>
      <c r="K134" s="103">
        <v>9423</v>
      </c>
      <c r="L134" s="35">
        <f t="shared" si="25"/>
        <v>94230</v>
      </c>
      <c r="M134" s="149">
        <v>0.49708333333333332</v>
      </c>
      <c r="N134" s="152">
        <f t="shared" si="26"/>
        <v>4684.0162499999997</v>
      </c>
      <c r="O134" s="149">
        <v>219.03</v>
      </c>
      <c r="P134" s="152">
        <f t="shared" si="27"/>
        <v>2063919.69</v>
      </c>
    </row>
    <row r="135" spans="2:16" x14ac:dyDescent="0.2">
      <c r="B135" s="23">
        <v>124</v>
      </c>
      <c r="C135" s="23" t="s">
        <v>386</v>
      </c>
      <c r="D135" s="106">
        <v>5004122</v>
      </c>
      <c r="E135" s="24" t="s">
        <v>740</v>
      </c>
      <c r="F135" s="23" t="s">
        <v>424</v>
      </c>
      <c r="G135" s="47" t="s">
        <v>158</v>
      </c>
      <c r="H135" s="24" t="s">
        <v>806</v>
      </c>
      <c r="I135" s="23">
        <v>10</v>
      </c>
      <c r="J135" s="24" t="s">
        <v>3</v>
      </c>
      <c r="K135" s="103">
        <v>9315</v>
      </c>
      <c r="L135" s="35">
        <f t="shared" si="25"/>
        <v>93150</v>
      </c>
      <c r="M135" s="149">
        <v>0.34177083333333336</v>
      </c>
      <c r="N135" s="152">
        <f t="shared" si="26"/>
        <v>3183.5953125000001</v>
      </c>
      <c r="O135" s="149">
        <v>76.608349999999987</v>
      </c>
      <c r="P135" s="152">
        <f t="shared" si="27"/>
        <v>713606.78024999984</v>
      </c>
    </row>
    <row r="136" spans="2:16" x14ac:dyDescent="0.2">
      <c r="B136" s="23">
        <v>125</v>
      </c>
      <c r="C136" s="23" t="s">
        <v>386</v>
      </c>
      <c r="D136" s="106">
        <v>5500058</v>
      </c>
      <c r="E136" s="24" t="s">
        <v>741</v>
      </c>
      <c r="F136" s="23" t="s">
        <v>425</v>
      </c>
      <c r="G136" s="47" t="s">
        <v>158</v>
      </c>
      <c r="H136" s="24" t="s">
        <v>807</v>
      </c>
      <c r="I136" s="23">
        <v>15</v>
      </c>
      <c r="J136" s="24" t="s">
        <v>3</v>
      </c>
      <c r="K136" s="103">
        <v>32551</v>
      </c>
      <c r="L136" s="35">
        <f t="shared" si="25"/>
        <v>488265</v>
      </c>
      <c r="M136" s="149">
        <v>0.96</v>
      </c>
      <c r="N136" s="152">
        <f t="shared" si="26"/>
        <v>31248.959999999999</v>
      </c>
      <c r="O136" s="149">
        <v>84.489955317247919</v>
      </c>
      <c r="P136" s="152">
        <f t="shared" si="27"/>
        <v>2750232.5355317369</v>
      </c>
    </row>
    <row r="137" spans="2:16" x14ac:dyDescent="0.2">
      <c r="B137" s="23">
        <v>126</v>
      </c>
      <c r="C137" s="23" t="s">
        <v>386</v>
      </c>
      <c r="D137" s="106">
        <v>5500783</v>
      </c>
      <c r="E137" s="24" t="s">
        <v>729</v>
      </c>
      <c r="F137" s="23" t="s">
        <v>425</v>
      </c>
      <c r="G137" s="47" t="s">
        <v>158</v>
      </c>
      <c r="H137" s="24" t="s">
        <v>808</v>
      </c>
      <c r="I137" s="23">
        <v>20</v>
      </c>
      <c r="J137" s="24" t="s">
        <v>3</v>
      </c>
      <c r="K137" s="103">
        <v>98418</v>
      </c>
      <c r="L137" s="35">
        <f t="shared" si="25"/>
        <v>1968360</v>
      </c>
      <c r="M137" s="149">
        <v>0.44999999999999996</v>
      </c>
      <c r="N137" s="152">
        <f t="shared" si="26"/>
        <v>44288.1</v>
      </c>
      <c r="O137" s="149">
        <v>64.360152993495291</v>
      </c>
      <c r="P137" s="152">
        <f t="shared" si="27"/>
        <v>6334197.5373138199</v>
      </c>
    </row>
    <row r="138" spans="2:16" x14ac:dyDescent="0.2">
      <c r="B138" s="23">
        <v>127</v>
      </c>
      <c r="C138" s="23" t="s">
        <v>386</v>
      </c>
      <c r="D138" s="106">
        <v>5500783</v>
      </c>
      <c r="E138" s="24" t="s">
        <v>729</v>
      </c>
      <c r="F138" s="23" t="s">
        <v>425</v>
      </c>
      <c r="G138" s="47" t="s">
        <v>158</v>
      </c>
      <c r="H138" s="24" t="s">
        <v>809</v>
      </c>
      <c r="I138" s="23">
        <v>20</v>
      </c>
      <c r="J138" s="24" t="s">
        <v>3</v>
      </c>
      <c r="K138" s="103">
        <v>97958</v>
      </c>
      <c r="L138" s="35">
        <f t="shared" si="25"/>
        <v>1959160</v>
      </c>
      <c r="M138" s="149">
        <v>0.44999999999999996</v>
      </c>
      <c r="N138" s="152">
        <f t="shared" si="26"/>
        <v>44081.1</v>
      </c>
      <c r="O138" s="149">
        <v>64.360152993495291</v>
      </c>
      <c r="P138" s="152">
        <f t="shared" si="27"/>
        <v>6304591.8669368112</v>
      </c>
    </row>
    <row r="139" spans="2:16" x14ac:dyDescent="0.2">
      <c r="B139" s="23">
        <v>128</v>
      </c>
      <c r="C139" s="23" t="s">
        <v>386</v>
      </c>
      <c r="D139" s="106">
        <v>8001220</v>
      </c>
      <c r="E139" s="24" t="s">
        <v>742</v>
      </c>
      <c r="F139" s="23" t="e">
        <v>#N/A</v>
      </c>
      <c r="G139" s="47" t="s">
        <v>158</v>
      </c>
      <c r="H139" s="24" t="s">
        <v>810</v>
      </c>
      <c r="I139" s="23">
        <v>2</v>
      </c>
      <c r="J139" s="24" t="s">
        <v>3</v>
      </c>
      <c r="K139" s="103">
        <v>19328</v>
      </c>
      <c r="L139" s="35">
        <f t="shared" si="25"/>
        <v>38656</v>
      </c>
      <c r="M139" s="149">
        <v>0.22668749999999999</v>
      </c>
      <c r="N139" s="152">
        <f t="shared" si="26"/>
        <v>4381.4160000000002</v>
      </c>
      <c r="O139" s="149">
        <v>0</v>
      </c>
      <c r="P139" s="152">
        <f t="shared" si="27"/>
        <v>0</v>
      </c>
    </row>
    <row r="140" spans="2:16" x14ac:dyDescent="0.2">
      <c r="B140" s="23">
        <v>129</v>
      </c>
      <c r="C140" s="23" t="s">
        <v>386</v>
      </c>
      <c r="D140" s="106">
        <v>5002663</v>
      </c>
      <c r="E140" s="24" t="s">
        <v>739</v>
      </c>
      <c r="F140" s="23" t="s">
        <v>424</v>
      </c>
      <c r="G140" s="47" t="s">
        <v>158</v>
      </c>
      <c r="H140" s="24" t="s">
        <v>812</v>
      </c>
      <c r="I140" s="23">
        <v>10</v>
      </c>
      <c r="J140" s="24" t="s">
        <v>3</v>
      </c>
      <c r="K140" s="103">
        <v>8673</v>
      </c>
      <c r="L140" s="35">
        <f t="shared" si="25"/>
        <v>86730</v>
      </c>
      <c r="M140" s="149">
        <v>0.49708333333333332</v>
      </c>
      <c r="N140" s="152">
        <f t="shared" si="26"/>
        <v>4311.2037499999997</v>
      </c>
      <c r="O140" s="149">
        <v>219.03</v>
      </c>
      <c r="P140" s="152">
        <f t="shared" si="27"/>
        <v>1899647.19</v>
      </c>
    </row>
    <row r="141" spans="2:16" x14ac:dyDescent="0.2">
      <c r="B141" s="23">
        <v>130</v>
      </c>
      <c r="C141" s="23" t="s">
        <v>386</v>
      </c>
      <c r="D141" s="106">
        <v>5004123</v>
      </c>
      <c r="E141" s="24" t="s">
        <v>743</v>
      </c>
      <c r="F141" s="23" t="s">
        <v>424</v>
      </c>
      <c r="G141" s="47" t="s">
        <v>158</v>
      </c>
      <c r="H141" s="24" t="s">
        <v>813</v>
      </c>
      <c r="I141" s="23">
        <v>10</v>
      </c>
      <c r="J141" s="24" t="s">
        <v>3</v>
      </c>
      <c r="K141" s="103">
        <v>9501</v>
      </c>
      <c r="L141" s="35">
        <f t="shared" si="25"/>
        <v>95010</v>
      </c>
      <c r="M141" s="149">
        <v>0.34</v>
      </c>
      <c r="N141" s="152">
        <f t="shared" si="26"/>
        <v>3230.34</v>
      </c>
      <c r="O141" s="149">
        <v>95.690283333333312</v>
      </c>
      <c r="P141" s="152">
        <f t="shared" si="27"/>
        <v>909153.38194999984</v>
      </c>
    </row>
    <row r="142" spans="2:16" x14ac:dyDescent="0.2">
      <c r="B142" s="23">
        <v>131</v>
      </c>
      <c r="C142" s="23" t="s">
        <v>386</v>
      </c>
      <c r="D142" s="106">
        <v>5500783</v>
      </c>
      <c r="E142" s="24" t="s">
        <v>729</v>
      </c>
      <c r="F142" s="23" t="s">
        <v>425</v>
      </c>
      <c r="G142" s="47" t="s">
        <v>158</v>
      </c>
      <c r="H142" s="24" t="s">
        <v>814</v>
      </c>
      <c r="I142" s="23">
        <v>20</v>
      </c>
      <c r="J142" s="24" t="s">
        <v>3</v>
      </c>
      <c r="K142" s="103">
        <v>98368</v>
      </c>
      <c r="L142" s="35">
        <f t="shared" si="25"/>
        <v>1967360</v>
      </c>
      <c r="M142" s="149">
        <v>0.44999999999999996</v>
      </c>
      <c r="N142" s="152">
        <f t="shared" si="26"/>
        <v>44265.599999999999</v>
      </c>
      <c r="O142" s="149">
        <v>64.360152993495291</v>
      </c>
      <c r="P142" s="152">
        <f t="shared" si="27"/>
        <v>6330979.5296641449</v>
      </c>
    </row>
    <row r="143" spans="2:16" x14ac:dyDescent="0.2">
      <c r="B143" s="23">
        <v>132</v>
      </c>
      <c r="C143" s="23" t="s">
        <v>386</v>
      </c>
      <c r="D143" s="106">
        <v>5500783</v>
      </c>
      <c r="E143" s="24" t="s">
        <v>729</v>
      </c>
      <c r="F143" s="23" t="s">
        <v>425</v>
      </c>
      <c r="G143" s="47" t="s">
        <v>158</v>
      </c>
      <c r="H143" s="24" t="s">
        <v>815</v>
      </c>
      <c r="I143" s="23">
        <v>20</v>
      </c>
      <c r="J143" s="24" t="s">
        <v>3</v>
      </c>
      <c r="K143" s="103">
        <v>98778</v>
      </c>
      <c r="L143" s="35">
        <f t="shared" si="25"/>
        <v>1975560</v>
      </c>
      <c r="M143" s="149">
        <v>0.44999999999999996</v>
      </c>
      <c r="N143" s="152">
        <f t="shared" si="26"/>
        <v>44450.1</v>
      </c>
      <c r="O143" s="149">
        <v>64.360152993495291</v>
      </c>
      <c r="P143" s="152">
        <f t="shared" si="27"/>
        <v>6357367.1923914775</v>
      </c>
    </row>
    <row r="144" spans="2:16" x14ac:dyDescent="0.2">
      <c r="B144" s="23">
        <v>133</v>
      </c>
      <c r="C144" s="23" t="s">
        <v>386</v>
      </c>
      <c r="D144" s="106">
        <v>5500002</v>
      </c>
      <c r="E144" s="24" t="s">
        <v>744</v>
      </c>
      <c r="F144" s="23" t="s">
        <v>425</v>
      </c>
      <c r="G144" s="47" t="s">
        <v>158</v>
      </c>
      <c r="H144" s="24" t="s">
        <v>817</v>
      </c>
      <c r="I144" s="23">
        <v>15</v>
      </c>
      <c r="J144" s="24" t="s">
        <v>3</v>
      </c>
      <c r="K144" s="103">
        <v>16321</v>
      </c>
      <c r="L144" s="35">
        <f t="shared" ref="L144:L175" si="28">K144*I144</f>
        <v>244815</v>
      </c>
      <c r="M144" s="149">
        <v>0.47499999999999992</v>
      </c>
      <c r="N144" s="152">
        <f t="shared" si="26"/>
        <v>7752.4749999999985</v>
      </c>
      <c r="O144" s="149">
        <v>154.57991176470591</v>
      </c>
      <c r="P144" s="152">
        <f t="shared" si="27"/>
        <v>2522898.7399117653</v>
      </c>
    </row>
    <row r="145" spans="2:16" x14ac:dyDescent="0.2">
      <c r="B145" s="23">
        <v>134</v>
      </c>
      <c r="C145" s="23" t="s">
        <v>386</v>
      </c>
      <c r="D145" s="106">
        <v>5500783</v>
      </c>
      <c r="E145" s="24" t="s">
        <v>729</v>
      </c>
      <c r="F145" s="23" t="s">
        <v>425</v>
      </c>
      <c r="G145" s="47" t="s">
        <v>158</v>
      </c>
      <c r="H145" s="24" t="s">
        <v>820</v>
      </c>
      <c r="I145" s="23">
        <v>20</v>
      </c>
      <c r="J145" s="24" t="s">
        <v>3</v>
      </c>
      <c r="K145" s="103">
        <v>98968</v>
      </c>
      <c r="L145" s="35">
        <f t="shared" si="28"/>
        <v>1979360</v>
      </c>
      <c r="M145" s="149">
        <v>0.44999999999999996</v>
      </c>
      <c r="N145" s="152">
        <f t="shared" si="26"/>
        <v>44535.6</v>
      </c>
      <c r="O145" s="149">
        <v>64.360152993495291</v>
      </c>
      <c r="P145" s="152">
        <f t="shared" si="27"/>
        <v>6369595.6214602422</v>
      </c>
    </row>
    <row r="146" spans="2:16" x14ac:dyDescent="0.2">
      <c r="B146" s="23">
        <v>135</v>
      </c>
      <c r="C146" s="23" t="s">
        <v>386</v>
      </c>
      <c r="D146" s="106">
        <v>5500784</v>
      </c>
      <c r="E146" s="24" t="s">
        <v>313</v>
      </c>
      <c r="F146" s="23" t="s">
        <v>425</v>
      </c>
      <c r="G146" s="47" t="s">
        <v>158</v>
      </c>
      <c r="H146" s="24" t="s">
        <v>821</v>
      </c>
      <c r="I146" s="23">
        <v>20</v>
      </c>
      <c r="J146" s="24" t="s">
        <v>3</v>
      </c>
      <c r="K146" s="103">
        <v>59075</v>
      </c>
      <c r="L146" s="35">
        <f t="shared" si="28"/>
        <v>1181500</v>
      </c>
      <c r="M146" s="149">
        <v>0.44999999999999996</v>
      </c>
      <c r="N146" s="152">
        <f t="shared" si="26"/>
        <v>26583.749999999996</v>
      </c>
      <c r="O146" s="149">
        <v>92.300074955567538</v>
      </c>
      <c r="P146" s="152">
        <f t="shared" si="27"/>
        <v>5452626.9280001521</v>
      </c>
    </row>
    <row r="147" spans="2:16" x14ac:dyDescent="0.2">
      <c r="B147" s="23">
        <v>136</v>
      </c>
      <c r="C147" s="23" t="s">
        <v>386</v>
      </c>
      <c r="D147" s="106">
        <v>5501180</v>
      </c>
      <c r="E147" s="24" t="s">
        <v>246</v>
      </c>
      <c r="F147" s="23" t="s">
        <v>425</v>
      </c>
      <c r="G147" s="47" t="s">
        <v>158</v>
      </c>
      <c r="H147" s="24" t="s">
        <v>823</v>
      </c>
      <c r="I147" s="23">
        <v>20</v>
      </c>
      <c r="J147" s="24" t="s">
        <v>3</v>
      </c>
      <c r="K147" s="103">
        <v>49685</v>
      </c>
      <c r="L147" s="35">
        <f t="shared" si="28"/>
        <v>993700</v>
      </c>
      <c r="M147" s="149">
        <v>0.64</v>
      </c>
      <c r="N147" s="152">
        <f t="shared" si="26"/>
        <v>31798.400000000001</v>
      </c>
      <c r="O147" s="149">
        <v>152.35992084432718</v>
      </c>
      <c r="P147" s="152">
        <f t="shared" si="27"/>
        <v>7570002.6671503959</v>
      </c>
    </row>
    <row r="148" spans="2:16" x14ac:dyDescent="0.2">
      <c r="B148" s="23">
        <v>137</v>
      </c>
      <c r="C148" s="23" t="s">
        <v>386</v>
      </c>
      <c r="D148" s="106">
        <v>5501560</v>
      </c>
      <c r="E148" s="24" t="s">
        <v>746</v>
      </c>
      <c r="F148" s="23" t="s">
        <v>425</v>
      </c>
      <c r="G148" s="47" t="s">
        <v>158</v>
      </c>
      <c r="H148" s="24" t="s">
        <v>824</v>
      </c>
      <c r="I148" s="23">
        <v>10</v>
      </c>
      <c r="J148" s="24" t="s">
        <v>3</v>
      </c>
      <c r="K148" s="103">
        <v>22720</v>
      </c>
      <c r="L148" s="35">
        <f t="shared" si="28"/>
        <v>227200</v>
      </c>
      <c r="M148" s="149">
        <v>0.34177083333333336</v>
      </c>
      <c r="N148" s="152">
        <f t="shared" si="26"/>
        <v>7765.0333333333338</v>
      </c>
      <c r="O148" s="149">
        <v>109.28</v>
      </c>
      <c r="P148" s="152">
        <f t="shared" si="27"/>
        <v>2482841.6000000001</v>
      </c>
    </row>
    <row r="149" spans="2:16" x14ac:dyDescent="0.2">
      <c r="B149" s="23">
        <v>138</v>
      </c>
      <c r="C149" s="23" t="s">
        <v>386</v>
      </c>
      <c r="D149" s="106">
        <v>5500783</v>
      </c>
      <c r="E149" s="24" t="s">
        <v>729</v>
      </c>
      <c r="F149" s="23" t="s">
        <v>425</v>
      </c>
      <c r="G149" s="47" t="s">
        <v>158</v>
      </c>
      <c r="H149" s="24" t="s">
        <v>827</v>
      </c>
      <c r="I149" s="23">
        <v>20</v>
      </c>
      <c r="J149" s="24" t="s">
        <v>3</v>
      </c>
      <c r="K149" s="103">
        <v>98848</v>
      </c>
      <c r="L149" s="35">
        <f t="shared" si="28"/>
        <v>1976960</v>
      </c>
      <c r="M149" s="149">
        <v>0.44999999999999996</v>
      </c>
      <c r="N149" s="152">
        <f t="shared" si="26"/>
        <v>44481.599999999999</v>
      </c>
      <c r="O149" s="149">
        <v>64.360152993495291</v>
      </c>
      <c r="P149" s="152">
        <f t="shared" si="27"/>
        <v>6361872.4031010224</v>
      </c>
    </row>
    <row r="150" spans="2:16" x14ac:dyDescent="0.2">
      <c r="B150" s="23">
        <v>139</v>
      </c>
      <c r="C150" s="23" t="s">
        <v>386</v>
      </c>
      <c r="D150" s="106">
        <v>5500784</v>
      </c>
      <c r="E150" s="24" t="s">
        <v>313</v>
      </c>
      <c r="F150" s="23" t="s">
        <v>425</v>
      </c>
      <c r="G150" s="47" t="s">
        <v>158</v>
      </c>
      <c r="H150" s="24" t="s">
        <v>828</v>
      </c>
      <c r="I150" s="23">
        <v>20</v>
      </c>
      <c r="J150" s="24" t="s">
        <v>3</v>
      </c>
      <c r="K150" s="103">
        <v>58745</v>
      </c>
      <c r="L150" s="35">
        <f t="shared" si="28"/>
        <v>1174900</v>
      </c>
      <c r="M150" s="149">
        <v>0.44999999999999996</v>
      </c>
      <c r="N150" s="152">
        <f t="shared" si="26"/>
        <v>26435.249999999996</v>
      </c>
      <c r="O150" s="149">
        <v>92.300074955567538</v>
      </c>
      <c r="P150" s="152">
        <f t="shared" si="27"/>
        <v>5422167.903264815</v>
      </c>
    </row>
    <row r="151" spans="2:16" x14ac:dyDescent="0.2">
      <c r="B151" s="23">
        <v>140</v>
      </c>
      <c r="C151" s="23" t="s">
        <v>386</v>
      </c>
      <c r="D151" s="106">
        <v>5501284</v>
      </c>
      <c r="E151" s="24" t="s">
        <v>375</v>
      </c>
      <c r="F151" s="23" t="s">
        <v>425</v>
      </c>
      <c r="G151" s="47" t="s">
        <v>158</v>
      </c>
      <c r="H151" s="24" t="s">
        <v>829</v>
      </c>
      <c r="I151" s="23">
        <v>20</v>
      </c>
      <c r="J151" s="24" t="s">
        <v>3</v>
      </c>
      <c r="K151" s="103">
        <v>22743</v>
      </c>
      <c r="L151" s="35">
        <f t="shared" si="28"/>
        <v>454860</v>
      </c>
      <c r="M151" s="149">
        <v>0.60750000000000004</v>
      </c>
      <c r="N151" s="152">
        <f t="shared" si="26"/>
        <v>13816.372500000001</v>
      </c>
      <c r="O151" s="149">
        <v>150.43016597510373</v>
      </c>
      <c r="P151" s="152">
        <f t="shared" si="27"/>
        <v>3421233.2647717842</v>
      </c>
    </row>
    <row r="152" spans="2:16" x14ac:dyDescent="0.2">
      <c r="B152" s="23">
        <v>141</v>
      </c>
      <c r="C152" s="23" t="s">
        <v>386</v>
      </c>
      <c r="D152" s="106">
        <v>5500783</v>
      </c>
      <c r="E152" s="24" t="s">
        <v>729</v>
      </c>
      <c r="F152" s="23" t="s">
        <v>425</v>
      </c>
      <c r="G152" s="47" t="s">
        <v>158</v>
      </c>
      <c r="H152" s="24" t="s">
        <v>832</v>
      </c>
      <c r="I152" s="23">
        <v>20</v>
      </c>
      <c r="J152" s="24" t="s">
        <v>3</v>
      </c>
      <c r="K152" s="103">
        <v>98688</v>
      </c>
      <c r="L152" s="35">
        <f t="shared" si="28"/>
        <v>1973760</v>
      </c>
      <c r="M152" s="149">
        <v>0.44999999999999996</v>
      </c>
      <c r="N152" s="152">
        <f t="shared" si="26"/>
        <v>44409.599999999999</v>
      </c>
      <c r="O152" s="149">
        <v>64.360152993495291</v>
      </c>
      <c r="P152" s="152">
        <f t="shared" si="27"/>
        <v>6351574.7786220629</v>
      </c>
    </row>
    <row r="153" spans="2:16" x14ac:dyDescent="0.2">
      <c r="B153" s="23">
        <v>142</v>
      </c>
      <c r="C153" s="23" t="s">
        <v>386</v>
      </c>
      <c r="D153" s="106">
        <v>5500784</v>
      </c>
      <c r="E153" s="24" t="s">
        <v>313</v>
      </c>
      <c r="F153" s="23" t="s">
        <v>425</v>
      </c>
      <c r="G153" s="47" t="s">
        <v>158</v>
      </c>
      <c r="H153" s="24" t="s">
        <v>833</v>
      </c>
      <c r="I153" s="23">
        <v>20</v>
      </c>
      <c r="J153" s="24" t="s">
        <v>3</v>
      </c>
      <c r="K153" s="103">
        <v>59295</v>
      </c>
      <c r="L153" s="35">
        <f t="shared" si="28"/>
        <v>1185900</v>
      </c>
      <c r="M153" s="149">
        <v>0.44999999999999996</v>
      </c>
      <c r="N153" s="152">
        <f t="shared" si="26"/>
        <v>26682.749999999996</v>
      </c>
      <c r="O153" s="149">
        <v>92.300074955567538</v>
      </c>
      <c r="P153" s="152">
        <f t="shared" si="27"/>
        <v>5472932.9444903769</v>
      </c>
    </row>
    <row r="154" spans="2:16" x14ac:dyDescent="0.2">
      <c r="B154" s="23">
        <v>143</v>
      </c>
      <c r="C154" s="23" t="s">
        <v>386</v>
      </c>
      <c r="D154" s="106">
        <v>5500784</v>
      </c>
      <c r="E154" s="24" t="s">
        <v>313</v>
      </c>
      <c r="F154" s="23" t="s">
        <v>425</v>
      </c>
      <c r="G154" s="47" t="s">
        <v>158</v>
      </c>
      <c r="H154" s="24" t="s">
        <v>834</v>
      </c>
      <c r="I154" s="23">
        <v>20</v>
      </c>
      <c r="J154" s="24" t="s">
        <v>3</v>
      </c>
      <c r="K154" s="103">
        <v>59715</v>
      </c>
      <c r="L154" s="35">
        <f t="shared" si="28"/>
        <v>1194300</v>
      </c>
      <c r="M154" s="149">
        <v>0.44999999999999996</v>
      </c>
      <c r="N154" s="152">
        <f t="shared" si="26"/>
        <v>26871.749999999996</v>
      </c>
      <c r="O154" s="149">
        <v>92.300074955567538</v>
      </c>
      <c r="P154" s="152">
        <f t="shared" si="27"/>
        <v>5511698.9759717155</v>
      </c>
    </row>
    <row r="155" spans="2:16" x14ac:dyDescent="0.2">
      <c r="B155" s="23">
        <v>144</v>
      </c>
      <c r="C155" s="23" t="s">
        <v>386</v>
      </c>
      <c r="D155" s="106">
        <v>5501180</v>
      </c>
      <c r="E155" s="24" t="s">
        <v>246</v>
      </c>
      <c r="F155" s="23" t="s">
        <v>425</v>
      </c>
      <c r="G155" s="47" t="s">
        <v>158</v>
      </c>
      <c r="H155" s="24" t="s">
        <v>835</v>
      </c>
      <c r="I155" s="23">
        <v>20</v>
      </c>
      <c r="J155" s="24" t="s">
        <v>3</v>
      </c>
      <c r="K155" s="103">
        <v>49625</v>
      </c>
      <c r="L155" s="35">
        <f t="shared" si="28"/>
        <v>992500</v>
      </c>
      <c r="M155" s="149">
        <v>0.64</v>
      </c>
      <c r="N155" s="152">
        <f t="shared" si="26"/>
        <v>31760</v>
      </c>
      <c r="O155" s="149">
        <v>152.35992084432718</v>
      </c>
      <c r="P155" s="152">
        <f t="shared" si="27"/>
        <v>7560861.0718997363</v>
      </c>
    </row>
    <row r="156" spans="2:16" x14ac:dyDescent="0.2">
      <c r="B156" s="23">
        <v>145</v>
      </c>
      <c r="C156" s="23" t="s">
        <v>386</v>
      </c>
      <c r="D156" s="106">
        <v>5002663</v>
      </c>
      <c r="E156" s="24" t="s">
        <v>739</v>
      </c>
      <c r="F156" s="23" t="s">
        <v>424</v>
      </c>
      <c r="G156" s="47" t="s">
        <v>158</v>
      </c>
      <c r="H156" s="24" t="s">
        <v>838</v>
      </c>
      <c r="I156" s="23">
        <v>10</v>
      </c>
      <c r="J156" s="24" t="s">
        <v>3</v>
      </c>
      <c r="K156" s="103">
        <v>9234</v>
      </c>
      <c r="L156" s="35">
        <f t="shared" si="28"/>
        <v>92340</v>
      </c>
      <c r="M156" s="149">
        <v>0.49708333333333332</v>
      </c>
      <c r="N156" s="152">
        <f t="shared" si="26"/>
        <v>4590.0675000000001</v>
      </c>
      <c r="O156" s="149">
        <v>219.03</v>
      </c>
      <c r="P156" s="152">
        <f t="shared" si="27"/>
        <v>2022523.02</v>
      </c>
    </row>
    <row r="157" spans="2:16" x14ac:dyDescent="0.2">
      <c r="B157" s="23">
        <v>146</v>
      </c>
      <c r="C157" s="23" t="s">
        <v>386</v>
      </c>
      <c r="D157" s="106">
        <v>5500053</v>
      </c>
      <c r="E157" s="24" t="s">
        <v>748</v>
      </c>
      <c r="F157" s="23" t="s">
        <v>425</v>
      </c>
      <c r="G157" s="47" t="s">
        <v>158</v>
      </c>
      <c r="H157" s="24" t="s">
        <v>840</v>
      </c>
      <c r="I157" s="23">
        <v>15</v>
      </c>
      <c r="J157" s="24" t="s">
        <v>3</v>
      </c>
      <c r="K157" s="103">
        <v>65908</v>
      </c>
      <c r="L157" s="35">
        <f t="shared" si="28"/>
        <v>988620</v>
      </c>
      <c r="M157" s="149">
        <v>0.44999999999999996</v>
      </c>
      <c r="N157" s="152">
        <f t="shared" si="26"/>
        <v>29658.6</v>
      </c>
      <c r="O157" s="149">
        <v>50.700333333333333</v>
      </c>
      <c r="P157" s="152">
        <f t="shared" si="27"/>
        <v>3341557.5693333335</v>
      </c>
    </row>
    <row r="158" spans="2:16" x14ac:dyDescent="0.2">
      <c r="B158" s="23">
        <v>147</v>
      </c>
      <c r="C158" s="23" t="s">
        <v>386</v>
      </c>
      <c r="D158" s="106">
        <v>5500522</v>
      </c>
      <c r="E158" s="24" t="s">
        <v>239</v>
      </c>
      <c r="F158" s="23" t="s">
        <v>425</v>
      </c>
      <c r="G158" s="47" t="s">
        <v>158</v>
      </c>
      <c r="H158" s="24" t="s">
        <v>841</v>
      </c>
      <c r="I158" s="23">
        <v>15</v>
      </c>
      <c r="J158" s="24" t="s">
        <v>3</v>
      </c>
      <c r="K158" s="103">
        <v>32020</v>
      </c>
      <c r="L158" s="35">
        <f t="shared" si="28"/>
        <v>480300</v>
      </c>
      <c r="M158" s="149">
        <v>0.4746354166666667</v>
      </c>
      <c r="N158" s="152">
        <f t="shared" si="26"/>
        <v>15197.826041666667</v>
      </c>
      <c r="O158" s="149">
        <v>144.63998321703033</v>
      </c>
      <c r="P158" s="152">
        <f t="shared" si="27"/>
        <v>4631372.2626093114</v>
      </c>
    </row>
    <row r="159" spans="2:16" x14ac:dyDescent="0.2">
      <c r="B159" s="23">
        <v>148</v>
      </c>
      <c r="C159" s="23" t="s">
        <v>386</v>
      </c>
      <c r="D159" s="106">
        <v>5500523</v>
      </c>
      <c r="E159" s="24" t="s">
        <v>312</v>
      </c>
      <c r="F159" s="23" t="s">
        <v>425</v>
      </c>
      <c r="G159" s="47" t="s">
        <v>158</v>
      </c>
      <c r="H159" s="24" t="s">
        <v>842</v>
      </c>
      <c r="I159" s="23">
        <v>15</v>
      </c>
      <c r="J159" s="24" t="s">
        <v>3</v>
      </c>
      <c r="K159" s="103">
        <v>26550</v>
      </c>
      <c r="L159" s="35">
        <f t="shared" si="28"/>
        <v>398250</v>
      </c>
      <c r="M159" s="149">
        <v>0.4746354166666667</v>
      </c>
      <c r="N159" s="152">
        <f t="shared" si="26"/>
        <v>12601.5703125</v>
      </c>
      <c r="O159" s="149">
        <v>172.12969451073985</v>
      </c>
      <c r="P159" s="152">
        <f t="shared" si="27"/>
        <v>4570043.389260143</v>
      </c>
    </row>
    <row r="160" spans="2:16" x14ac:dyDescent="0.2">
      <c r="B160" s="23">
        <v>149</v>
      </c>
      <c r="C160" s="23" t="s">
        <v>386</v>
      </c>
      <c r="D160" s="106">
        <v>5500784</v>
      </c>
      <c r="E160" s="24" t="s">
        <v>313</v>
      </c>
      <c r="F160" s="23" t="s">
        <v>425</v>
      </c>
      <c r="G160" s="47" t="s">
        <v>158</v>
      </c>
      <c r="H160" s="24" t="s">
        <v>843</v>
      </c>
      <c r="I160" s="23">
        <v>20</v>
      </c>
      <c r="J160" s="24" t="s">
        <v>3</v>
      </c>
      <c r="K160" s="103">
        <v>59115</v>
      </c>
      <c r="L160" s="35">
        <f t="shared" si="28"/>
        <v>1182300</v>
      </c>
      <c r="M160" s="149">
        <v>0.44999999999999996</v>
      </c>
      <c r="N160" s="152">
        <f t="shared" si="26"/>
        <v>26601.749999999996</v>
      </c>
      <c r="O160" s="149">
        <v>92.300074955567538</v>
      </c>
      <c r="P160" s="152">
        <f t="shared" si="27"/>
        <v>5456318.9309983747</v>
      </c>
    </row>
    <row r="161" spans="2:16" x14ac:dyDescent="0.2">
      <c r="B161" s="23">
        <v>150</v>
      </c>
      <c r="C161" s="23" t="s">
        <v>386</v>
      </c>
      <c r="D161" s="106">
        <v>5500783</v>
      </c>
      <c r="E161" s="24" t="s">
        <v>729</v>
      </c>
      <c r="F161" s="23" t="s">
        <v>425</v>
      </c>
      <c r="G161" s="47" t="s">
        <v>158</v>
      </c>
      <c r="H161" s="24" t="s">
        <v>848</v>
      </c>
      <c r="I161" s="23">
        <v>20</v>
      </c>
      <c r="J161" s="24" t="s">
        <v>3</v>
      </c>
      <c r="K161" s="103">
        <v>98798</v>
      </c>
      <c r="L161" s="35">
        <f t="shared" si="28"/>
        <v>1975960</v>
      </c>
      <c r="M161" s="149">
        <v>0.44999999999999996</v>
      </c>
      <c r="N161" s="152">
        <f t="shared" si="26"/>
        <v>44459.1</v>
      </c>
      <c r="O161" s="149">
        <v>64.360152993495291</v>
      </c>
      <c r="P161" s="152">
        <f t="shared" si="27"/>
        <v>6358654.3954513473</v>
      </c>
    </row>
    <row r="162" spans="2:16" x14ac:dyDescent="0.2">
      <c r="B162" s="23">
        <v>151</v>
      </c>
      <c r="C162" s="23" t="s">
        <v>386</v>
      </c>
      <c r="D162" s="106">
        <v>5500784</v>
      </c>
      <c r="E162" s="24" t="s">
        <v>313</v>
      </c>
      <c r="F162" s="23" t="s">
        <v>425</v>
      </c>
      <c r="G162" s="47" t="s">
        <v>158</v>
      </c>
      <c r="H162" s="24" t="s">
        <v>849</v>
      </c>
      <c r="I162" s="23">
        <v>20</v>
      </c>
      <c r="J162" s="24" t="s">
        <v>3</v>
      </c>
      <c r="K162" s="103">
        <v>59315</v>
      </c>
      <c r="L162" s="35">
        <f t="shared" si="28"/>
        <v>1186300</v>
      </c>
      <c r="M162" s="149">
        <v>0.44999999999999996</v>
      </c>
      <c r="N162" s="152">
        <f t="shared" si="26"/>
        <v>26691.749999999996</v>
      </c>
      <c r="O162" s="149">
        <v>92.300074955567538</v>
      </c>
      <c r="P162" s="152">
        <f t="shared" si="27"/>
        <v>5474778.9459894886</v>
      </c>
    </row>
    <row r="163" spans="2:16" x14ac:dyDescent="0.2">
      <c r="B163" s="23">
        <v>152</v>
      </c>
      <c r="C163" s="23" t="s">
        <v>386</v>
      </c>
      <c r="D163" s="106">
        <v>5002388</v>
      </c>
      <c r="E163" s="24" t="s">
        <v>35</v>
      </c>
      <c r="F163" s="23" t="s">
        <v>424</v>
      </c>
      <c r="G163" s="47" t="s">
        <v>158</v>
      </c>
      <c r="H163" s="24" t="s">
        <v>852</v>
      </c>
      <c r="I163" s="23">
        <v>4</v>
      </c>
      <c r="J163" s="24" t="s">
        <v>3</v>
      </c>
      <c r="K163" s="103">
        <v>294812</v>
      </c>
      <c r="L163" s="35">
        <f t="shared" si="28"/>
        <v>1179248</v>
      </c>
      <c r="M163" s="149">
        <v>0.24</v>
      </c>
      <c r="N163" s="152">
        <f t="shared" si="26"/>
        <v>70754.880000000005</v>
      </c>
      <c r="O163" s="149">
        <v>24.109966666666665</v>
      </c>
      <c r="P163" s="152">
        <f t="shared" si="27"/>
        <v>7107907.4929333329</v>
      </c>
    </row>
    <row r="164" spans="2:16" x14ac:dyDescent="0.2">
      <c r="B164" s="23">
        <v>153</v>
      </c>
      <c r="C164" s="23" t="s">
        <v>386</v>
      </c>
      <c r="D164" s="106">
        <v>5006402</v>
      </c>
      <c r="E164" s="24" t="s">
        <v>750</v>
      </c>
      <c r="F164" s="23" t="s">
        <v>424</v>
      </c>
      <c r="G164" s="47" t="s">
        <v>158</v>
      </c>
      <c r="H164" s="24" t="s">
        <v>853</v>
      </c>
      <c r="I164" s="23">
        <v>10</v>
      </c>
      <c r="J164" s="24" t="s">
        <v>3</v>
      </c>
      <c r="K164" s="103">
        <v>20934</v>
      </c>
      <c r="L164" s="35">
        <f t="shared" si="28"/>
        <v>209340</v>
      </c>
      <c r="M164" s="149">
        <v>0.34177083333333336</v>
      </c>
      <c r="N164" s="152">
        <f t="shared" si="26"/>
        <v>7154.6306250000007</v>
      </c>
      <c r="O164" s="149">
        <v>464.38333333333333</v>
      </c>
      <c r="P164" s="152">
        <f t="shared" si="27"/>
        <v>9721400.6999999993</v>
      </c>
    </row>
    <row r="165" spans="2:16" x14ac:dyDescent="0.2">
      <c r="B165" s="23">
        <v>154</v>
      </c>
      <c r="C165" s="23" t="s">
        <v>386</v>
      </c>
      <c r="D165" s="106">
        <v>5500523</v>
      </c>
      <c r="E165" s="24" t="s">
        <v>312</v>
      </c>
      <c r="F165" s="23" t="s">
        <v>425</v>
      </c>
      <c r="G165" s="47" t="s">
        <v>158</v>
      </c>
      <c r="H165" s="24" t="s">
        <v>856</v>
      </c>
      <c r="I165" s="23">
        <v>15</v>
      </c>
      <c r="J165" s="24" t="s">
        <v>3</v>
      </c>
      <c r="K165" s="103">
        <v>32320</v>
      </c>
      <c r="L165" s="35">
        <f t="shared" si="28"/>
        <v>484800</v>
      </c>
      <c r="M165" s="149">
        <v>0.4746354166666667</v>
      </c>
      <c r="N165" s="152">
        <f t="shared" si="26"/>
        <v>15340.216666666667</v>
      </c>
      <c r="O165" s="149">
        <v>172.12969451073985</v>
      </c>
      <c r="P165" s="152">
        <f t="shared" si="27"/>
        <v>5563231.7265871121</v>
      </c>
    </row>
    <row r="166" spans="2:16" x14ac:dyDescent="0.2">
      <c r="B166" s="23">
        <v>155</v>
      </c>
      <c r="C166" s="23" t="s">
        <v>386</v>
      </c>
      <c r="D166" s="106">
        <v>5500523</v>
      </c>
      <c r="E166" s="24" t="s">
        <v>312</v>
      </c>
      <c r="F166" s="23" t="s">
        <v>425</v>
      </c>
      <c r="G166" s="47" t="s">
        <v>158</v>
      </c>
      <c r="H166" s="24" t="s">
        <v>857</v>
      </c>
      <c r="I166" s="23">
        <v>15</v>
      </c>
      <c r="J166" s="24" t="s">
        <v>3</v>
      </c>
      <c r="K166" s="103">
        <v>32250</v>
      </c>
      <c r="L166" s="35">
        <f t="shared" si="28"/>
        <v>483750</v>
      </c>
      <c r="M166" s="149">
        <v>0.4746354166666667</v>
      </c>
      <c r="N166" s="152">
        <f t="shared" si="26"/>
        <v>15306.992187500002</v>
      </c>
      <c r="O166" s="149">
        <v>172.12969451073985</v>
      </c>
      <c r="P166" s="152">
        <f t="shared" si="27"/>
        <v>5551182.64797136</v>
      </c>
    </row>
    <row r="167" spans="2:16" x14ac:dyDescent="0.2">
      <c r="B167" s="23">
        <v>156</v>
      </c>
      <c r="C167" s="23" t="s">
        <v>386</v>
      </c>
      <c r="D167" s="106">
        <v>5500783</v>
      </c>
      <c r="E167" s="24" t="s">
        <v>729</v>
      </c>
      <c r="F167" s="23" t="s">
        <v>425</v>
      </c>
      <c r="G167" s="47" t="s">
        <v>158</v>
      </c>
      <c r="H167" s="24" t="s">
        <v>859</v>
      </c>
      <c r="I167" s="23">
        <v>20</v>
      </c>
      <c r="J167" s="24" t="s">
        <v>3</v>
      </c>
      <c r="K167" s="103">
        <v>98898</v>
      </c>
      <c r="L167" s="35">
        <f t="shared" si="28"/>
        <v>1977960</v>
      </c>
      <c r="M167" s="149">
        <v>0.44999999999999996</v>
      </c>
      <c r="N167" s="152">
        <f t="shared" si="26"/>
        <v>44504.1</v>
      </c>
      <c r="O167" s="149">
        <v>64.360152993495291</v>
      </c>
      <c r="P167" s="152">
        <f t="shared" si="27"/>
        <v>6365090.4107506974</v>
      </c>
    </row>
    <row r="168" spans="2:16" x14ac:dyDescent="0.2">
      <c r="B168" s="23">
        <v>157</v>
      </c>
      <c r="C168" s="23" t="s">
        <v>386</v>
      </c>
      <c r="D168" s="106">
        <v>5500784</v>
      </c>
      <c r="E168" s="24" t="s">
        <v>313</v>
      </c>
      <c r="F168" s="23" t="s">
        <v>425</v>
      </c>
      <c r="G168" s="47" t="s">
        <v>158</v>
      </c>
      <c r="H168" s="24" t="s">
        <v>860</v>
      </c>
      <c r="I168" s="23">
        <v>20</v>
      </c>
      <c r="J168" s="24" t="s">
        <v>3</v>
      </c>
      <c r="K168" s="103">
        <v>59495</v>
      </c>
      <c r="L168" s="35">
        <f t="shared" si="28"/>
        <v>1189900</v>
      </c>
      <c r="M168" s="149">
        <v>0.44999999999999996</v>
      </c>
      <c r="N168" s="152">
        <f t="shared" si="26"/>
        <v>26772.749999999996</v>
      </c>
      <c r="O168" s="149">
        <v>92.300074955567538</v>
      </c>
      <c r="P168" s="152">
        <f t="shared" si="27"/>
        <v>5491392.9594814908</v>
      </c>
    </row>
    <row r="169" spans="2:16" x14ac:dyDescent="0.2">
      <c r="B169" s="23">
        <v>158</v>
      </c>
      <c r="C169" s="23" t="s">
        <v>386</v>
      </c>
      <c r="D169" s="106">
        <v>5500053</v>
      </c>
      <c r="E169" s="24" t="s">
        <v>748</v>
      </c>
      <c r="F169" s="23" t="s">
        <v>425</v>
      </c>
      <c r="G169" s="47" t="s">
        <v>158</v>
      </c>
      <c r="H169" s="24" t="s">
        <v>863</v>
      </c>
      <c r="I169" s="23">
        <v>15</v>
      </c>
      <c r="J169" s="24" t="s">
        <v>3</v>
      </c>
      <c r="K169" s="103">
        <v>65298</v>
      </c>
      <c r="L169" s="35">
        <f t="shared" si="28"/>
        <v>979470</v>
      </c>
      <c r="M169" s="149">
        <v>0.44999999999999996</v>
      </c>
      <c r="N169" s="152">
        <f t="shared" si="26"/>
        <v>29384.1</v>
      </c>
      <c r="O169" s="149">
        <v>50.700333333333333</v>
      </c>
      <c r="P169" s="152">
        <f t="shared" si="27"/>
        <v>3310630.3659999999</v>
      </c>
    </row>
    <row r="170" spans="2:16" x14ac:dyDescent="0.2">
      <c r="B170" s="23">
        <v>159</v>
      </c>
      <c r="C170" s="23" t="s">
        <v>386</v>
      </c>
      <c r="D170" s="106">
        <v>5500783</v>
      </c>
      <c r="E170" s="24" t="s">
        <v>729</v>
      </c>
      <c r="F170" s="23" t="s">
        <v>425</v>
      </c>
      <c r="G170" s="47" t="s">
        <v>158</v>
      </c>
      <c r="H170" s="24" t="s">
        <v>867</v>
      </c>
      <c r="I170" s="23">
        <v>20</v>
      </c>
      <c r="J170" s="24" t="s">
        <v>3</v>
      </c>
      <c r="K170" s="103">
        <v>98778</v>
      </c>
      <c r="L170" s="35">
        <f t="shared" si="28"/>
        <v>1975560</v>
      </c>
      <c r="M170" s="149">
        <v>0.44999999999999996</v>
      </c>
      <c r="N170" s="152">
        <f t="shared" si="26"/>
        <v>44450.1</v>
      </c>
      <c r="O170" s="149">
        <v>64.360152993495291</v>
      </c>
      <c r="P170" s="152">
        <f t="shared" si="27"/>
        <v>6357367.1923914775</v>
      </c>
    </row>
    <row r="171" spans="2:16" x14ac:dyDescent="0.2">
      <c r="B171" s="23">
        <v>160</v>
      </c>
      <c r="C171" s="23" t="s">
        <v>386</v>
      </c>
      <c r="D171" s="106">
        <v>5500784</v>
      </c>
      <c r="E171" s="24" t="s">
        <v>313</v>
      </c>
      <c r="F171" s="23" t="s">
        <v>425</v>
      </c>
      <c r="G171" s="47" t="s">
        <v>158</v>
      </c>
      <c r="H171" s="24" t="s">
        <v>868</v>
      </c>
      <c r="I171" s="23">
        <v>20</v>
      </c>
      <c r="J171" s="24" t="s">
        <v>3</v>
      </c>
      <c r="K171" s="103">
        <v>59725</v>
      </c>
      <c r="L171" s="35">
        <f t="shared" si="28"/>
        <v>1194500</v>
      </c>
      <c r="M171" s="149">
        <v>0.44999999999999996</v>
      </c>
      <c r="N171" s="152">
        <f t="shared" si="26"/>
        <v>26876.249999999996</v>
      </c>
      <c r="O171" s="149">
        <v>92.300074955567538</v>
      </c>
      <c r="P171" s="152">
        <f t="shared" si="27"/>
        <v>5512621.9767212709</v>
      </c>
    </row>
    <row r="172" spans="2:16" x14ac:dyDescent="0.2">
      <c r="B172" s="23">
        <v>161</v>
      </c>
      <c r="C172" s="23" t="s">
        <v>386</v>
      </c>
      <c r="D172" s="106">
        <v>5501284</v>
      </c>
      <c r="E172" s="24" t="s">
        <v>375</v>
      </c>
      <c r="F172" s="23" t="s">
        <v>425</v>
      </c>
      <c r="G172" s="47" t="s">
        <v>158</v>
      </c>
      <c r="H172" s="24" t="s">
        <v>869</v>
      </c>
      <c r="I172" s="23">
        <v>20</v>
      </c>
      <c r="J172" s="24" t="s">
        <v>3</v>
      </c>
      <c r="K172" s="103">
        <v>23423</v>
      </c>
      <c r="L172" s="35">
        <f t="shared" si="28"/>
        <v>468460</v>
      </c>
      <c r="M172" s="149">
        <v>0.60750000000000004</v>
      </c>
      <c r="N172" s="152">
        <f t="shared" si="26"/>
        <v>14229.472500000002</v>
      </c>
      <c r="O172" s="149">
        <v>150.43016597510373</v>
      </c>
      <c r="P172" s="152">
        <f t="shared" si="27"/>
        <v>3523525.7776348549</v>
      </c>
    </row>
    <row r="173" spans="2:16" x14ac:dyDescent="0.2">
      <c r="B173" s="23">
        <v>162</v>
      </c>
      <c r="C173" s="23" t="s">
        <v>386</v>
      </c>
      <c r="D173" s="106">
        <v>5500783</v>
      </c>
      <c r="E173" s="24" t="s">
        <v>729</v>
      </c>
      <c r="F173" s="23" t="s">
        <v>425</v>
      </c>
      <c r="G173" s="47" t="s">
        <v>158</v>
      </c>
      <c r="H173" s="24" t="s">
        <v>877</v>
      </c>
      <c r="I173" s="23">
        <v>20</v>
      </c>
      <c r="J173" s="24" t="s">
        <v>3</v>
      </c>
      <c r="K173" s="103">
        <v>98568</v>
      </c>
      <c r="L173" s="35">
        <f t="shared" si="28"/>
        <v>1971360</v>
      </c>
      <c r="M173" s="149">
        <v>0.44999999999999996</v>
      </c>
      <c r="N173" s="152">
        <f t="shared" si="26"/>
        <v>44355.6</v>
      </c>
      <c r="O173" s="149">
        <v>64.360152993495291</v>
      </c>
      <c r="P173" s="152">
        <f t="shared" si="27"/>
        <v>6343851.560262844</v>
      </c>
    </row>
    <row r="174" spans="2:16" x14ac:dyDescent="0.2">
      <c r="B174" s="23">
        <v>163</v>
      </c>
      <c r="C174" s="23" t="s">
        <v>386</v>
      </c>
      <c r="D174" s="106">
        <v>5500784</v>
      </c>
      <c r="E174" s="24" t="s">
        <v>313</v>
      </c>
      <c r="F174" s="23" t="s">
        <v>425</v>
      </c>
      <c r="G174" s="47" t="s">
        <v>158</v>
      </c>
      <c r="H174" s="24" t="s">
        <v>878</v>
      </c>
      <c r="I174" s="23">
        <v>20</v>
      </c>
      <c r="J174" s="24" t="s">
        <v>3</v>
      </c>
      <c r="K174" s="103">
        <v>58863</v>
      </c>
      <c r="L174" s="35">
        <f t="shared" si="28"/>
        <v>1177260</v>
      </c>
      <c r="M174" s="149">
        <v>0.44999999999999996</v>
      </c>
      <c r="N174" s="152">
        <f t="shared" si="26"/>
        <v>26488.35</v>
      </c>
      <c r="O174" s="149">
        <v>92.300074955567538</v>
      </c>
      <c r="P174" s="152">
        <f t="shared" si="27"/>
        <v>5433059.3121095719</v>
      </c>
    </row>
    <row r="175" spans="2:16" x14ac:dyDescent="0.2">
      <c r="B175" s="23">
        <v>164</v>
      </c>
      <c r="C175" s="23" t="s">
        <v>386</v>
      </c>
      <c r="D175" s="106">
        <v>5501181</v>
      </c>
      <c r="E175" s="24" t="s">
        <v>247</v>
      </c>
      <c r="F175" s="23" t="s">
        <v>425</v>
      </c>
      <c r="G175" s="47" t="s">
        <v>158</v>
      </c>
      <c r="H175" s="24" t="s">
        <v>879</v>
      </c>
      <c r="I175" s="23">
        <v>20</v>
      </c>
      <c r="J175" s="24" t="s">
        <v>3</v>
      </c>
      <c r="K175" s="103">
        <v>24835</v>
      </c>
      <c r="L175" s="35">
        <f t="shared" si="28"/>
        <v>496700</v>
      </c>
      <c r="M175" s="149">
        <v>0.64</v>
      </c>
      <c r="N175" s="152">
        <f t="shared" si="26"/>
        <v>15894.4</v>
      </c>
      <c r="O175" s="149">
        <v>192.21011538461536</v>
      </c>
      <c r="P175" s="152">
        <f t="shared" si="27"/>
        <v>4773538.2155769225</v>
      </c>
    </row>
    <row r="176" spans="2:16" x14ac:dyDescent="0.2">
      <c r="B176" s="23">
        <v>165</v>
      </c>
      <c r="C176" s="23" t="s">
        <v>386</v>
      </c>
      <c r="D176" s="106">
        <v>5501285</v>
      </c>
      <c r="E176" s="24" t="s">
        <v>378</v>
      </c>
      <c r="F176" s="23" t="s">
        <v>425</v>
      </c>
      <c r="G176" s="47" t="s">
        <v>158</v>
      </c>
      <c r="H176" s="24" t="s">
        <v>880</v>
      </c>
      <c r="I176" s="23">
        <v>20</v>
      </c>
      <c r="J176" s="24" t="s">
        <v>3</v>
      </c>
      <c r="K176" s="103">
        <v>20213</v>
      </c>
      <c r="L176" s="35">
        <f t="shared" ref="L176:L207" si="29">K176*I176</f>
        <v>404260</v>
      </c>
      <c r="M176" s="149">
        <v>0.60750000000000004</v>
      </c>
      <c r="N176" s="152">
        <f t="shared" ref="N176:N208" si="30">+K176*M176</f>
        <v>12279.397500000001</v>
      </c>
      <c r="O176" s="149">
        <v>165.21099999999998</v>
      </c>
      <c r="P176" s="152">
        <f t="shared" ref="P176:P208" si="31">+K176*O176</f>
        <v>3339409.9429999995</v>
      </c>
    </row>
    <row r="177" spans="2:16" x14ac:dyDescent="0.2">
      <c r="B177" s="23">
        <v>166</v>
      </c>
      <c r="C177" s="23" t="s">
        <v>386</v>
      </c>
      <c r="D177" s="106">
        <v>5500412</v>
      </c>
      <c r="E177" s="24" t="s">
        <v>753</v>
      </c>
      <c r="F177" s="23" t="s">
        <v>425</v>
      </c>
      <c r="G177" s="47" t="s">
        <v>158</v>
      </c>
      <c r="H177" s="24" t="s">
        <v>887</v>
      </c>
      <c r="I177" s="23">
        <v>15</v>
      </c>
      <c r="J177" s="24" t="s">
        <v>65</v>
      </c>
      <c r="K177" s="103">
        <v>131661</v>
      </c>
      <c r="L177" s="35">
        <f t="shared" si="29"/>
        <v>1974915</v>
      </c>
      <c r="M177" s="149">
        <v>0.44999999999999996</v>
      </c>
      <c r="N177" s="152">
        <f t="shared" si="30"/>
        <v>59247.45</v>
      </c>
      <c r="O177" s="149">
        <v>113.14006738544475</v>
      </c>
      <c r="P177" s="152">
        <f t="shared" si="31"/>
        <v>14896134.412035041</v>
      </c>
    </row>
    <row r="178" spans="2:16" x14ac:dyDescent="0.2">
      <c r="B178" s="23">
        <v>167</v>
      </c>
      <c r="C178" s="23" t="s">
        <v>386</v>
      </c>
      <c r="D178" s="106">
        <v>5500553</v>
      </c>
      <c r="E178" s="24" t="s">
        <v>240</v>
      </c>
      <c r="F178" s="23" t="s">
        <v>425</v>
      </c>
      <c r="G178" s="47" t="s">
        <v>158</v>
      </c>
      <c r="H178" s="24" t="s">
        <v>888</v>
      </c>
      <c r="I178" s="23">
        <v>10</v>
      </c>
      <c r="J178" s="24" t="s">
        <v>3</v>
      </c>
      <c r="K178" s="103">
        <v>43255</v>
      </c>
      <c r="L178" s="35">
        <f t="shared" si="29"/>
        <v>432550</v>
      </c>
      <c r="M178" s="149">
        <v>0.34177083333333336</v>
      </c>
      <c r="N178" s="152">
        <f t="shared" si="30"/>
        <v>14783.297395833335</v>
      </c>
      <c r="O178" s="149">
        <v>75.210000000000008</v>
      </c>
      <c r="P178" s="152">
        <f t="shared" si="31"/>
        <v>3253208.5500000003</v>
      </c>
    </row>
    <row r="179" spans="2:16" x14ac:dyDescent="0.2">
      <c r="B179" s="23">
        <v>168</v>
      </c>
      <c r="C179" s="23" t="s">
        <v>386</v>
      </c>
      <c r="D179" s="106">
        <v>5500784</v>
      </c>
      <c r="E179" s="24" t="s">
        <v>313</v>
      </c>
      <c r="F179" s="23" t="s">
        <v>425</v>
      </c>
      <c r="G179" s="47" t="s">
        <v>158</v>
      </c>
      <c r="H179" s="24" t="s">
        <v>889</v>
      </c>
      <c r="I179" s="23">
        <v>20</v>
      </c>
      <c r="J179" s="24" t="s">
        <v>3</v>
      </c>
      <c r="K179" s="103">
        <v>59413</v>
      </c>
      <c r="L179" s="35">
        <f t="shared" si="29"/>
        <v>1188260</v>
      </c>
      <c r="M179" s="149">
        <v>0.44999999999999996</v>
      </c>
      <c r="N179" s="152">
        <f t="shared" si="30"/>
        <v>26735.85</v>
      </c>
      <c r="O179" s="149">
        <v>92.300074955567538</v>
      </c>
      <c r="P179" s="152">
        <f t="shared" si="31"/>
        <v>5483824.3533351338</v>
      </c>
    </row>
    <row r="180" spans="2:16" x14ac:dyDescent="0.2">
      <c r="B180" s="23">
        <v>169</v>
      </c>
      <c r="C180" s="23" t="s">
        <v>386</v>
      </c>
      <c r="D180" s="106">
        <v>5501431</v>
      </c>
      <c r="E180" s="24" t="s">
        <v>251</v>
      </c>
      <c r="F180" s="23" t="s">
        <v>425</v>
      </c>
      <c r="G180" s="47" t="s">
        <v>158</v>
      </c>
      <c r="H180" s="24" t="s">
        <v>810</v>
      </c>
      <c r="I180" s="23">
        <v>10</v>
      </c>
      <c r="J180" s="24" t="s">
        <v>3</v>
      </c>
      <c r="K180" s="103">
        <v>24730</v>
      </c>
      <c r="L180" s="35">
        <f t="shared" si="29"/>
        <v>247300</v>
      </c>
      <c r="M180" s="149">
        <v>0.34177083333333336</v>
      </c>
      <c r="N180" s="152">
        <f t="shared" si="30"/>
        <v>8451.9927083333332</v>
      </c>
      <c r="O180" s="149">
        <v>99.640028849621515</v>
      </c>
      <c r="P180" s="152">
        <f t="shared" si="31"/>
        <v>2464097.9134511403</v>
      </c>
    </row>
    <row r="181" spans="2:16" x14ac:dyDescent="0.2">
      <c r="B181" s="23">
        <v>170</v>
      </c>
      <c r="C181" s="23" t="s">
        <v>386</v>
      </c>
      <c r="D181" s="106">
        <v>5500553</v>
      </c>
      <c r="E181" s="24" t="s">
        <v>240</v>
      </c>
      <c r="F181" s="23" t="s">
        <v>425</v>
      </c>
      <c r="G181" s="47" t="s">
        <v>158</v>
      </c>
      <c r="H181" s="24" t="s">
        <v>894</v>
      </c>
      <c r="I181" s="23">
        <v>10</v>
      </c>
      <c r="J181" s="24" t="s">
        <v>3</v>
      </c>
      <c r="K181" s="103">
        <v>42815</v>
      </c>
      <c r="L181" s="35">
        <f t="shared" si="29"/>
        <v>428150</v>
      </c>
      <c r="M181" s="149">
        <v>0.34177083333333336</v>
      </c>
      <c r="N181" s="152">
        <f t="shared" si="30"/>
        <v>14632.918229166668</v>
      </c>
      <c r="O181" s="149">
        <v>75.210000000000008</v>
      </c>
      <c r="P181" s="152">
        <f t="shared" si="31"/>
        <v>3220116.1500000004</v>
      </c>
    </row>
    <row r="182" spans="2:16" x14ac:dyDescent="0.2">
      <c r="B182" s="23">
        <v>171</v>
      </c>
      <c r="C182" s="23" t="s">
        <v>386</v>
      </c>
      <c r="D182" s="106">
        <v>5500783</v>
      </c>
      <c r="E182" s="24" t="s">
        <v>729</v>
      </c>
      <c r="F182" s="23" t="s">
        <v>425</v>
      </c>
      <c r="G182" s="47" t="s">
        <v>158</v>
      </c>
      <c r="H182" s="24" t="s">
        <v>896</v>
      </c>
      <c r="I182" s="23">
        <v>20</v>
      </c>
      <c r="J182" s="24" t="s">
        <v>3</v>
      </c>
      <c r="K182" s="103">
        <v>98658</v>
      </c>
      <c r="L182" s="35">
        <f t="shared" si="29"/>
        <v>1973160</v>
      </c>
      <c r="M182" s="149">
        <v>0.44999999999999996</v>
      </c>
      <c r="N182" s="152">
        <f t="shared" si="30"/>
        <v>44396.1</v>
      </c>
      <c r="O182" s="149">
        <v>64.360152993495291</v>
      </c>
      <c r="P182" s="152">
        <f t="shared" si="31"/>
        <v>6349643.9740322586</v>
      </c>
    </row>
    <row r="183" spans="2:16" x14ac:dyDescent="0.2">
      <c r="B183" s="23">
        <v>172</v>
      </c>
      <c r="C183" s="23" t="s">
        <v>386</v>
      </c>
      <c r="D183" s="106">
        <v>5500783</v>
      </c>
      <c r="E183" s="24" t="s">
        <v>729</v>
      </c>
      <c r="F183" s="23" t="s">
        <v>425</v>
      </c>
      <c r="G183" s="47" t="s">
        <v>158</v>
      </c>
      <c r="H183" s="24" t="s">
        <v>897</v>
      </c>
      <c r="I183" s="23">
        <v>20</v>
      </c>
      <c r="J183" s="24" t="s">
        <v>3</v>
      </c>
      <c r="K183" s="103">
        <v>98898</v>
      </c>
      <c r="L183" s="35">
        <f t="shared" si="29"/>
        <v>1977960</v>
      </c>
      <c r="M183" s="149">
        <v>0.44999999999999996</v>
      </c>
      <c r="N183" s="152">
        <f t="shared" si="30"/>
        <v>44504.1</v>
      </c>
      <c r="O183" s="149">
        <v>64.360152993495291</v>
      </c>
      <c r="P183" s="152">
        <f t="shared" si="31"/>
        <v>6365090.4107506974</v>
      </c>
    </row>
    <row r="184" spans="2:16" x14ac:dyDescent="0.2">
      <c r="B184" s="23">
        <v>173</v>
      </c>
      <c r="C184" s="23" t="s">
        <v>386</v>
      </c>
      <c r="D184" s="106">
        <v>5500784</v>
      </c>
      <c r="E184" s="24" t="s">
        <v>313</v>
      </c>
      <c r="F184" s="23" t="s">
        <v>425</v>
      </c>
      <c r="G184" s="47" t="s">
        <v>158</v>
      </c>
      <c r="H184" s="24" t="s">
        <v>898</v>
      </c>
      <c r="I184" s="23">
        <v>20</v>
      </c>
      <c r="J184" s="24" t="s">
        <v>3</v>
      </c>
      <c r="K184" s="103">
        <v>59453</v>
      </c>
      <c r="L184" s="35">
        <f t="shared" si="29"/>
        <v>1189060</v>
      </c>
      <c r="M184" s="149">
        <v>0.44999999999999996</v>
      </c>
      <c r="N184" s="152">
        <f t="shared" si="30"/>
        <v>26753.85</v>
      </c>
      <c r="O184" s="149">
        <v>92.300074955567538</v>
      </c>
      <c r="P184" s="152">
        <f t="shared" si="31"/>
        <v>5487516.3563333573</v>
      </c>
    </row>
    <row r="185" spans="2:16" x14ac:dyDescent="0.2">
      <c r="B185" s="23">
        <v>174</v>
      </c>
      <c r="C185" s="23" t="s">
        <v>386</v>
      </c>
      <c r="D185" s="106">
        <v>5500783</v>
      </c>
      <c r="E185" s="24" t="s">
        <v>729</v>
      </c>
      <c r="F185" s="23" t="s">
        <v>425</v>
      </c>
      <c r="G185" s="47" t="s">
        <v>158</v>
      </c>
      <c r="H185" s="24" t="s">
        <v>905</v>
      </c>
      <c r="I185" s="23">
        <v>20</v>
      </c>
      <c r="J185" s="24" t="s">
        <v>3</v>
      </c>
      <c r="K185" s="103">
        <v>99178</v>
      </c>
      <c r="L185" s="35">
        <f t="shared" si="29"/>
        <v>1983560</v>
      </c>
      <c r="M185" s="149">
        <v>0.44999999999999996</v>
      </c>
      <c r="N185" s="152">
        <f t="shared" si="30"/>
        <v>44630.1</v>
      </c>
      <c r="O185" s="149">
        <v>64.360152993495291</v>
      </c>
      <c r="P185" s="152">
        <f t="shared" si="31"/>
        <v>6383111.2535888758</v>
      </c>
    </row>
    <row r="186" spans="2:16" x14ac:dyDescent="0.2">
      <c r="B186" s="23">
        <v>175</v>
      </c>
      <c r="C186" s="23" t="s">
        <v>386</v>
      </c>
      <c r="D186" s="106">
        <v>5500783</v>
      </c>
      <c r="E186" s="24" t="s">
        <v>729</v>
      </c>
      <c r="F186" s="23" t="s">
        <v>425</v>
      </c>
      <c r="G186" s="47" t="s">
        <v>158</v>
      </c>
      <c r="H186" s="24" t="s">
        <v>906</v>
      </c>
      <c r="I186" s="23">
        <v>20</v>
      </c>
      <c r="J186" s="24" t="s">
        <v>3</v>
      </c>
      <c r="K186" s="103">
        <v>98758</v>
      </c>
      <c r="L186" s="35">
        <f t="shared" si="29"/>
        <v>1975160</v>
      </c>
      <c r="M186" s="149">
        <v>0.44999999999999996</v>
      </c>
      <c r="N186" s="152">
        <f t="shared" si="30"/>
        <v>44441.1</v>
      </c>
      <c r="O186" s="149">
        <v>64.360152993495291</v>
      </c>
      <c r="P186" s="152">
        <f t="shared" si="31"/>
        <v>6356079.9893316077</v>
      </c>
    </row>
    <row r="187" spans="2:16" x14ac:dyDescent="0.2">
      <c r="B187" s="23">
        <v>176</v>
      </c>
      <c r="C187" s="23" t="s">
        <v>386</v>
      </c>
      <c r="D187" s="106">
        <v>5500784</v>
      </c>
      <c r="E187" s="24" t="s">
        <v>313</v>
      </c>
      <c r="F187" s="23" t="s">
        <v>425</v>
      </c>
      <c r="G187" s="47" t="s">
        <v>158</v>
      </c>
      <c r="H187" s="24" t="s">
        <v>907</v>
      </c>
      <c r="I187" s="23">
        <v>20</v>
      </c>
      <c r="J187" s="24" t="s">
        <v>3</v>
      </c>
      <c r="K187" s="103">
        <v>58665</v>
      </c>
      <c r="L187" s="35">
        <f t="shared" si="29"/>
        <v>1173300</v>
      </c>
      <c r="M187" s="149">
        <v>0.44999999999999996</v>
      </c>
      <c r="N187" s="152">
        <f t="shared" si="30"/>
        <v>26399.249999999996</v>
      </c>
      <c r="O187" s="149">
        <v>92.300074955567538</v>
      </c>
      <c r="P187" s="152">
        <f t="shared" si="31"/>
        <v>5414783.8972683698</v>
      </c>
    </row>
    <row r="188" spans="2:16" x14ac:dyDescent="0.2">
      <c r="B188" s="23">
        <v>177</v>
      </c>
      <c r="C188" s="23" t="s">
        <v>386</v>
      </c>
      <c r="D188" s="106">
        <v>5500784</v>
      </c>
      <c r="E188" s="24" t="s">
        <v>313</v>
      </c>
      <c r="F188" s="23" t="s">
        <v>425</v>
      </c>
      <c r="G188" s="47" t="s">
        <v>158</v>
      </c>
      <c r="H188" s="24" t="s">
        <v>908</v>
      </c>
      <c r="I188" s="23">
        <v>20</v>
      </c>
      <c r="J188" s="24" t="s">
        <v>3</v>
      </c>
      <c r="K188" s="103">
        <v>59225</v>
      </c>
      <c r="L188" s="35">
        <f t="shared" si="29"/>
        <v>1184500</v>
      </c>
      <c r="M188" s="149">
        <v>0.44999999999999996</v>
      </c>
      <c r="N188" s="152">
        <f t="shared" si="30"/>
        <v>26651.249999999996</v>
      </c>
      <c r="O188" s="149">
        <v>92.300074955567538</v>
      </c>
      <c r="P188" s="152">
        <f t="shared" si="31"/>
        <v>5466471.9392434871</v>
      </c>
    </row>
    <row r="189" spans="2:16" x14ac:dyDescent="0.2">
      <c r="B189" s="23">
        <v>178</v>
      </c>
      <c r="C189" s="23" t="s">
        <v>386</v>
      </c>
      <c r="D189" s="106">
        <v>5500780</v>
      </c>
      <c r="E189" s="24" t="s">
        <v>381</v>
      </c>
      <c r="F189" s="23" t="s">
        <v>425</v>
      </c>
      <c r="G189" s="47" t="s">
        <v>158</v>
      </c>
      <c r="H189" s="24" t="s">
        <v>916</v>
      </c>
      <c r="I189" s="23">
        <v>20</v>
      </c>
      <c r="J189" s="24" t="s">
        <v>3</v>
      </c>
      <c r="K189" s="103">
        <v>73103</v>
      </c>
      <c r="L189" s="35">
        <f t="shared" si="29"/>
        <v>1462060</v>
      </c>
      <c r="M189" s="149">
        <v>0.60750000000000004</v>
      </c>
      <c r="N189" s="152">
        <f t="shared" si="30"/>
        <v>44410.072500000002</v>
      </c>
      <c r="O189" s="149">
        <v>137.56999626047121</v>
      </c>
      <c r="P189" s="152">
        <f t="shared" si="31"/>
        <v>10056779.436629226</v>
      </c>
    </row>
    <row r="190" spans="2:16" x14ac:dyDescent="0.2">
      <c r="B190" s="23">
        <v>179</v>
      </c>
      <c r="C190" s="23" t="s">
        <v>386</v>
      </c>
      <c r="D190" s="106">
        <v>5501606</v>
      </c>
      <c r="E190" s="24" t="s">
        <v>388</v>
      </c>
      <c r="F190" s="23" t="s">
        <v>425</v>
      </c>
      <c r="G190" s="47" t="s">
        <v>158</v>
      </c>
      <c r="H190" s="24" t="s">
        <v>918</v>
      </c>
      <c r="I190" s="23">
        <v>15</v>
      </c>
      <c r="J190" s="24" t="s">
        <v>3</v>
      </c>
      <c r="K190" s="103">
        <v>29064</v>
      </c>
      <c r="L190" s="35">
        <f t="shared" si="29"/>
        <v>435960</v>
      </c>
      <c r="M190" s="149">
        <v>0.4746354166666667</v>
      </c>
      <c r="N190" s="152">
        <f t="shared" si="30"/>
        <v>13794.803750000001</v>
      </c>
      <c r="O190" s="149">
        <v>248.76</v>
      </c>
      <c r="P190" s="152">
        <f t="shared" si="31"/>
        <v>7229960.6399999997</v>
      </c>
    </row>
    <row r="191" spans="2:16" x14ac:dyDescent="0.2">
      <c r="B191" s="23">
        <v>180</v>
      </c>
      <c r="C191" s="23" t="s">
        <v>386</v>
      </c>
      <c r="D191" s="106">
        <v>5002552</v>
      </c>
      <c r="E191" s="24" t="s">
        <v>755</v>
      </c>
      <c r="F191" s="23" t="s">
        <v>424</v>
      </c>
      <c r="G191" s="47" t="s">
        <v>158</v>
      </c>
      <c r="H191" s="24" t="s">
        <v>920</v>
      </c>
      <c r="I191" s="23">
        <v>10</v>
      </c>
      <c r="J191" s="24" t="s">
        <v>3</v>
      </c>
      <c r="K191" s="103">
        <v>42666</v>
      </c>
      <c r="L191" s="35">
        <f t="shared" si="29"/>
        <v>426660</v>
      </c>
      <c r="M191" s="149">
        <v>0.34177083333333336</v>
      </c>
      <c r="N191" s="152">
        <f t="shared" si="30"/>
        <v>14581.994375</v>
      </c>
      <c r="O191" s="149">
        <v>43.209999999999994</v>
      </c>
      <c r="P191" s="152">
        <f t="shared" si="31"/>
        <v>1843597.8599999996</v>
      </c>
    </row>
    <row r="192" spans="2:16" x14ac:dyDescent="0.2">
      <c r="B192" s="23">
        <v>181</v>
      </c>
      <c r="C192" s="23" t="s">
        <v>386</v>
      </c>
      <c r="D192" s="106">
        <v>5500500</v>
      </c>
      <c r="E192" s="24" t="s">
        <v>238</v>
      </c>
      <c r="F192" s="23" t="s">
        <v>425</v>
      </c>
      <c r="G192" s="47" t="s">
        <v>158</v>
      </c>
      <c r="H192" s="24" t="s">
        <v>925</v>
      </c>
      <c r="I192" s="23">
        <v>15</v>
      </c>
      <c r="J192" s="24" t="s">
        <v>3</v>
      </c>
      <c r="K192" s="103">
        <v>22104</v>
      </c>
      <c r="L192" s="35">
        <f t="shared" si="29"/>
        <v>331560</v>
      </c>
      <c r="M192" s="149">
        <v>0.70760416666666659</v>
      </c>
      <c r="N192" s="152">
        <f t="shared" si="30"/>
        <v>15640.882499999998</v>
      </c>
      <c r="O192" s="149">
        <v>160.67125678774019</v>
      </c>
      <c r="P192" s="152">
        <f t="shared" si="31"/>
        <v>3551477.4600362093</v>
      </c>
    </row>
    <row r="193" spans="2:16" x14ac:dyDescent="0.2">
      <c r="B193" s="23">
        <v>182</v>
      </c>
      <c r="C193" s="23" t="s">
        <v>386</v>
      </c>
      <c r="D193" s="106">
        <v>5500787</v>
      </c>
      <c r="E193" s="24" t="s">
        <v>317</v>
      </c>
      <c r="F193" s="23" t="s">
        <v>425</v>
      </c>
      <c r="G193" s="47" t="s">
        <v>158</v>
      </c>
      <c r="H193" s="24" t="s">
        <v>926</v>
      </c>
      <c r="I193" s="23">
        <v>15</v>
      </c>
      <c r="J193" s="24" t="s">
        <v>3</v>
      </c>
      <c r="K193" s="103">
        <v>790</v>
      </c>
      <c r="L193" s="35">
        <f t="shared" si="29"/>
        <v>11850</v>
      </c>
      <c r="M193" s="149">
        <v>0.4746354166666667</v>
      </c>
      <c r="N193" s="152">
        <f t="shared" si="30"/>
        <v>374.96197916666671</v>
      </c>
      <c r="O193" s="149">
        <v>77.14</v>
      </c>
      <c r="P193" s="152">
        <f t="shared" si="31"/>
        <v>60940.6</v>
      </c>
    </row>
    <row r="194" spans="2:16" x14ac:dyDescent="0.2">
      <c r="B194" s="23">
        <v>183</v>
      </c>
      <c r="C194" s="23" t="s">
        <v>386</v>
      </c>
      <c r="D194" s="106">
        <v>5000360</v>
      </c>
      <c r="E194" s="24" t="s">
        <v>757</v>
      </c>
      <c r="F194" s="23" t="s">
        <v>424</v>
      </c>
      <c r="G194" s="47" t="s">
        <v>158</v>
      </c>
      <c r="H194" s="24" t="s">
        <v>928</v>
      </c>
      <c r="I194" s="23">
        <v>10</v>
      </c>
      <c r="J194" s="24" t="s">
        <v>3</v>
      </c>
      <c r="K194" s="103">
        <v>9645</v>
      </c>
      <c r="L194" s="35">
        <f t="shared" si="29"/>
        <v>96450</v>
      </c>
      <c r="M194" s="149">
        <v>0.3</v>
      </c>
      <c r="N194" s="152">
        <f t="shared" si="30"/>
        <v>2893.5</v>
      </c>
      <c r="O194" s="149">
        <v>178.75281666666666</v>
      </c>
      <c r="P194" s="152">
        <f t="shared" si="31"/>
        <v>1724070.9167499999</v>
      </c>
    </row>
    <row r="195" spans="2:16" x14ac:dyDescent="0.2">
      <c r="B195" s="23">
        <v>184</v>
      </c>
      <c r="C195" s="23" t="s">
        <v>386</v>
      </c>
      <c r="D195" s="106">
        <v>5500782</v>
      </c>
      <c r="E195" s="24" t="s">
        <v>243</v>
      </c>
      <c r="F195" s="23" t="s">
        <v>425</v>
      </c>
      <c r="G195" s="47" t="s">
        <v>158</v>
      </c>
      <c r="H195" s="24" t="s">
        <v>932</v>
      </c>
      <c r="I195" s="23">
        <v>20</v>
      </c>
      <c r="J195" s="24" t="s">
        <v>3</v>
      </c>
      <c r="K195" s="103">
        <v>99498</v>
      </c>
      <c r="L195" s="35">
        <f t="shared" si="29"/>
        <v>1989960</v>
      </c>
      <c r="M195" s="149">
        <v>0.44999999999999996</v>
      </c>
      <c r="N195" s="152">
        <f t="shared" si="30"/>
        <v>44774.1</v>
      </c>
      <c r="O195" s="149">
        <v>60.110011217288807</v>
      </c>
      <c r="P195" s="152">
        <f t="shared" si="31"/>
        <v>5980825.8960978016</v>
      </c>
    </row>
    <row r="196" spans="2:16" x14ac:dyDescent="0.2">
      <c r="B196" s="23">
        <v>185</v>
      </c>
      <c r="C196" s="23" t="s">
        <v>386</v>
      </c>
      <c r="D196" s="106">
        <v>5000360</v>
      </c>
      <c r="E196" s="24" t="s">
        <v>757</v>
      </c>
      <c r="F196" s="23" t="s">
        <v>424</v>
      </c>
      <c r="G196" s="47" t="s">
        <v>158</v>
      </c>
      <c r="H196" s="24" t="s">
        <v>935</v>
      </c>
      <c r="I196" s="23">
        <v>10</v>
      </c>
      <c r="J196" s="24" t="s">
        <v>3</v>
      </c>
      <c r="K196" s="103">
        <v>9543</v>
      </c>
      <c r="L196" s="35">
        <f t="shared" si="29"/>
        <v>95430</v>
      </c>
      <c r="M196" s="149">
        <v>0.3</v>
      </c>
      <c r="N196" s="152">
        <f t="shared" si="30"/>
        <v>2862.9</v>
      </c>
      <c r="O196" s="149">
        <v>178.75281666666666</v>
      </c>
      <c r="P196" s="152">
        <f t="shared" si="31"/>
        <v>1705838.1294499999</v>
      </c>
    </row>
    <row r="197" spans="2:16" x14ac:dyDescent="0.2">
      <c r="B197" s="23">
        <v>186</v>
      </c>
      <c r="C197" s="23" t="s">
        <v>386</v>
      </c>
      <c r="D197" s="106">
        <v>5002552</v>
      </c>
      <c r="E197" s="24" t="s">
        <v>755</v>
      </c>
      <c r="F197" s="23" t="s">
        <v>424</v>
      </c>
      <c r="G197" s="47" t="s">
        <v>158</v>
      </c>
      <c r="H197" s="24" t="s">
        <v>937</v>
      </c>
      <c r="I197" s="23">
        <v>10</v>
      </c>
      <c r="J197" s="24" t="s">
        <v>3</v>
      </c>
      <c r="K197" s="103">
        <v>43335</v>
      </c>
      <c r="L197" s="35">
        <f t="shared" si="29"/>
        <v>433350</v>
      </c>
      <c r="M197" s="149">
        <v>0.34177083333333336</v>
      </c>
      <c r="N197" s="152">
        <f t="shared" si="30"/>
        <v>14810.6390625</v>
      </c>
      <c r="O197" s="149">
        <v>43.209999999999994</v>
      </c>
      <c r="P197" s="152">
        <f t="shared" si="31"/>
        <v>1872505.3499999996</v>
      </c>
    </row>
    <row r="198" spans="2:16" x14ac:dyDescent="0.2">
      <c r="B198" s="23">
        <v>187</v>
      </c>
      <c r="C198" s="23" t="s">
        <v>386</v>
      </c>
      <c r="D198" s="106">
        <v>5002661</v>
      </c>
      <c r="E198" s="24" t="s">
        <v>311</v>
      </c>
      <c r="F198" s="23" t="s">
        <v>424</v>
      </c>
      <c r="G198" s="47" t="s">
        <v>158</v>
      </c>
      <c r="H198" s="24" t="s">
        <v>938</v>
      </c>
      <c r="I198" s="23">
        <v>10</v>
      </c>
      <c r="J198" s="24" t="s">
        <v>3</v>
      </c>
      <c r="K198" s="103">
        <v>9732</v>
      </c>
      <c r="L198" s="35">
        <f t="shared" si="29"/>
        <v>97320</v>
      </c>
      <c r="M198" s="149">
        <v>0.34177083333333336</v>
      </c>
      <c r="N198" s="152">
        <f t="shared" si="30"/>
        <v>3326.1137500000004</v>
      </c>
      <c r="O198" s="149">
        <v>241.13166666666663</v>
      </c>
      <c r="P198" s="152">
        <f t="shared" si="31"/>
        <v>2346693.38</v>
      </c>
    </row>
    <row r="199" spans="2:16" x14ac:dyDescent="0.2">
      <c r="B199" s="23">
        <v>188</v>
      </c>
      <c r="C199" s="23" t="s">
        <v>386</v>
      </c>
      <c r="D199" s="106">
        <v>5006402</v>
      </c>
      <c r="E199" s="24" t="s">
        <v>750</v>
      </c>
      <c r="F199" s="23" t="s">
        <v>424</v>
      </c>
      <c r="G199" s="47" t="s">
        <v>158</v>
      </c>
      <c r="H199" s="24" t="s">
        <v>939</v>
      </c>
      <c r="I199" s="23">
        <v>10</v>
      </c>
      <c r="J199" s="24" t="s">
        <v>3</v>
      </c>
      <c r="K199" s="103">
        <v>22827</v>
      </c>
      <c r="L199" s="35">
        <f t="shared" si="29"/>
        <v>228270</v>
      </c>
      <c r="M199" s="149">
        <v>0.34177083333333336</v>
      </c>
      <c r="N199" s="152">
        <f t="shared" si="30"/>
        <v>7801.6028125000003</v>
      </c>
      <c r="O199" s="149">
        <v>464.38333333333333</v>
      </c>
      <c r="P199" s="152">
        <f t="shared" si="31"/>
        <v>10600478.35</v>
      </c>
    </row>
    <row r="200" spans="2:16" x14ac:dyDescent="0.2">
      <c r="B200" s="23">
        <v>189</v>
      </c>
      <c r="C200" s="23" t="s">
        <v>386</v>
      </c>
      <c r="D200" s="106">
        <v>5500788</v>
      </c>
      <c r="E200" s="24" t="s">
        <v>244</v>
      </c>
      <c r="F200" s="23" t="s">
        <v>425</v>
      </c>
      <c r="G200" s="47" t="s">
        <v>158</v>
      </c>
      <c r="H200" s="24" t="s">
        <v>940</v>
      </c>
      <c r="I200" s="23">
        <v>15</v>
      </c>
      <c r="J200" s="24" t="s">
        <v>3</v>
      </c>
      <c r="K200" s="103">
        <v>8190</v>
      </c>
      <c r="L200" s="35">
        <f t="shared" si="29"/>
        <v>122850</v>
      </c>
      <c r="M200" s="149">
        <v>0.47619791666666672</v>
      </c>
      <c r="N200" s="152">
        <f t="shared" si="30"/>
        <v>3900.0609375000004</v>
      </c>
      <c r="O200" s="149">
        <v>137.57011989795939</v>
      </c>
      <c r="P200" s="152">
        <f t="shared" si="31"/>
        <v>1126699.2819642874</v>
      </c>
    </row>
    <row r="201" spans="2:16" x14ac:dyDescent="0.2">
      <c r="B201" s="23">
        <v>190</v>
      </c>
      <c r="C201" s="23" t="s">
        <v>386</v>
      </c>
      <c r="D201" s="106">
        <v>5002551</v>
      </c>
      <c r="E201" s="24" t="s">
        <v>763</v>
      </c>
      <c r="F201" s="23" t="s">
        <v>424</v>
      </c>
      <c r="G201" s="47" t="s">
        <v>158</v>
      </c>
      <c r="H201" s="24" t="s">
        <v>945</v>
      </c>
      <c r="I201" s="23">
        <v>10</v>
      </c>
      <c r="J201" s="24" t="s">
        <v>3</v>
      </c>
      <c r="K201" s="103">
        <v>44556</v>
      </c>
      <c r="L201" s="35">
        <f t="shared" si="29"/>
        <v>445560</v>
      </c>
      <c r="M201" s="149">
        <v>0.34177083333333336</v>
      </c>
      <c r="N201" s="152">
        <f t="shared" si="30"/>
        <v>15227.941250000002</v>
      </c>
      <c r="O201" s="149">
        <v>58.855000000000004</v>
      </c>
      <c r="P201" s="152">
        <f t="shared" si="31"/>
        <v>2622343.3800000004</v>
      </c>
    </row>
    <row r="202" spans="2:16" x14ac:dyDescent="0.2">
      <c r="B202" s="23">
        <v>191</v>
      </c>
      <c r="C202" s="23" t="s">
        <v>386</v>
      </c>
      <c r="D202" s="106">
        <v>5002660</v>
      </c>
      <c r="E202" s="24" t="s">
        <v>315</v>
      </c>
      <c r="F202" s="23" t="s">
        <v>424</v>
      </c>
      <c r="G202" s="47" t="s">
        <v>158</v>
      </c>
      <c r="H202" s="24" t="s">
        <v>946</v>
      </c>
      <c r="I202" s="23">
        <v>10</v>
      </c>
      <c r="J202" s="24" t="s">
        <v>3</v>
      </c>
      <c r="K202" s="103">
        <v>9672</v>
      </c>
      <c r="L202" s="35">
        <f t="shared" si="29"/>
        <v>96720</v>
      </c>
      <c r="M202" s="149">
        <v>0.34177083333333336</v>
      </c>
      <c r="N202" s="152">
        <f t="shared" si="30"/>
        <v>3305.6075000000001</v>
      </c>
      <c r="O202" s="149">
        <v>197.17666666666668</v>
      </c>
      <c r="P202" s="152">
        <f t="shared" si="31"/>
        <v>1907092.7200000002</v>
      </c>
    </row>
    <row r="203" spans="2:16" x14ac:dyDescent="0.2">
      <c r="B203" s="23">
        <v>192</v>
      </c>
      <c r="C203" s="23" t="s">
        <v>386</v>
      </c>
      <c r="D203" s="106">
        <v>5002661</v>
      </c>
      <c r="E203" s="24" t="s">
        <v>311</v>
      </c>
      <c r="F203" s="23" t="s">
        <v>424</v>
      </c>
      <c r="G203" s="47" t="s">
        <v>158</v>
      </c>
      <c r="H203" s="24" t="s">
        <v>947</v>
      </c>
      <c r="I203" s="23">
        <v>10</v>
      </c>
      <c r="J203" s="24" t="s">
        <v>3</v>
      </c>
      <c r="K203" s="103">
        <v>9612</v>
      </c>
      <c r="L203" s="35">
        <f t="shared" si="29"/>
        <v>96120</v>
      </c>
      <c r="M203" s="149">
        <v>0.34177083333333336</v>
      </c>
      <c r="N203" s="152">
        <f t="shared" si="30"/>
        <v>3285.1012500000002</v>
      </c>
      <c r="O203" s="149">
        <v>241.13166666666663</v>
      </c>
      <c r="P203" s="152">
        <f t="shared" si="31"/>
        <v>2317757.5799999996</v>
      </c>
    </row>
    <row r="204" spans="2:16" x14ac:dyDescent="0.2">
      <c r="B204" s="23">
        <v>193</v>
      </c>
      <c r="C204" s="23" t="s">
        <v>386</v>
      </c>
      <c r="D204" s="106">
        <v>5003717</v>
      </c>
      <c r="E204" s="24" t="s">
        <v>764</v>
      </c>
      <c r="F204" s="23" t="s">
        <v>424</v>
      </c>
      <c r="G204" s="47" t="s">
        <v>158</v>
      </c>
      <c r="H204" s="24" t="s">
        <v>948</v>
      </c>
      <c r="I204" s="23">
        <v>10</v>
      </c>
      <c r="J204" s="24" t="s">
        <v>3</v>
      </c>
      <c r="K204" s="103">
        <v>9405</v>
      </c>
      <c r="L204" s="35">
        <f t="shared" si="29"/>
        <v>94050</v>
      </c>
      <c r="M204" s="149">
        <v>0.40052083333333333</v>
      </c>
      <c r="N204" s="152">
        <f t="shared" si="30"/>
        <v>3766.8984375</v>
      </c>
      <c r="O204" s="149">
        <v>167.87333333333333</v>
      </c>
      <c r="P204" s="152">
        <f t="shared" si="31"/>
        <v>1578848.7</v>
      </c>
    </row>
    <row r="205" spans="2:16" x14ac:dyDescent="0.2">
      <c r="B205" s="23">
        <v>194</v>
      </c>
      <c r="C205" s="23" t="s">
        <v>386</v>
      </c>
      <c r="D205" s="106">
        <v>5006402</v>
      </c>
      <c r="E205" s="24" t="s">
        <v>750</v>
      </c>
      <c r="F205" s="23" t="s">
        <v>424</v>
      </c>
      <c r="G205" s="47" t="s">
        <v>158</v>
      </c>
      <c r="H205" s="24" t="s">
        <v>949</v>
      </c>
      <c r="I205" s="23">
        <v>10</v>
      </c>
      <c r="J205" s="24" t="s">
        <v>3</v>
      </c>
      <c r="K205" s="103">
        <v>21414</v>
      </c>
      <c r="L205" s="35">
        <f t="shared" si="29"/>
        <v>214140</v>
      </c>
      <c r="M205" s="149">
        <v>0.34177083333333336</v>
      </c>
      <c r="N205" s="152">
        <f t="shared" si="30"/>
        <v>7318.6806250000009</v>
      </c>
      <c r="O205" s="149">
        <v>464.38333333333333</v>
      </c>
      <c r="P205" s="152">
        <f t="shared" si="31"/>
        <v>9944304.6999999993</v>
      </c>
    </row>
    <row r="206" spans="2:16" x14ac:dyDescent="0.2">
      <c r="B206" s="23">
        <v>195</v>
      </c>
      <c r="C206" s="23" t="s">
        <v>386</v>
      </c>
      <c r="D206" s="106">
        <v>5500782</v>
      </c>
      <c r="E206" s="24" t="s">
        <v>243</v>
      </c>
      <c r="F206" s="23" t="s">
        <v>425</v>
      </c>
      <c r="G206" s="47" t="s">
        <v>158</v>
      </c>
      <c r="H206" s="24" t="s">
        <v>951</v>
      </c>
      <c r="I206" s="23">
        <v>20</v>
      </c>
      <c r="J206" s="24" t="s">
        <v>3</v>
      </c>
      <c r="K206" s="103">
        <v>98298</v>
      </c>
      <c r="L206" s="35">
        <f t="shared" si="29"/>
        <v>1965960</v>
      </c>
      <c r="M206" s="149">
        <v>0.44999999999999996</v>
      </c>
      <c r="N206" s="152">
        <f t="shared" si="30"/>
        <v>44234.1</v>
      </c>
      <c r="O206" s="149">
        <v>60.110011217288807</v>
      </c>
      <c r="P206" s="152">
        <f t="shared" si="31"/>
        <v>5908693.8826370556</v>
      </c>
    </row>
    <row r="207" spans="2:16" x14ac:dyDescent="0.2">
      <c r="B207" s="23">
        <v>196</v>
      </c>
      <c r="C207" s="23" t="s">
        <v>386</v>
      </c>
      <c r="D207" s="106">
        <v>5003854</v>
      </c>
      <c r="E207" s="24" t="s">
        <v>373</v>
      </c>
      <c r="F207" s="23" t="s">
        <v>424</v>
      </c>
      <c r="G207" s="47" t="s">
        <v>158</v>
      </c>
      <c r="H207" s="24" t="s">
        <v>385</v>
      </c>
      <c r="I207" s="23">
        <v>10</v>
      </c>
      <c r="J207" s="24" t="s">
        <v>3</v>
      </c>
      <c r="K207" s="103">
        <v>5230</v>
      </c>
      <c r="L207" s="35">
        <f t="shared" si="29"/>
        <v>52300</v>
      </c>
      <c r="M207" s="149">
        <v>0.29395833333333332</v>
      </c>
      <c r="N207" s="152">
        <f t="shared" si="30"/>
        <v>1537.4020833333332</v>
      </c>
      <c r="O207" s="149">
        <v>0</v>
      </c>
      <c r="P207" s="152">
        <f t="shared" si="31"/>
        <v>0</v>
      </c>
    </row>
    <row r="208" spans="2:16" x14ac:dyDescent="0.2">
      <c r="B208" s="23">
        <v>197</v>
      </c>
      <c r="C208" s="23" t="s">
        <v>386</v>
      </c>
      <c r="D208" s="106">
        <v>5006401</v>
      </c>
      <c r="E208" s="24" t="s">
        <v>374</v>
      </c>
      <c r="F208" s="23" t="s">
        <v>424</v>
      </c>
      <c r="G208" s="47" t="s">
        <v>158</v>
      </c>
      <c r="H208" s="24" t="s">
        <v>954</v>
      </c>
      <c r="I208" s="23">
        <v>10</v>
      </c>
      <c r="J208" s="24" t="s">
        <v>3</v>
      </c>
      <c r="K208" s="103">
        <v>14823</v>
      </c>
      <c r="L208" s="35">
        <f t="shared" ref="L208" si="32">K208*I208</f>
        <v>148230</v>
      </c>
      <c r="M208" s="149">
        <v>0.34177083333333336</v>
      </c>
      <c r="N208" s="152">
        <f t="shared" si="30"/>
        <v>5066.0690625000007</v>
      </c>
      <c r="O208" s="149">
        <v>0</v>
      </c>
      <c r="P208" s="152">
        <f t="shared" si="31"/>
        <v>0</v>
      </c>
    </row>
    <row r="209" spans="2:16" x14ac:dyDescent="0.2">
      <c r="B209" s="26"/>
      <c r="C209" s="69"/>
      <c r="D209" s="26"/>
      <c r="E209" s="26"/>
      <c r="F209" s="70"/>
      <c r="G209" s="70"/>
      <c r="H209" s="70"/>
      <c r="I209" s="69"/>
      <c r="J209" s="69"/>
      <c r="K209" s="71">
        <f>SUM(K112:K208)</f>
        <v>4821723</v>
      </c>
      <c r="L209" s="71">
        <f>SUM(L112:L208)</f>
        <v>82047376</v>
      </c>
      <c r="M209" s="150"/>
      <c r="N209" s="153">
        <f t="shared" ref="N209:P209" si="33">SUM(N112:N208)</f>
        <v>2125377.6381779336</v>
      </c>
      <c r="O209" s="150"/>
      <c r="P209" s="153">
        <f t="shared" si="33"/>
        <v>429475779.83434224</v>
      </c>
    </row>
    <row r="211" spans="2:16" x14ac:dyDescent="0.2">
      <c r="J211" s="67" t="s">
        <v>197</v>
      </c>
      <c r="K211" s="68">
        <f>K209+K111+K108+K105+K101+K68+K49+K15</f>
        <v>7492485</v>
      </c>
      <c r="L211" s="68">
        <f>L209+L111+L108+L105+L101+L68+L49+L15</f>
        <v>88825668</v>
      </c>
      <c r="M211" s="137"/>
      <c r="N211" s="143">
        <f t="shared" ref="N211:P211" si="34">N209+N111+N108+N105+N101+N68+N49+N15</f>
        <v>5759001.0002399636</v>
      </c>
      <c r="O211" s="137"/>
      <c r="P211" s="143">
        <f t="shared" si="34"/>
        <v>716594088.87848687</v>
      </c>
    </row>
  </sheetData>
  <autoFilter ref="B4:P211"/>
  <sortState ref="B5:L208">
    <sortCondition ref="G5:G208"/>
  </sortState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P51"/>
  <sheetViews>
    <sheetView topLeftCell="A5" zoomScaleNormal="100" workbookViewId="0">
      <selection activeCell="G5" sqref="B2:P49"/>
    </sheetView>
  </sheetViews>
  <sheetFormatPr defaultRowHeight="12" x14ac:dyDescent="0.2"/>
  <cols>
    <col min="1" max="1" width="5.7109375" style="24" customWidth="1"/>
    <col min="2" max="2" width="9.140625" style="24"/>
    <col min="3" max="3" width="4.5703125" style="23" bestFit="1" customWidth="1"/>
    <col min="4" max="4" width="10.7109375" style="23" bestFit="1" customWidth="1"/>
    <col min="5" max="5" width="34.85546875" style="24" bestFit="1" customWidth="1"/>
    <col min="6" max="6" width="11.7109375" style="34" bestFit="1" customWidth="1"/>
    <col min="7" max="7" width="11" style="34" bestFit="1" customWidth="1"/>
    <col min="8" max="8" width="7.7109375" style="23" bestFit="1" customWidth="1"/>
    <col min="9" max="9" width="7.42578125" style="23" bestFit="1" customWidth="1"/>
    <col min="10" max="10" width="4.5703125" style="23" bestFit="1" customWidth="1"/>
    <col min="11" max="11" width="15.5703125" style="35" bestFit="1" customWidth="1"/>
    <col min="12" max="12" width="9.85546875" style="25" bestFit="1" customWidth="1"/>
    <col min="13" max="13" width="10" style="133" bestFit="1" customWidth="1"/>
    <col min="14" max="14" width="11.28515625" style="139" bestFit="1" customWidth="1"/>
    <col min="15" max="15" width="10" style="133" bestFit="1" customWidth="1"/>
    <col min="16" max="16" width="14.42578125" style="139" bestFit="1" customWidth="1"/>
    <col min="17" max="16384" width="9.140625" style="24"/>
  </cols>
  <sheetData>
    <row r="1" spans="2:16" ht="19.5" customHeight="1" x14ac:dyDescent="0.2"/>
    <row r="2" spans="2:16" x14ac:dyDescent="0.2">
      <c r="B2" s="18" t="s">
        <v>201</v>
      </c>
      <c r="C2" s="27"/>
      <c r="D2" s="28"/>
      <c r="E2" s="29"/>
      <c r="F2" s="29"/>
      <c r="G2" s="29"/>
      <c r="H2" s="28"/>
      <c r="I2" s="28"/>
      <c r="J2" s="28"/>
      <c r="K2" s="38"/>
      <c r="L2" s="30"/>
      <c r="M2" s="132"/>
      <c r="N2" s="138"/>
      <c r="O2" s="132"/>
      <c r="P2" s="138"/>
    </row>
    <row r="3" spans="2:16" x14ac:dyDescent="0.2">
      <c r="B3" s="18" t="s">
        <v>428</v>
      </c>
      <c r="C3" s="27"/>
      <c r="D3" s="28"/>
      <c r="E3" s="29"/>
      <c r="F3" s="29"/>
      <c r="G3" s="29"/>
      <c r="H3" s="28"/>
      <c r="I3" s="28"/>
      <c r="J3" s="28"/>
      <c r="K3" s="31" t="s">
        <v>169</v>
      </c>
      <c r="L3" s="30"/>
      <c r="M3" s="132"/>
      <c r="N3" s="138"/>
      <c r="O3" s="132"/>
      <c r="P3" s="138"/>
    </row>
    <row r="4" spans="2:16" x14ac:dyDescent="0.2">
      <c r="B4" s="32" t="s">
        <v>168</v>
      </c>
      <c r="C4" s="32" t="s">
        <v>196</v>
      </c>
      <c r="D4" s="32" t="s">
        <v>118</v>
      </c>
      <c r="E4" s="20" t="s">
        <v>115</v>
      </c>
      <c r="F4" s="105" t="s">
        <v>423</v>
      </c>
      <c r="G4" s="19" t="s">
        <v>119</v>
      </c>
      <c r="H4" s="19" t="s">
        <v>297</v>
      </c>
      <c r="I4" s="20" t="s">
        <v>172</v>
      </c>
      <c r="J4" s="19" t="s">
        <v>120</v>
      </c>
      <c r="K4" s="42" t="s">
        <v>170</v>
      </c>
      <c r="L4" s="33" t="s">
        <v>173</v>
      </c>
      <c r="M4" s="130" t="s">
        <v>1486</v>
      </c>
      <c r="N4" s="131" t="s">
        <v>1487</v>
      </c>
      <c r="O4" s="130" t="s">
        <v>1488</v>
      </c>
      <c r="P4" s="131" t="s">
        <v>1482</v>
      </c>
    </row>
    <row r="5" spans="2:16" x14ac:dyDescent="0.2">
      <c r="B5" s="23">
        <v>1</v>
      </c>
      <c r="C5" s="24" t="s">
        <v>958</v>
      </c>
      <c r="D5" s="106">
        <v>5001041</v>
      </c>
      <c r="E5" s="24" t="s">
        <v>437</v>
      </c>
      <c r="F5" s="23" t="s">
        <v>424</v>
      </c>
      <c r="G5" s="29" t="s">
        <v>159</v>
      </c>
      <c r="H5" s="24" t="s">
        <v>970</v>
      </c>
      <c r="I5" s="23">
        <v>10</v>
      </c>
      <c r="J5" s="24" t="s">
        <v>3</v>
      </c>
      <c r="K5" s="103">
        <v>44754</v>
      </c>
      <c r="L5" s="25">
        <f>K5*I5</f>
        <v>447540</v>
      </c>
      <c r="M5" s="133">
        <v>0.74520408163265306</v>
      </c>
      <c r="N5" s="139">
        <f>+K5*M5</f>
        <v>33350.863469387754</v>
      </c>
      <c r="O5" s="133">
        <v>47.143599999999985</v>
      </c>
      <c r="P5" s="139">
        <f>+K5*O5</f>
        <v>2109864.6743999994</v>
      </c>
    </row>
    <row r="6" spans="2:16" x14ac:dyDescent="0.2">
      <c r="B6" s="23">
        <v>2</v>
      </c>
      <c r="C6" s="24" t="s">
        <v>958</v>
      </c>
      <c r="D6" s="106">
        <v>5001041</v>
      </c>
      <c r="E6" s="24" t="s">
        <v>437</v>
      </c>
      <c r="F6" s="23" t="s">
        <v>424</v>
      </c>
      <c r="G6" s="29" t="s">
        <v>159</v>
      </c>
      <c r="H6" s="24" t="s">
        <v>972</v>
      </c>
      <c r="I6" s="23">
        <v>10</v>
      </c>
      <c r="J6" s="24" t="s">
        <v>3</v>
      </c>
      <c r="K6" s="103">
        <v>44190</v>
      </c>
      <c r="L6" s="25">
        <f>K6*I6</f>
        <v>441900</v>
      </c>
      <c r="M6" s="133">
        <v>0.74520408163265306</v>
      </c>
      <c r="N6" s="139">
        <f t="shared" ref="N6:N8" si="0">+K6*M6</f>
        <v>32930.568367346939</v>
      </c>
      <c r="O6" s="133">
        <v>47.143599999999985</v>
      </c>
      <c r="P6" s="139">
        <f t="shared" ref="P6:P8" si="1">+K6*O6</f>
        <v>2083275.6839999994</v>
      </c>
    </row>
    <row r="7" spans="2:16" x14ac:dyDescent="0.2">
      <c r="B7" s="23">
        <v>3</v>
      </c>
      <c r="C7" s="24" t="s">
        <v>958</v>
      </c>
      <c r="D7" s="106">
        <v>5001041</v>
      </c>
      <c r="E7" s="24" t="s">
        <v>437</v>
      </c>
      <c r="F7" s="23" t="s">
        <v>424</v>
      </c>
      <c r="G7" s="29" t="s">
        <v>159</v>
      </c>
      <c r="H7" s="24" t="s">
        <v>976</v>
      </c>
      <c r="I7" s="23">
        <v>10</v>
      </c>
      <c r="J7" s="24" t="s">
        <v>3</v>
      </c>
      <c r="K7" s="103">
        <v>44052</v>
      </c>
      <c r="L7" s="25">
        <f>K7*I7</f>
        <v>440520</v>
      </c>
      <c r="M7" s="133">
        <v>0.74520408163265306</v>
      </c>
      <c r="N7" s="139">
        <f t="shared" si="0"/>
        <v>32827.730204081636</v>
      </c>
      <c r="O7" s="133">
        <v>47.143599999999985</v>
      </c>
      <c r="P7" s="139">
        <f t="shared" si="1"/>
        <v>2076769.8671999993</v>
      </c>
    </row>
    <row r="8" spans="2:16" x14ac:dyDescent="0.2">
      <c r="B8" s="23">
        <v>4</v>
      </c>
      <c r="C8" s="24" t="s">
        <v>958</v>
      </c>
      <c r="D8" s="106">
        <v>5001508</v>
      </c>
      <c r="E8" s="24" t="s">
        <v>961</v>
      </c>
      <c r="F8" s="23" t="s">
        <v>424</v>
      </c>
      <c r="G8" s="29" t="s">
        <v>159</v>
      </c>
      <c r="H8" s="24" t="s">
        <v>977</v>
      </c>
      <c r="I8" s="23">
        <v>14</v>
      </c>
      <c r="J8" s="24" t="s">
        <v>3</v>
      </c>
      <c r="K8" s="103">
        <v>21111</v>
      </c>
      <c r="L8" s="25">
        <f>K8*I8</f>
        <v>295554</v>
      </c>
      <c r="M8" s="133">
        <v>1.0134897959183673</v>
      </c>
      <c r="N8" s="139">
        <f t="shared" si="0"/>
        <v>21395.783081632653</v>
      </c>
      <c r="O8" s="133">
        <v>165.84444999999997</v>
      </c>
      <c r="P8" s="139">
        <f t="shared" si="1"/>
        <v>3501142.1839499995</v>
      </c>
    </row>
    <row r="9" spans="2:16" x14ac:dyDescent="0.2">
      <c r="B9" s="69"/>
      <c r="C9" s="26"/>
      <c r="D9" s="108"/>
      <c r="E9" s="26"/>
      <c r="F9" s="69"/>
      <c r="G9" s="77"/>
      <c r="H9" s="26"/>
      <c r="I9" s="69"/>
      <c r="J9" s="26"/>
      <c r="K9" s="104">
        <f>SUM(K5:K8)</f>
        <v>154107</v>
      </c>
      <c r="L9" s="104">
        <f>SUM(L5:L8)</f>
        <v>1625514</v>
      </c>
      <c r="M9" s="134"/>
      <c r="N9" s="140">
        <f t="shared" ref="N9:P9" si="2">SUM(N5:N8)</f>
        <v>120504.94512244899</v>
      </c>
      <c r="O9" s="134"/>
      <c r="P9" s="140">
        <f t="shared" si="2"/>
        <v>9771052.4095499981</v>
      </c>
    </row>
    <row r="10" spans="2:16" x14ac:dyDescent="0.2">
      <c r="B10" s="23">
        <v>5</v>
      </c>
      <c r="C10" s="24" t="s">
        <v>958</v>
      </c>
      <c r="D10" s="106">
        <v>5005910</v>
      </c>
      <c r="E10" s="24" t="s">
        <v>372</v>
      </c>
      <c r="F10" s="23" t="s">
        <v>424</v>
      </c>
      <c r="G10" s="47" t="s">
        <v>158</v>
      </c>
      <c r="H10" s="24" t="s">
        <v>966</v>
      </c>
      <c r="I10" s="23">
        <v>10</v>
      </c>
      <c r="J10" s="24" t="s">
        <v>3</v>
      </c>
      <c r="K10" s="103">
        <v>47480</v>
      </c>
      <c r="L10" s="25">
        <f t="shared" ref="L10:L48" si="3">K10*I10</f>
        <v>474800</v>
      </c>
      <c r="M10" s="133">
        <v>0.34</v>
      </c>
      <c r="N10" s="139">
        <f t="shared" ref="N10:N48" si="4">+K10*M10</f>
        <v>16143.2</v>
      </c>
      <c r="O10" s="133">
        <v>35.387499999999996</v>
      </c>
      <c r="P10" s="139">
        <f t="shared" ref="P10:P48" si="5">+K10*O10</f>
        <v>1680198.4999999998</v>
      </c>
    </row>
    <row r="11" spans="2:16" x14ac:dyDescent="0.2">
      <c r="B11" s="23">
        <v>6</v>
      </c>
      <c r="C11" s="24" t="s">
        <v>958</v>
      </c>
      <c r="D11" s="106">
        <v>5001391</v>
      </c>
      <c r="E11" s="24" t="s">
        <v>959</v>
      </c>
      <c r="F11" s="23" t="s">
        <v>424</v>
      </c>
      <c r="G11" s="47" t="s">
        <v>158</v>
      </c>
      <c r="H11" s="24" t="s">
        <v>967</v>
      </c>
      <c r="I11" s="23">
        <v>10</v>
      </c>
      <c r="J11" s="24" t="s">
        <v>3</v>
      </c>
      <c r="K11" s="103">
        <v>42318</v>
      </c>
      <c r="L11" s="25">
        <f t="shared" si="3"/>
        <v>423180</v>
      </c>
      <c r="M11" s="133">
        <v>0.34177083333333336</v>
      </c>
      <c r="N11" s="139">
        <f t="shared" si="4"/>
        <v>14463.058125000001</v>
      </c>
      <c r="O11" s="133">
        <v>90.724561928530079</v>
      </c>
      <c r="P11" s="139">
        <f t="shared" si="5"/>
        <v>3839282.0116915358</v>
      </c>
    </row>
    <row r="12" spans="2:16" x14ac:dyDescent="0.2">
      <c r="B12" s="23">
        <v>7</v>
      </c>
      <c r="C12" s="24" t="s">
        <v>958</v>
      </c>
      <c r="D12" s="106">
        <v>5004853</v>
      </c>
      <c r="E12" s="24" t="s">
        <v>308</v>
      </c>
      <c r="F12" s="23" t="s">
        <v>424</v>
      </c>
      <c r="G12" s="47" t="s">
        <v>158</v>
      </c>
      <c r="H12" s="24" t="s">
        <v>968</v>
      </c>
      <c r="I12" s="23">
        <v>10</v>
      </c>
      <c r="J12" s="24" t="s">
        <v>3</v>
      </c>
      <c r="K12" s="103">
        <v>51898</v>
      </c>
      <c r="L12" s="25">
        <f t="shared" si="3"/>
        <v>518980</v>
      </c>
      <c r="M12" s="133">
        <v>0.49708333333333332</v>
      </c>
      <c r="N12" s="139">
        <f t="shared" si="4"/>
        <v>25797.630833333333</v>
      </c>
      <c r="O12" s="133">
        <v>43.34458439601206</v>
      </c>
      <c r="P12" s="139">
        <f t="shared" si="5"/>
        <v>2249497.240984234</v>
      </c>
    </row>
    <row r="13" spans="2:16" x14ac:dyDescent="0.2">
      <c r="B13" s="23">
        <v>8</v>
      </c>
      <c r="C13" s="24" t="s">
        <v>958</v>
      </c>
      <c r="D13" s="106">
        <v>5001391</v>
      </c>
      <c r="E13" s="24" t="s">
        <v>959</v>
      </c>
      <c r="F13" s="23" t="s">
        <v>424</v>
      </c>
      <c r="G13" s="47" t="s">
        <v>158</v>
      </c>
      <c r="H13" s="24" t="s">
        <v>969</v>
      </c>
      <c r="I13" s="23">
        <v>10</v>
      </c>
      <c r="J13" s="24" t="s">
        <v>3</v>
      </c>
      <c r="K13" s="103">
        <v>43236</v>
      </c>
      <c r="L13" s="25">
        <f t="shared" si="3"/>
        <v>432360</v>
      </c>
      <c r="M13" s="133">
        <v>0.34177083333333336</v>
      </c>
      <c r="N13" s="139">
        <f t="shared" si="4"/>
        <v>14776.803750000001</v>
      </c>
      <c r="O13" s="133">
        <v>90.724561928530079</v>
      </c>
      <c r="P13" s="139">
        <f t="shared" si="5"/>
        <v>3922567.1595419263</v>
      </c>
    </row>
    <row r="14" spans="2:16" x14ac:dyDescent="0.2">
      <c r="B14" s="23">
        <v>9</v>
      </c>
      <c r="C14" s="24" t="s">
        <v>958</v>
      </c>
      <c r="D14" s="106">
        <v>5004853</v>
      </c>
      <c r="E14" s="24" t="s">
        <v>308</v>
      </c>
      <c r="F14" s="23" t="s">
        <v>424</v>
      </c>
      <c r="G14" s="47" t="s">
        <v>158</v>
      </c>
      <c r="H14" s="24" t="s">
        <v>971</v>
      </c>
      <c r="I14" s="23">
        <v>10</v>
      </c>
      <c r="J14" s="24" t="s">
        <v>3</v>
      </c>
      <c r="K14" s="103">
        <v>51984</v>
      </c>
      <c r="L14" s="25">
        <f t="shared" si="3"/>
        <v>519840</v>
      </c>
      <c r="M14" s="133">
        <v>0.49708333333333332</v>
      </c>
      <c r="N14" s="139">
        <f t="shared" si="4"/>
        <v>25840.38</v>
      </c>
      <c r="O14" s="133">
        <v>43.34458439601206</v>
      </c>
      <c r="P14" s="139">
        <f t="shared" si="5"/>
        <v>2253224.875242291</v>
      </c>
    </row>
    <row r="15" spans="2:16" x14ac:dyDescent="0.2">
      <c r="B15" s="23">
        <v>10</v>
      </c>
      <c r="C15" s="24" t="s">
        <v>958</v>
      </c>
      <c r="D15" s="106">
        <v>5001391</v>
      </c>
      <c r="E15" s="24" t="s">
        <v>959</v>
      </c>
      <c r="F15" s="23" t="s">
        <v>424</v>
      </c>
      <c r="G15" s="47" t="s">
        <v>158</v>
      </c>
      <c r="H15" s="24" t="s">
        <v>973</v>
      </c>
      <c r="I15" s="23">
        <v>10</v>
      </c>
      <c r="J15" s="24" t="s">
        <v>3</v>
      </c>
      <c r="K15" s="103">
        <v>42774</v>
      </c>
      <c r="L15" s="25">
        <f t="shared" si="3"/>
        <v>427740</v>
      </c>
      <c r="M15" s="133">
        <v>0.34177083333333336</v>
      </c>
      <c r="N15" s="139">
        <f t="shared" si="4"/>
        <v>14618.905625000001</v>
      </c>
      <c r="O15" s="133">
        <v>90.724561928530079</v>
      </c>
      <c r="P15" s="139">
        <f t="shared" si="5"/>
        <v>3880652.4119309457</v>
      </c>
    </row>
    <row r="16" spans="2:16" x14ac:dyDescent="0.2">
      <c r="B16" s="23">
        <v>11</v>
      </c>
      <c r="C16" s="24" t="s">
        <v>958</v>
      </c>
      <c r="D16" s="106">
        <v>5004853</v>
      </c>
      <c r="E16" s="24" t="s">
        <v>308</v>
      </c>
      <c r="F16" s="23" t="s">
        <v>424</v>
      </c>
      <c r="G16" s="47" t="s">
        <v>158</v>
      </c>
      <c r="H16" s="24" t="s">
        <v>974</v>
      </c>
      <c r="I16" s="23">
        <v>10</v>
      </c>
      <c r="J16" s="24" t="s">
        <v>3</v>
      </c>
      <c r="K16" s="103">
        <v>51662</v>
      </c>
      <c r="L16" s="25">
        <f t="shared" si="3"/>
        <v>516620</v>
      </c>
      <c r="M16" s="133">
        <v>0.49708333333333332</v>
      </c>
      <c r="N16" s="139">
        <f t="shared" si="4"/>
        <v>25680.319166666664</v>
      </c>
      <c r="O16" s="133">
        <v>43.34458439601206</v>
      </c>
      <c r="P16" s="139">
        <f t="shared" si="5"/>
        <v>2239267.9190667751</v>
      </c>
    </row>
    <row r="17" spans="2:16" x14ac:dyDescent="0.2">
      <c r="B17" s="23">
        <v>12</v>
      </c>
      <c r="C17" s="24" t="s">
        <v>958</v>
      </c>
      <c r="D17" s="106">
        <v>5004872</v>
      </c>
      <c r="E17" s="24" t="s">
        <v>960</v>
      </c>
      <c r="F17" s="23" t="s">
        <v>424</v>
      </c>
      <c r="G17" s="47" t="s">
        <v>158</v>
      </c>
      <c r="H17" s="24" t="s">
        <v>975</v>
      </c>
      <c r="I17" s="23">
        <v>10</v>
      </c>
      <c r="J17" s="24" t="s">
        <v>3</v>
      </c>
      <c r="K17" s="103">
        <v>7782</v>
      </c>
      <c r="L17" s="25">
        <f t="shared" si="3"/>
        <v>77820</v>
      </c>
      <c r="M17" s="133">
        <v>0.29395833333333332</v>
      </c>
      <c r="N17" s="139">
        <f t="shared" si="4"/>
        <v>2287.5837499999998</v>
      </c>
      <c r="O17" s="133">
        <v>0</v>
      </c>
      <c r="P17" s="139">
        <f t="shared" si="5"/>
        <v>0</v>
      </c>
    </row>
    <row r="18" spans="2:16" x14ac:dyDescent="0.2">
      <c r="B18" s="23">
        <v>13</v>
      </c>
      <c r="C18" s="24" t="s">
        <v>958</v>
      </c>
      <c r="D18" s="106">
        <v>5004853</v>
      </c>
      <c r="E18" s="24" t="s">
        <v>308</v>
      </c>
      <c r="F18" s="23" t="s">
        <v>424</v>
      </c>
      <c r="G18" s="47" t="s">
        <v>158</v>
      </c>
      <c r="H18" s="24" t="s">
        <v>978</v>
      </c>
      <c r="I18" s="23">
        <v>10</v>
      </c>
      <c r="J18" s="24" t="s">
        <v>3</v>
      </c>
      <c r="K18" s="103">
        <v>52066</v>
      </c>
      <c r="L18" s="25">
        <f t="shared" si="3"/>
        <v>520660</v>
      </c>
      <c r="M18" s="133">
        <v>0.49708333333333332</v>
      </c>
      <c r="N18" s="139">
        <f t="shared" si="4"/>
        <v>25881.140833333331</v>
      </c>
      <c r="O18" s="133">
        <v>43.34458439601206</v>
      </c>
      <c r="P18" s="139">
        <f t="shared" si="5"/>
        <v>2256779.131162764</v>
      </c>
    </row>
    <row r="19" spans="2:16" x14ac:dyDescent="0.2">
      <c r="B19" s="23">
        <v>14</v>
      </c>
      <c r="C19" s="24" t="s">
        <v>958</v>
      </c>
      <c r="D19" s="106">
        <v>5001764</v>
      </c>
      <c r="E19" s="24" t="s">
        <v>307</v>
      </c>
      <c r="F19" s="23" t="s">
        <v>424</v>
      </c>
      <c r="G19" s="47" t="s">
        <v>158</v>
      </c>
      <c r="H19" s="24" t="s">
        <v>979</v>
      </c>
      <c r="I19" s="23">
        <v>6</v>
      </c>
      <c r="J19" s="24" t="s">
        <v>3</v>
      </c>
      <c r="K19" s="103">
        <v>57448</v>
      </c>
      <c r="L19" s="25">
        <f t="shared" si="3"/>
        <v>344688</v>
      </c>
      <c r="M19" s="133">
        <v>0.33132653061224493</v>
      </c>
      <c r="N19" s="139">
        <f t="shared" si="4"/>
        <v>19034.046530612246</v>
      </c>
      <c r="O19" s="133">
        <v>78.073539902998235</v>
      </c>
      <c r="P19" s="139">
        <f t="shared" si="5"/>
        <v>4485168.7203474427</v>
      </c>
    </row>
    <row r="20" spans="2:16" x14ac:dyDescent="0.2">
      <c r="B20" s="23">
        <v>15</v>
      </c>
      <c r="C20" s="24" t="s">
        <v>958</v>
      </c>
      <c r="D20" s="106">
        <v>5001153</v>
      </c>
      <c r="E20" s="24" t="s">
        <v>350</v>
      </c>
      <c r="F20" s="23" t="s">
        <v>424</v>
      </c>
      <c r="G20" s="47" t="s">
        <v>158</v>
      </c>
      <c r="H20" s="24" t="s">
        <v>980</v>
      </c>
      <c r="I20" s="23">
        <v>15</v>
      </c>
      <c r="J20" s="24" t="s">
        <v>3</v>
      </c>
      <c r="K20" s="103">
        <v>15580</v>
      </c>
      <c r="L20" s="25">
        <f t="shared" si="3"/>
        <v>233700</v>
      </c>
      <c r="M20" s="133">
        <v>0.4746354166666667</v>
      </c>
      <c r="N20" s="139">
        <f t="shared" si="4"/>
        <v>7394.8197916666668</v>
      </c>
      <c r="O20" s="133">
        <v>204.53103787878786</v>
      </c>
      <c r="P20" s="139">
        <f t="shared" si="5"/>
        <v>3186593.5701515148</v>
      </c>
    </row>
    <row r="21" spans="2:16" x14ac:dyDescent="0.2">
      <c r="B21" s="23">
        <v>16</v>
      </c>
      <c r="C21" s="24" t="s">
        <v>958</v>
      </c>
      <c r="D21" s="106">
        <v>5004853</v>
      </c>
      <c r="E21" s="24" t="s">
        <v>308</v>
      </c>
      <c r="F21" s="23" t="s">
        <v>424</v>
      </c>
      <c r="G21" s="47" t="s">
        <v>158</v>
      </c>
      <c r="H21" s="24" t="s">
        <v>981</v>
      </c>
      <c r="I21" s="23">
        <v>10</v>
      </c>
      <c r="J21" s="24" t="s">
        <v>3</v>
      </c>
      <c r="K21" s="103">
        <v>52006</v>
      </c>
      <c r="L21" s="25">
        <f t="shared" si="3"/>
        <v>520060</v>
      </c>
      <c r="M21" s="133">
        <v>0.49708333333333332</v>
      </c>
      <c r="N21" s="139">
        <f t="shared" si="4"/>
        <v>25851.315833333334</v>
      </c>
      <c r="O21" s="133">
        <v>43.34458439601206</v>
      </c>
      <c r="P21" s="139">
        <f t="shared" si="5"/>
        <v>2254178.4560990031</v>
      </c>
    </row>
    <row r="22" spans="2:16" x14ac:dyDescent="0.2">
      <c r="B22" s="23">
        <v>17</v>
      </c>
      <c r="C22" s="24" t="s">
        <v>958</v>
      </c>
      <c r="D22" s="106">
        <v>5000473</v>
      </c>
      <c r="E22" s="24" t="s">
        <v>227</v>
      </c>
      <c r="F22" s="23" t="s">
        <v>424</v>
      </c>
      <c r="G22" s="47" t="s">
        <v>158</v>
      </c>
      <c r="H22" s="24" t="s">
        <v>982</v>
      </c>
      <c r="I22" s="23">
        <v>6</v>
      </c>
      <c r="J22" s="24" t="s">
        <v>3</v>
      </c>
      <c r="K22" s="103">
        <v>115365</v>
      </c>
      <c r="L22" s="25">
        <f t="shared" si="3"/>
        <v>692190</v>
      </c>
      <c r="M22" s="133">
        <v>0.27212244897959181</v>
      </c>
      <c r="N22" s="139">
        <f t="shared" si="4"/>
        <v>31393.40632653061</v>
      </c>
      <c r="O22" s="133">
        <v>105.59122883597882</v>
      </c>
      <c r="P22" s="139">
        <f t="shared" si="5"/>
        <v>12181532.114662698</v>
      </c>
    </row>
    <row r="23" spans="2:16" x14ac:dyDescent="0.2">
      <c r="B23" s="23">
        <v>18</v>
      </c>
      <c r="C23" s="24" t="s">
        <v>958</v>
      </c>
      <c r="D23" s="106">
        <v>5000586</v>
      </c>
      <c r="E23" s="24" t="s">
        <v>962</v>
      </c>
      <c r="F23" s="23" t="s">
        <v>424</v>
      </c>
      <c r="G23" s="47" t="s">
        <v>158</v>
      </c>
      <c r="H23" s="24" t="s">
        <v>983</v>
      </c>
      <c r="I23" s="23">
        <v>10</v>
      </c>
      <c r="J23" s="24" t="s">
        <v>3</v>
      </c>
      <c r="K23" s="103">
        <v>43344</v>
      </c>
      <c r="L23" s="25">
        <f t="shared" si="3"/>
        <v>433440</v>
      </c>
      <c r="M23" s="133">
        <v>0.2879591836734694</v>
      </c>
      <c r="N23" s="139">
        <f t="shared" si="4"/>
        <v>12481.302857142857</v>
      </c>
      <c r="O23" s="133">
        <v>134.13476666666665</v>
      </c>
      <c r="P23" s="139">
        <f t="shared" si="5"/>
        <v>5813937.3263999997</v>
      </c>
    </row>
    <row r="24" spans="2:16" x14ac:dyDescent="0.2">
      <c r="B24" s="23">
        <v>19</v>
      </c>
      <c r="C24" s="24" t="s">
        <v>958</v>
      </c>
      <c r="D24" s="106">
        <v>5001764</v>
      </c>
      <c r="E24" s="24" t="s">
        <v>307</v>
      </c>
      <c r="F24" s="23" t="s">
        <v>424</v>
      </c>
      <c r="G24" s="47" t="s">
        <v>158</v>
      </c>
      <c r="H24" s="24" t="s">
        <v>984</v>
      </c>
      <c r="I24" s="23">
        <v>6</v>
      </c>
      <c r="J24" s="24" t="s">
        <v>3</v>
      </c>
      <c r="K24" s="103">
        <v>57174</v>
      </c>
      <c r="L24" s="25">
        <f t="shared" si="3"/>
        <v>343044</v>
      </c>
      <c r="M24" s="133">
        <v>0.33132653061224493</v>
      </c>
      <c r="N24" s="139">
        <f t="shared" si="4"/>
        <v>18943.26306122449</v>
      </c>
      <c r="O24" s="133">
        <v>78.073539902998235</v>
      </c>
      <c r="P24" s="139">
        <f t="shared" si="5"/>
        <v>4463776.5704140207</v>
      </c>
    </row>
    <row r="25" spans="2:16" x14ac:dyDescent="0.2">
      <c r="B25" s="23">
        <v>20</v>
      </c>
      <c r="C25" s="24" t="s">
        <v>958</v>
      </c>
      <c r="D25" s="106">
        <v>5001951</v>
      </c>
      <c r="E25" s="24" t="s">
        <v>963</v>
      </c>
      <c r="F25" s="23" t="s">
        <v>424</v>
      </c>
      <c r="G25" s="47" t="s">
        <v>158</v>
      </c>
      <c r="H25" s="24" t="s">
        <v>985</v>
      </c>
      <c r="I25" s="23">
        <v>6</v>
      </c>
      <c r="J25" s="24" t="s">
        <v>3</v>
      </c>
      <c r="K25" s="103">
        <v>114516</v>
      </c>
      <c r="L25" s="25">
        <f t="shared" si="3"/>
        <v>687096</v>
      </c>
      <c r="M25" s="133">
        <v>0.27212244897959181</v>
      </c>
      <c r="N25" s="139">
        <f t="shared" si="4"/>
        <v>31162.374367346936</v>
      </c>
      <c r="O25" s="133">
        <v>82.501299999999986</v>
      </c>
      <c r="P25" s="139">
        <f t="shared" si="5"/>
        <v>9447718.8707999978</v>
      </c>
    </row>
    <row r="26" spans="2:16" x14ac:dyDescent="0.2">
      <c r="B26" s="23">
        <v>21</v>
      </c>
      <c r="C26" s="24" t="s">
        <v>958</v>
      </c>
      <c r="D26" s="106">
        <v>5004853</v>
      </c>
      <c r="E26" s="24" t="s">
        <v>308</v>
      </c>
      <c r="F26" s="23" t="s">
        <v>424</v>
      </c>
      <c r="G26" s="47" t="s">
        <v>158</v>
      </c>
      <c r="H26" s="24" t="s">
        <v>986</v>
      </c>
      <c r="I26" s="23">
        <v>10</v>
      </c>
      <c r="J26" s="24" t="s">
        <v>3</v>
      </c>
      <c r="K26" s="103">
        <v>51946</v>
      </c>
      <c r="L26" s="25">
        <f t="shared" si="3"/>
        <v>519460</v>
      </c>
      <c r="M26" s="133">
        <v>0.49708333333333332</v>
      </c>
      <c r="N26" s="139">
        <f t="shared" si="4"/>
        <v>25821.490833333333</v>
      </c>
      <c r="O26" s="133">
        <v>43.34458439601206</v>
      </c>
      <c r="P26" s="139">
        <f t="shared" si="5"/>
        <v>2251577.7810352426</v>
      </c>
    </row>
    <row r="27" spans="2:16" x14ac:dyDescent="0.2">
      <c r="B27" s="23">
        <v>22</v>
      </c>
      <c r="C27" s="24" t="s">
        <v>958</v>
      </c>
      <c r="D27" s="106">
        <v>5002089</v>
      </c>
      <c r="E27" s="24" t="s">
        <v>964</v>
      </c>
      <c r="F27" s="23" t="s">
        <v>424</v>
      </c>
      <c r="G27" s="47" t="s">
        <v>158</v>
      </c>
      <c r="H27" s="24" t="s">
        <v>987</v>
      </c>
      <c r="I27" s="23">
        <v>6</v>
      </c>
      <c r="J27" s="24" t="s">
        <v>3</v>
      </c>
      <c r="K27" s="103">
        <v>40576</v>
      </c>
      <c r="L27" s="25">
        <f t="shared" si="3"/>
        <v>243456</v>
      </c>
      <c r="M27" s="133">
        <v>0.28966666666666668</v>
      </c>
      <c r="N27" s="139">
        <f t="shared" si="4"/>
        <v>11753.514666666668</v>
      </c>
      <c r="O27" s="133">
        <v>95.970899999999972</v>
      </c>
      <c r="P27" s="139">
        <f t="shared" si="5"/>
        <v>3894115.2383999988</v>
      </c>
    </row>
    <row r="28" spans="2:16" x14ac:dyDescent="0.2">
      <c r="B28" s="23">
        <v>23</v>
      </c>
      <c r="C28" s="24" t="s">
        <v>958</v>
      </c>
      <c r="D28" s="106">
        <v>5004853</v>
      </c>
      <c r="E28" s="24" t="s">
        <v>308</v>
      </c>
      <c r="F28" s="23" t="s">
        <v>424</v>
      </c>
      <c r="G28" s="47" t="s">
        <v>158</v>
      </c>
      <c r="H28" s="24" t="s">
        <v>988</v>
      </c>
      <c r="I28" s="23">
        <v>10</v>
      </c>
      <c r="J28" s="24" t="s">
        <v>3</v>
      </c>
      <c r="K28" s="103">
        <v>51730</v>
      </c>
      <c r="L28" s="25">
        <f t="shared" si="3"/>
        <v>517300</v>
      </c>
      <c r="M28" s="133">
        <v>0.49708333333333332</v>
      </c>
      <c r="N28" s="139">
        <f t="shared" si="4"/>
        <v>25714.120833333334</v>
      </c>
      <c r="O28" s="133">
        <v>43.34458439601206</v>
      </c>
      <c r="P28" s="139">
        <f t="shared" si="5"/>
        <v>2242215.350805704</v>
      </c>
    </row>
    <row r="29" spans="2:16" x14ac:dyDescent="0.2">
      <c r="B29" s="23">
        <v>24</v>
      </c>
      <c r="C29" s="24" t="s">
        <v>958</v>
      </c>
      <c r="D29" s="106">
        <v>5001764</v>
      </c>
      <c r="E29" s="24" t="s">
        <v>307</v>
      </c>
      <c r="F29" s="23" t="s">
        <v>424</v>
      </c>
      <c r="G29" s="47" t="s">
        <v>158</v>
      </c>
      <c r="H29" s="24" t="s">
        <v>989</v>
      </c>
      <c r="I29" s="23">
        <v>6</v>
      </c>
      <c r="J29" s="24" t="s">
        <v>3</v>
      </c>
      <c r="K29" s="103">
        <v>57451</v>
      </c>
      <c r="L29" s="25">
        <f t="shared" si="3"/>
        <v>344706</v>
      </c>
      <c r="M29" s="133">
        <v>0.33132653061224493</v>
      </c>
      <c r="N29" s="139">
        <f t="shared" si="4"/>
        <v>19035.040510204082</v>
      </c>
      <c r="O29" s="133">
        <v>78.073539902998235</v>
      </c>
      <c r="P29" s="139">
        <f t="shared" si="5"/>
        <v>4485402.9409671519</v>
      </c>
    </row>
    <row r="30" spans="2:16" x14ac:dyDescent="0.2">
      <c r="B30" s="23">
        <v>25</v>
      </c>
      <c r="C30" s="24" t="s">
        <v>958</v>
      </c>
      <c r="D30" s="106">
        <v>5000586</v>
      </c>
      <c r="E30" s="24" t="s">
        <v>962</v>
      </c>
      <c r="F30" s="23" t="s">
        <v>424</v>
      </c>
      <c r="G30" s="47" t="s">
        <v>158</v>
      </c>
      <c r="H30" s="24" t="s">
        <v>990</v>
      </c>
      <c r="I30" s="23">
        <v>10</v>
      </c>
      <c r="J30" s="24" t="s">
        <v>3</v>
      </c>
      <c r="K30" s="103">
        <v>42663</v>
      </c>
      <c r="L30" s="25">
        <f t="shared" si="3"/>
        <v>426630</v>
      </c>
      <c r="M30" s="133">
        <v>0.2879591836734694</v>
      </c>
      <c r="N30" s="139">
        <f t="shared" si="4"/>
        <v>12285.202653061226</v>
      </c>
      <c r="O30" s="133">
        <v>134.13476666666665</v>
      </c>
      <c r="P30" s="139">
        <f t="shared" si="5"/>
        <v>5722591.5502999993</v>
      </c>
    </row>
    <row r="31" spans="2:16" x14ac:dyDescent="0.2">
      <c r="B31" s="23">
        <v>26</v>
      </c>
      <c r="C31" s="24" t="s">
        <v>958</v>
      </c>
      <c r="D31" s="106">
        <v>5004853</v>
      </c>
      <c r="E31" s="24" t="s">
        <v>308</v>
      </c>
      <c r="F31" s="23" t="s">
        <v>424</v>
      </c>
      <c r="G31" s="47" t="s">
        <v>158</v>
      </c>
      <c r="H31" s="24" t="s">
        <v>991</v>
      </c>
      <c r="I31" s="23">
        <v>10</v>
      </c>
      <c r="J31" s="24" t="s">
        <v>3</v>
      </c>
      <c r="K31" s="103">
        <v>51736</v>
      </c>
      <c r="L31" s="25">
        <f t="shared" si="3"/>
        <v>517360</v>
      </c>
      <c r="M31" s="133">
        <v>0.49708333333333332</v>
      </c>
      <c r="N31" s="139">
        <f t="shared" si="4"/>
        <v>25717.103333333333</v>
      </c>
      <c r="O31" s="133">
        <v>43.34458439601206</v>
      </c>
      <c r="P31" s="139">
        <f t="shared" si="5"/>
        <v>2242475.4183120797</v>
      </c>
    </row>
    <row r="32" spans="2:16" x14ac:dyDescent="0.2">
      <c r="B32" s="23">
        <v>27</v>
      </c>
      <c r="C32" s="24" t="s">
        <v>958</v>
      </c>
      <c r="D32" s="106">
        <v>5000474</v>
      </c>
      <c r="E32" s="24" t="s">
        <v>965</v>
      </c>
      <c r="F32" s="23" t="s">
        <v>424</v>
      </c>
      <c r="G32" s="47" t="s">
        <v>158</v>
      </c>
      <c r="H32" s="24" t="s">
        <v>992</v>
      </c>
      <c r="I32" s="23">
        <v>6</v>
      </c>
      <c r="J32" s="24" t="s">
        <v>3</v>
      </c>
      <c r="K32" s="103">
        <v>76595</v>
      </c>
      <c r="L32" s="25">
        <f t="shared" si="3"/>
        <v>459570</v>
      </c>
      <c r="M32" s="133">
        <v>0.33132653061224493</v>
      </c>
      <c r="N32" s="139">
        <f t="shared" si="4"/>
        <v>25377.955612244899</v>
      </c>
      <c r="O32" s="133">
        <v>88.886442724867706</v>
      </c>
      <c r="P32" s="139">
        <f t="shared" si="5"/>
        <v>6808257.0805112422</v>
      </c>
    </row>
    <row r="33" spans="2:16" x14ac:dyDescent="0.2">
      <c r="B33" s="23">
        <v>28</v>
      </c>
      <c r="C33" s="24" t="s">
        <v>958</v>
      </c>
      <c r="D33" s="106">
        <v>5001764</v>
      </c>
      <c r="E33" s="24" t="s">
        <v>307</v>
      </c>
      <c r="F33" s="23" t="s">
        <v>424</v>
      </c>
      <c r="G33" s="47" t="s">
        <v>158</v>
      </c>
      <c r="H33" s="24" t="s">
        <v>993</v>
      </c>
      <c r="I33" s="23">
        <v>6</v>
      </c>
      <c r="J33" s="24" t="s">
        <v>3</v>
      </c>
      <c r="K33" s="103">
        <v>32528</v>
      </c>
      <c r="L33" s="25">
        <f t="shared" si="3"/>
        <v>195168</v>
      </c>
      <c r="M33" s="133">
        <v>0.33132653061224493</v>
      </c>
      <c r="N33" s="139">
        <f t="shared" si="4"/>
        <v>10777.389387755104</v>
      </c>
      <c r="O33" s="133">
        <v>78.073539902998235</v>
      </c>
      <c r="P33" s="139">
        <f t="shared" si="5"/>
        <v>2539576.1059647268</v>
      </c>
    </row>
    <row r="34" spans="2:16" x14ac:dyDescent="0.2">
      <c r="B34" s="23">
        <v>29</v>
      </c>
      <c r="C34" s="24" t="s">
        <v>958</v>
      </c>
      <c r="D34" s="106">
        <v>5001153</v>
      </c>
      <c r="E34" s="24" t="s">
        <v>350</v>
      </c>
      <c r="F34" s="23" t="s">
        <v>424</v>
      </c>
      <c r="G34" s="47" t="s">
        <v>158</v>
      </c>
      <c r="H34" s="24" t="s">
        <v>994</v>
      </c>
      <c r="I34" s="23">
        <v>15</v>
      </c>
      <c r="J34" s="24" t="s">
        <v>3</v>
      </c>
      <c r="K34" s="103">
        <v>15381</v>
      </c>
      <c r="L34" s="25">
        <f t="shared" si="3"/>
        <v>230715</v>
      </c>
      <c r="M34" s="133">
        <v>0.4746354166666667</v>
      </c>
      <c r="N34" s="139">
        <f t="shared" si="4"/>
        <v>7300.3673437500001</v>
      </c>
      <c r="O34" s="133">
        <v>204.53103787878786</v>
      </c>
      <c r="P34" s="139">
        <f t="shared" si="5"/>
        <v>3145891.893613636</v>
      </c>
    </row>
    <row r="35" spans="2:16" x14ac:dyDescent="0.2">
      <c r="B35" s="23">
        <v>30</v>
      </c>
      <c r="C35" s="24" t="s">
        <v>958</v>
      </c>
      <c r="D35" s="106">
        <v>5001270</v>
      </c>
      <c r="E35" s="24" t="s">
        <v>309</v>
      </c>
      <c r="F35" s="23" t="s">
        <v>424</v>
      </c>
      <c r="G35" s="47" t="s">
        <v>158</v>
      </c>
      <c r="H35" s="24" t="s">
        <v>995</v>
      </c>
      <c r="I35" s="23">
        <v>10</v>
      </c>
      <c r="J35" s="24" t="s">
        <v>3</v>
      </c>
      <c r="K35" s="103">
        <v>9645</v>
      </c>
      <c r="L35" s="25">
        <f t="shared" si="3"/>
        <v>96450</v>
      </c>
      <c r="M35" s="133">
        <v>0.34177083333333336</v>
      </c>
      <c r="N35" s="139">
        <f t="shared" si="4"/>
        <v>3296.3796875000003</v>
      </c>
      <c r="O35" s="133">
        <v>171.83335763888888</v>
      </c>
      <c r="P35" s="139">
        <f t="shared" si="5"/>
        <v>1657332.7344270833</v>
      </c>
    </row>
    <row r="36" spans="2:16" x14ac:dyDescent="0.2">
      <c r="B36" s="23">
        <v>31</v>
      </c>
      <c r="C36" s="24" t="s">
        <v>958</v>
      </c>
      <c r="D36" s="106">
        <v>5001764</v>
      </c>
      <c r="E36" s="24" t="s">
        <v>307</v>
      </c>
      <c r="F36" s="23" t="s">
        <v>424</v>
      </c>
      <c r="G36" s="47" t="s">
        <v>158</v>
      </c>
      <c r="H36" s="24" t="s">
        <v>996</v>
      </c>
      <c r="I36" s="23">
        <v>6</v>
      </c>
      <c r="J36" s="24" t="s">
        <v>3</v>
      </c>
      <c r="K36" s="103">
        <v>57384</v>
      </c>
      <c r="L36" s="25">
        <f t="shared" si="3"/>
        <v>344304</v>
      </c>
      <c r="M36" s="133">
        <v>0.33132653061224493</v>
      </c>
      <c r="N36" s="139">
        <f t="shared" si="4"/>
        <v>19012.841632653064</v>
      </c>
      <c r="O36" s="133">
        <v>78.073539902998235</v>
      </c>
      <c r="P36" s="139">
        <f t="shared" si="5"/>
        <v>4480172.013793651</v>
      </c>
    </row>
    <row r="37" spans="2:16" x14ac:dyDescent="0.2">
      <c r="B37" s="23">
        <v>32</v>
      </c>
      <c r="C37" s="24" t="s">
        <v>958</v>
      </c>
      <c r="D37" s="106">
        <v>5004853</v>
      </c>
      <c r="E37" s="24" t="s">
        <v>308</v>
      </c>
      <c r="F37" s="23" t="s">
        <v>424</v>
      </c>
      <c r="G37" s="47" t="s">
        <v>158</v>
      </c>
      <c r="H37" s="24" t="s">
        <v>997</v>
      </c>
      <c r="I37" s="23">
        <v>10</v>
      </c>
      <c r="J37" s="24" t="s">
        <v>3</v>
      </c>
      <c r="K37" s="103">
        <v>51826</v>
      </c>
      <c r="L37" s="25">
        <f t="shared" si="3"/>
        <v>518260</v>
      </c>
      <c r="M37" s="133">
        <v>0.49708333333333332</v>
      </c>
      <c r="N37" s="139">
        <f t="shared" si="4"/>
        <v>25761.840833333332</v>
      </c>
      <c r="O37" s="133">
        <v>43.34458439601206</v>
      </c>
      <c r="P37" s="139">
        <f t="shared" si="5"/>
        <v>2246376.4309077212</v>
      </c>
    </row>
    <row r="38" spans="2:16" x14ac:dyDescent="0.2">
      <c r="B38" s="23">
        <v>33</v>
      </c>
      <c r="C38" s="24" t="s">
        <v>958</v>
      </c>
      <c r="D38" s="106">
        <v>5000474</v>
      </c>
      <c r="E38" s="24" t="s">
        <v>965</v>
      </c>
      <c r="F38" s="23" t="s">
        <v>424</v>
      </c>
      <c r="G38" s="47" t="s">
        <v>158</v>
      </c>
      <c r="H38" s="24" t="s">
        <v>998</v>
      </c>
      <c r="I38" s="23">
        <v>6</v>
      </c>
      <c r="J38" s="24" t="s">
        <v>3</v>
      </c>
      <c r="K38" s="103">
        <v>76415</v>
      </c>
      <c r="L38" s="25">
        <f t="shared" si="3"/>
        <v>458490</v>
      </c>
      <c r="M38" s="133">
        <v>0.33132653061224493</v>
      </c>
      <c r="N38" s="139">
        <f t="shared" si="4"/>
        <v>25318.316836734695</v>
      </c>
      <c r="O38" s="133">
        <v>88.886442724867706</v>
      </c>
      <c r="P38" s="139">
        <f t="shared" si="5"/>
        <v>6792257.5208207658</v>
      </c>
    </row>
    <row r="39" spans="2:16" x14ac:dyDescent="0.2">
      <c r="B39" s="23">
        <v>34</v>
      </c>
      <c r="C39" s="24" t="s">
        <v>958</v>
      </c>
      <c r="D39" s="106">
        <v>5000269</v>
      </c>
      <c r="E39" s="24" t="s">
        <v>306</v>
      </c>
      <c r="F39" s="23" t="s">
        <v>424</v>
      </c>
      <c r="G39" s="47" t="s">
        <v>158</v>
      </c>
      <c r="H39" s="24" t="s">
        <v>999</v>
      </c>
      <c r="I39" s="23">
        <v>6</v>
      </c>
      <c r="J39" s="24" t="s">
        <v>3</v>
      </c>
      <c r="K39" s="103">
        <v>31477</v>
      </c>
      <c r="L39" s="25">
        <f t="shared" si="3"/>
        <v>188862</v>
      </c>
      <c r="M39" s="133">
        <v>0.27212244897959181</v>
      </c>
      <c r="N39" s="139">
        <f t="shared" si="4"/>
        <v>8565.5983265306113</v>
      </c>
      <c r="O39" s="133">
        <v>55.562099999999987</v>
      </c>
      <c r="P39" s="139">
        <f t="shared" si="5"/>
        <v>1748928.2216999996</v>
      </c>
    </row>
    <row r="40" spans="2:16" x14ac:dyDescent="0.2">
      <c r="B40" s="23">
        <v>35</v>
      </c>
      <c r="C40" s="24" t="s">
        <v>958</v>
      </c>
      <c r="D40" s="106">
        <v>5001764</v>
      </c>
      <c r="E40" s="24" t="s">
        <v>307</v>
      </c>
      <c r="F40" s="23" t="s">
        <v>424</v>
      </c>
      <c r="G40" s="47" t="s">
        <v>158</v>
      </c>
      <c r="H40" s="24" t="s">
        <v>1000</v>
      </c>
      <c r="I40" s="23">
        <v>6</v>
      </c>
      <c r="J40" s="24" t="s">
        <v>3</v>
      </c>
      <c r="K40" s="103">
        <v>57186</v>
      </c>
      <c r="L40" s="25">
        <f t="shared" si="3"/>
        <v>343116</v>
      </c>
      <c r="M40" s="133">
        <v>0.33132653061224493</v>
      </c>
      <c r="N40" s="139">
        <f t="shared" si="4"/>
        <v>18947.238979591839</v>
      </c>
      <c r="O40" s="133">
        <v>78.073539902998235</v>
      </c>
      <c r="P40" s="139">
        <f t="shared" si="5"/>
        <v>4464713.4528928567</v>
      </c>
    </row>
    <row r="41" spans="2:16" x14ac:dyDescent="0.2">
      <c r="B41" s="23">
        <v>36</v>
      </c>
      <c r="C41" s="24" t="s">
        <v>958</v>
      </c>
      <c r="D41" s="106">
        <v>5004853</v>
      </c>
      <c r="E41" s="24" t="s">
        <v>308</v>
      </c>
      <c r="F41" s="23" t="s">
        <v>424</v>
      </c>
      <c r="G41" s="47" t="s">
        <v>158</v>
      </c>
      <c r="H41" s="24" t="s">
        <v>1001</v>
      </c>
      <c r="I41" s="23">
        <v>10</v>
      </c>
      <c r="J41" s="24" t="s">
        <v>3</v>
      </c>
      <c r="K41" s="103">
        <v>51848</v>
      </c>
      <c r="L41" s="25">
        <f t="shared" si="3"/>
        <v>518480</v>
      </c>
      <c r="M41" s="133">
        <v>0.49708333333333332</v>
      </c>
      <c r="N41" s="139">
        <f t="shared" si="4"/>
        <v>25772.776666666665</v>
      </c>
      <c r="O41" s="133">
        <v>43.34458439601206</v>
      </c>
      <c r="P41" s="139">
        <f t="shared" si="5"/>
        <v>2247330.0117644332</v>
      </c>
    </row>
    <row r="42" spans="2:16" x14ac:dyDescent="0.2">
      <c r="B42" s="23">
        <v>37</v>
      </c>
      <c r="C42" s="24" t="s">
        <v>958</v>
      </c>
      <c r="D42" s="106">
        <v>5001764</v>
      </c>
      <c r="E42" s="24" t="s">
        <v>307</v>
      </c>
      <c r="F42" s="23" t="s">
        <v>424</v>
      </c>
      <c r="G42" s="47" t="s">
        <v>158</v>
      </c>
      <c r="H42" s="24" t="s">
        <v>1002</v>
      </c>
      <c r="I42" s="23">
        <v>6</v>
      </c>
      <c r="J42" s="24" t="s">
        <v>3</v>
      </c>
      <c r="K42" s="103">
        <v>57351</v>
      </c>
      <c r="L42" s="25">
        <f t="shared" si="3"/>
        <v>344106</v>
      </c>
      <c r="M42" s="133">
        <v>0.33132653061224493</v>
      </c>
      <c r="N42" s="139">
        <f t="shared" si="4"/>
        <v>19001.907857142858</v>
      </c>
      <c r="O42" s="133">
        <v>78.073539902998235</v>
      </c>
      <c r="P42" s="139">
        <f t="shared" si="5"/>
        <v>4477595.5869768513</v>
      </c>
    </row>
    <row r="43" spans="2:16" x14ac:dyDescent="0.2">
      <c r="B43" s="23">
        <v>38</v>
      </c>
      <c r="C43" s="24" t="s">
        <v>958</v>
      </c>
      <c r="D43" s="106">
        <v>5004853</v>
      </c>
      <c r="E43" s="24" t="s">
        <v>308</v>
      </c>
      <c r="F43" s="23" t="s">
        <v>424</v>
      </c>
      <c r="G43" s="47" t="s">
        <v>158</v>
      </c>
      <c r="H43" s="24" t="s">
        <v>1003</v>
      </c>
      <c r="I43" s="23">
        <v>10</v>
      </c>
      <c r="J43" s="24" t="s">
        <v>3</v>
      </c>
      <c r="K43" s="103">
        <v>51746</v>
      </c>
      <c r="L43" s="25">
        <f t="shared" si="3"/>
        <v>517460</v>
      </c>
      <c r="M43" s="133">
        <v>0.49708333333333332</v>
      </c>
      <c r="N43" s="139">
        <f t="shared" si="4"/>
        <v>25722.074166666665</v>
      </c>
      <c r="O43" s="133">
        <v>43.34458439601206</v>
      </c>
      <c r="P43" s="139">
        <f t="shared" si="5"/>
        <v>2242908.8641560399</v>
      </c>
    </row>
    <row r="44" spans="2:16" x14ac:dyDescent="0.2">
      <c r="B44" s="23">
        <v>39</v>
      </c>
      <c r="C44" s="24" t="s">
        <v>958</v>
      </c>
      <c r="D44" s="106">
        <v>5004872</v>
      </c>
      <c r="E44" s="24" t="s">
        <v>960</v>
      </c>
      <c r="F44" s="23" t="s">
        <v>424</v>
      </c>
      <c r="G44" s="47" t="s">
        <v>158</v>
      </c>
      <c r="H44" s="24" t="s">
        <v>1004</v>
      </c>
      <c r="I44" s="23">
        <v>10</v>
      </c>
      <c r="J44" s="24" t="s">
        <v>3</v>
      </c>
      <c r="K44" s="103">
        <v>9146</v>
      </c>
      <c r="L44" s="25">
        <f t="shared" si="3"/>
        <v>91460</v>
      </c>
      <c r="M44" s="133">
        <v>0.29395833333333332</v>
      </c>
      <c r="N44" s="139">
        <f t="shared" si="4"/>
        <v>2688.5429166666668</v>
      </c>
      <c r="O44" s="133">
        <v>0</v>
      </c>
      <c r="P44" s="139">
        <f t="shared" si="5"/>
        <v>0</v>
      </c>
    </row>
    <row r="45" spans="2:16" x14ac:dyDescent="0.2">
      <c r="B45" s="23">
        <v>40</v>
      </c>
      <c r="C45" s="24" t="s">
        <v>958</v>
      </c>
      <c r="D45" s="106">
        <v>5005910</v>
      </c>
      <c r="E45" s="24" t="s">
        <v>372</v>
      </c>
      <c r="F45" s="23" t="s">
        <v>424</v>
      </c>
      <c r="G45" s="47" t="s">
        <v>158</v>
      </c>
      <c r="H45" s="24" t="s">
        <v>1005</v>
      </c>
      <c r="I45" s="23">
        <v>10</v>
      </c>
      <c r="J45" s="24" t="s">
        <v>3</v>
      </c>
      <c r="K45" s="103">
        <v>52084</v>
      </c>
      <c r="L45" s="25">
        <f t="shared" si="3"/>
        <v>520840</v>
      </c>
      <c r="M45" s="133">
        <v>0.34</v>
      </c>
      <c r="N45" s="139">
        <f t="shared" si="4"/>
        <v>17708.560000000001</v>
      </c>
      <c r="O45" s="133">
        <v>35.387499999999996</v>
      </c>
      <c r="P45" s="139">
        <f t="shared" si="5"/>
        <v>1843122.5499999998</v>
      </c>
    </row>
    <row r="46" spans="2:16" x14ac:dyDescent="0.2">
      <c r="B46" s="23">
        <v>41</v>
      </c>
      <c r="C46" s="24" t="s">
        <v>958</v>
      </c>
      <c r="D46" s="106">
        <v>5001764</v>
      </c>
      <c r="E46" s="24" t="s">
        <v>307</v>
      </c>
      <c r="F46" s="23" t="s">
        <v>424</v>
      </c>
      <c r="G46" s="47" t="s">
        <v>158</v>
      </c>
      <c r="H46" s="24" t="s">
        <v>1006</v>
      </c>
      <c r="I46" s="23">
        <v>6</v>
      </c>
      <c r="J46" s="24" t="s">
        <v>3</v>
      </c>
      <c r="K46" s="103">
        <v>57411</v>
      </c>
      <c r="L46" s="25">
        <f t="shared" si="3"/>
        <v>344466</v>
      </c>
      <c r="M46" s="133">
        <v>0.33132653061224493</v>
      </c>
      <c r="N46" s="139">
        <f t="shared" si="4"/>
        <v>19021.787448979594</v>
      </c>
      <c r="O46" s="133">
        <v>78.073539902998235</v>
      </c>
      <c r="P46" s="139">
        <f t="shared" si="5"/>
        <v>4482279.9993710313</v>
      </c>
    </row>
    <row r="47" spans="2:16" x14ac:dyDescent="0.2">
      <c r="B47" s="23">
        <v>42</v>
      </c>
      <c r="C47" s="24" t="s">
        <v>958</v>
      </c>
      <c r="D47" s="106">
        <v>5001764</v>
      </c>
      <c r="E47" s="24" t="s">
        <v>307</v>
      </c>
      <c r="F47" s="23" t="s">
        <v>424</v>
      </c>
      <c r="G47" s="47" t="s">
        <v>158</v>
      </c>
      <c r="H47" s="24" t="s">
        <v>1007</v>
      </c>
      <c r="I47" s="23">
        <v>6</v>
      </c>
      <c r="J47" s="24" t="s">
        <v>3</v>
      </c>
      <c r="K47" s="103">
        <v>56922</v>
      </c>
      <c r="L47" s="25">
        <f t="shared" si="3"/>
        <v>341532</v>
      </c>
      <c r="M47" s="133">
        <v>0.33132653061224493</v>
      </c>
      <c r="N47" s="139">
        <f t="shared" si="4"/>
        <v>18859.768775510205</v>
      </c>
      <c r="O47" s="133">
        <v>78.073539902998235</v>
      </c>
      <c r="P47" s="139">
        <f t="shared" si="5"/>
        <v>4444102.0383584658</v>
      </c>
    </row>
    <row r="48" spans="2:16" x14ac:dyDescent="0.2">
      <c r="B48" s="23">
        <v>43</v>
      </c>
      <c r="C48" s="24" t="s">
        <v>958</v>
      </c>
      <c r="D48" s="106">
        <v>5004853</v>
      </c>
      <c r="E48" s="24" t="s">
        <v>308</v>
      </c>
      <c r="F48" s="23" t="s">
        <v>424</v>
      </c>
      <c r="G48" s="47" t="s">
        <v>158</v>
      </c>
      <c r="H48" s="24" t="s">
        <v>1008</v>
      </c>
      <c r="I48" s="23">
        <v>10</v>
      </c>
      <c r="J48" s="24" t="s">
        <v>3</v>
      </c>
      <c r="K48" s="103">
        <v>51572</v>
      </c>
      <c r="L48" s="25">
        <f t="shared" si="3"/>
        <v>515720</v>
      </c>
      <c r="M48" s="133">
        <v>0.49708333333333332</v>
      </c>
      <c r="N48" s="139">
        <f t="shared" si="4"/>
        <v>25635.581666666665</v>
      </c>
      <c r="O48" s="133">
        <v>43.34458439601206</v>
      </c>
      <c r="P48" s="139">
        <f t="shared" si="5"/>
        <v>2235366.9064711342</v>
      </c>
    </row>
    <row r="49" spans="2:16" x14ac:dyDescent="0.2">
      <c r="B49" s="26"/>
      <c r="C49" s="69"/>
      <c r="D49" s="69"/>
      <c r="E49" s="26"/>
      <c r="F49" s="70"/>
      <c r="G49" s="70"/>
      <c r="H49" s="69"/>
      <c r="I49" s="69"/>
      <c r="J49" s="69"/>
      <c r="K49" s="71">
        <f>SUM(K10:K48)</f>
        <v>1939252</v>
      </c>
      <c r="L49" s="71">
        <f>SUM(L10:L48)</f>
        <v>15764129</v>
      </c>
      <c r="M49" s="150"/>
      <c r="N49" s="153">
        <f t="shared" ref="N49:P49" si="6">SUM(N10:N48)</f>
        <v>730844.95181951567</v>
      </c>
      <c r="O49" s="150"/>
      <c r="P49" s="153">
        <f t="shared" si="6"/>
        <v>140848964.57004496</v>
      </c>
    </row>
    <row r="51" spans="2:16" x14ac:dyDescent="0.2">
      <c r="J51" s="67" t="s">
        <v>197</v>
      </c>
      <c r="K51" s="68">
        <f>K49+K9</f>
        <v>2093359</v>
      </c>
      <c r="L51" s="68">
        <f>L49+L9</f>
        <v>17389643</v>
      </c>
      <c r="M51" s="137"/>
      <c r="N51" s="143">
        <f t="shared" ref="N51:P51" si="7">N49+N9</f>
        <v>851349.89694196463</v>
      </c>
      <c r="O51" s="137"/>
      <c r="P51" s="143">
        <f t="shared" si="7"/>
        <v>150620016.97959498</v>
      </c>
    </row>
  </sheetData>
  <autoFilter ref="B4:P51"/>
  <sortState ref="B5:L48">
    <sortCondition ref="G5:G48"/>
  </sortState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P86"/>
  <sheetViews>
    <sheetView topLeftCell="A5" workbookViewId="0">
      <selection activeCell="G5" sqref="B2:P84"/>
    </sheetView>
  </sheetViews>
  <sheetFormatPr defaultRowHeight="12" x14ac:dyDescent="0.2"/>
  <cols>
    <col min="1" max="1" width="4.85546875" style="24" customWidth="1"/>
    <col min="2" max="2" width="8.42578125" style="24" customWidth="1"/>
    <col min="3" max="3" width="5" style="23" bestFit="1" customWidth="1"/>
    <col min="4" max="4" width="11.7109375" style="23" bestFit="1" customWidth="1"/>
    <col min="5" max="5" width="39.7109375" style="24" bestFit="1" customWidth="1"/>
    <col min="6" max="6" width="11.7109375" style="34" bestFit="1" customWidth="1"/>
    <col min="7" max="7" width="19.140625" style="34" bestFit="1" customWidth="1"/>
    <col min="8" max="8" width="8.28515625" style="24" bestFit="1" customWidth="1"/>
    <col min="9" max="9" width="7.42578125" style="23" bestFit="1" customWidth="1"/>
    <col min="10" max="10" width="5" style="23" bestFit="1" customWidth="1"/>
    <col min="11" max="11" width="15.5703125" style="25" bestFit="1" customWidth="1"/>
    <col min="12" max="12" width="12" style="35" bestFit="1" customWidth="1"/>
    <col min="13" max="13" width="12.140625" style="149" bestFit="1" customWidth="1"/>
    <col min="14" max="14" width="12.140625" style="152" bestFit="1" customWidth="1"/>
    <col min="15" max="15" width="12.140625" style="149" bestFit="1" customWidth="1"/>
    <col min="16" max="16" width="14.42578125" style="152" bestFit="1" customWidth="1"/>
    <col min="17" max="16384" width="9.140625" style="24"/>
  </cols>
  <sheetData>
    <row r="1" spans="2:16" s="29" customFormat="1" x14ac:dyDescent="0.2">
      <c r="C1" s="28"/>
      <c r="D1" s="28"/>
      <c r="E1" s="36"/>
      <c r="H1" s="36"/>
      <c r="I1" s="28"/>
      <c r="J1" s="28"/>
      <c r="K1" s="37"/>
      <c r="L1" s="38"/>
      <c r="M1" s="148"/>
      <c r="N1" s="151"/>
      <c r="O1" s="148"/>
      <c r="P1" s="151"/>
    </row>
    <row r="2" spans="2:16" s="29" customFormat="1" x14ac:dyDescent="0.2">
      <c r="B2" s="18" t="s">
        <v>175</v>
      </c>
      <c r="C2" s="27"/>
      <c r="D2" s="28"/>
      <c r="E2" s="36"/>
      <c r="H2" s="36"/>
      <c r="I2" s="28"/>
      <c r="J2" s="28"/>
      <c r="K2" s="37"/>
      <c r="L2" s="38"/>
      <c r="M2" s="148"/>
      <c r="N2" s="151"/>
      <c r="O2" s="148"/>
      <c r="P2" s="151"/>
    </row>
    <row r="3" spans="2:16" s="29" customFormat="1" x14ac:dyDescent="0.2">
      <c r="B3" s="18" t="s">
        <v>428</v>
      </c>
      <c r="C3" s="27"/>
      <c r="D3" s="28"/>
      <c r="E3" s="36"/>
      <c r="H3" s="36"/>
      <c r="I3" s="28"/>
      <c r="J3" s="28"/>
      <c r="K3" s="40" t="s">
        <v>169</v>
      </c>
      <c r="L3" s="38"/>
      <c r="M3" s="148"/>
      <c r="N3" s="151"/>
      <c r="O3" s="148"/>
      <c r="P3" s="151"/>
    </row>
    <row r="4" spans="2:16" s="43" customFormat="1" x14ac:dyDescent="0.2">
      <c r="B4" s="32" t="s">
        <v>168</v>
      </c>
      <c r="C4" s="32" t="s">
        <v>196</v>
      </c>
      <c r="D4" s="32" t="s">
        <v>118</v>
      </c>
      <c r="E4" s="20" t="s">
        <v>115</v>
      </c>
      <c r="F4" s="105" t="s">
        <v>423</v>
      </c>
      <c r="G4" s="20" t="s">
        <v>119</v>
      </c>
      <c r="H4" s="19" t="s">
        <v>297</v>
      </c>
      <c r="I4" s="20" t="s">
        <v>172</v>
      </c>
      <c r="J4" s="19" t="s">
        <v>120</v>
      </c>
      <c r="K4" s="41" t="s">
        <v>170</v>
      </c>
      <c r="L4" s="42" t="s">
        <v>173</v>
      </c>
      <c r="M4" s="130" t="s">
        <v>1486</v>
      </c>
      <c r="N4" s="131" t="s">
        <v>1487</v>
      </c>
      <c r="O4" s="130" t="s">
        <v>1488</v>
      </c>
      <c r="P4" s="131" t="s">
        <v>1482</v>
      </c>
    </row>
    <row r="5" spans="2:16" x14ac:dyDescent="0.2">
      <c r="B5" s="23">
        <v>1</v>
      </c>
      <c r="C5" s="24" t="s">
        <v>1009</v>
      </c>
      <c r="D5" s="106">
        <v>5001461</v>
      </c>
      <c r="E5" s="24" t="s">
        <v>1023</v>
      </c>
      <c r="F5" s="34" t="s">
        <v>424</v>
      </c>
      <c r="G5" s="29" t="s">
        <v>159</v>
      </c>
      <c r="H5" s="24" t="s">
        <v>1074</v>
      </c>
      <c r="I5" s="23">
        <v>14</v>
      </c>
      <c r="J5" s="24" t="s">
        <v>3</v>
      </c>
      <c r="K5" s="103">
        <v>34365</v>
      </c>
      <c r="L5" s="35">
        <f>K5*I5</f>
        <v>481110</v>
      </c>
      <c r="M5" s="149">
        <v>1.0134897959183673</v>
      </c>
      <c r="N5" s="152">
        <f>+K5*M5</f>
        <v>34828.57683673469</v>
      </c>
      <c r="O5" s="149">
        <v>102.735</v>
      </c>
      <c r="P5" s="152">
        <f>+K5*O5</f>
        <v>3530488.2749999999</v>
      </c>
    </row>
    <row r="6" spans="2:16" x14ac:dyDescent="0.2">
      <c r="B6" s="69"/>
      <c r="C6" s="26"/>
      <c r="D6" s="108"/>
      <c r="E6" s="26"/>
      <c r="F6" s="70"/>
      <c r="G6" s="77"/>
      <c r="H6" s="26"/>
      <c r="I6" s="69"/>
      <c r="J6" s="26"/>
      <c r="K6" s="104">
        <f>SUM(K5)</f>
        <v>34365</v>
      </c>
      <c r="L6" s="71">
        <f>SUM(L5)</f>
        <v>481110</v>
      </c>
      <c r="M6" s="150"/>
      <c r="N6" s="153">
        <f t="shared" ref="N6:P6" si="0">SUM(N5)</f>
        <v>34828.57683673469</v>
      </c>
      <c r="O6" s="150"/>
      <c r="P6" s="153">
        <f t="shared" si="0"/>
        <v>3530488.2749999999</v>
      </c>
    </row>
    <row r="7" spans="2:16" x14ac:dyDescent="0.2">
      <c r="B7" s="23">
        <v>2</v>
      </c>
      <c r="C7" s="24" t="s">
        <v>1009</v>
      </c>
      <c r="D7" s="106">
        <v>5004370</v>
      </c>
      <c r="E7" s="24" t="s">
        <v>304</v>
      </c>
      <c r="F7" s="34" t="s">
        <v>424</v>
      </c>
      <c r="G7" s="34" t="s">
        <v>155</v>
      </c>
      <c r="H7" s="24" t="s">
        <v>1043</v>
      </c>
      <c r="I7" s="23">
        <v>1</v>
      </c>
      <c r="J7" s="24" t="s">
        <v>1</v>
      </c>
      <c r="K7" s="103">
        <v>19600</v>
      </c>
      <c r="L7" s="35">
        <f t="shared" ref="L7:L16" si="1">K7*I7</f>
        <v>19600</v>
      </c>
      <c r="M7" s="149">
        <v>1.0682127150223146</v>
      </c>
      <c r="N7" s="152">
        <f t="shared" ref="N7:N16" si="2">+K7*M7</f>
        <v>20936.969214437366</v>
      </c>
      <c r="O7" s="149">
        <v>13.635399999999999</v>
      </c>
      <c r="P7" s="152">
        <f t="shared" ref="P7:P16" si="3">+K7*O7</f>
        <v>267253.83999999997</v>
      </c>
    </row>
    <row r="8" spans="2:16" x14ac:dyDescent="0.2">
      <c r="B8" s="23">
        <v>3</v>
      </c>
      <c r="C8" s="24" t="s">
        <v>1009</v>
      </c>
      <c r="D8" s="106">
        <v>5004370</v>
      </c>
      <c r="E8" s="24" t="s">
        <v>304</v>
      </c>
      <c r="F8" s="34" t="s">
        <v>424</v>
      </c>
      <c r="G8" s="34" t="s">
        <v>155</v>
      </c>
      <c r="H8" s="24" t="s">
        <v>1049</v>
      </c>
      <c r="I8" s="23">
        <v>1</v>
      </c>
      <c r="J8" s="24" t="s">
        <v>1</v>
      </c>
      <c r="K8" s="103">
        <v>19500</v>
      </c>
      <c r="L8" s="35">
        <f t="shared" si="1"/>
        <v>19500</v>
      </c>
      <c r="M8" s="149">
        <v>1.0682127150223146</v>
      </c>
      <c r="N8" s="152">
        <f t="shared" si="2"/>
        <v>20830.147942935135</v>
      </c>
      <c r="O8" s="149">
        <v>13.635399999999999</v>
      </c>
      <c r="P8" s="152">
        <f t="shared" si="3"/>
        <v>265890.3</v>
      </c>
    </row>
    <row r="9" spans="2:16" x14ac:dyDescent="0.2">
      <c r="B9" s="23">
        <v>4</v>
      </c>
      <c r="C9" s="24" t="s">
        <v>1009</v>
      </c>
      <c r="D9" s="106">
        <v>5004370</v>
      </c>
      <c r="E9" s="24" t="s">
        <v>304</v>
      </c>
      <c r="F9" s="34" t="s">
        <v>424</v>
      </c>
      <c r="G9" s="34" t="s">
        <v>155</v>
      </c>
      <c r="H9" s="24" t="s">
        <v>1056</v>
      </c>
      <c r="I9" s="23">
        <v>1</v>
      </c>
      <c r="J9" s="24" t="s">
        <v>1</v>
      </c>
      <c r="K9" s="103">
        <v>19600</v>
      </c>
      <c r="L9" s="35">
        <f t="shared" si="1"/>
        <v>19600</v>
      </c>
      <c r="M9" s="149">
        <v>1.0682127150223146</v>
      </c>
      <c r="N9" s="152">
        <f t="shared" si="2"/>
        <v>20936.969214437366</v>
      </c>
      <c r="O9" s="149">
        <v>13.635399999999999</v>
      </c>
      <c r="P9" s="152">
        <f t="shared" si="3"/>
        <v>267253.83999999997</v>
      </c>
    </row>
    <row r="10" spans="2:16" x14ac:dyDescent="0.2">
      <c r="B10" s="23">
        <v>5</v>
      </c>
      <c r="C10" s="24" t="s">
        <v>1009</v>
      </c>
      <c r="D10" s="106">
        <v>5004370</v>
      </c>
      <c r="E10" s="24" t="s">
        <v>304</v>
      </c>
      <c r="F10" s="34" t="s">
        <v>424</v>
      </c>
      <c r="G10" s="34" t="s">
        <v>155</v>
      </c>
      <c r="H10" s="24" t="s">
        <v>1062</v>
      </c>
      <c r="I10" s="23">
        <v>1</v>
      </c>
      <c r="J10" s="24" t="s">
        <v>1</v>
      </c>
      <c r="K10" s="103">
        <v>19650</v>
      </c>
      <c r="L10" s="35">
        <f t="shared" si="1"/>
        <v>19650</v>
      </c>
      <c r="M10" s="149">
        <v>1.0682127150223146</v>
      </c>
      <c r="N10" s="152">
        <f t="shared" si="2"/>
        <v>20990.379850188481</v>
      </c>
      <c r="O10" s="149">
        <v>13.635399999999999</v>
      </c>
      <c r="P10" s="152">
        <f t="shared" si="3"/>
        <v>267935.61</v>
      </c>
    </row>
    <row r="11" spans="2:16" x14ac:dyDescent="0.2">
      <c r="B11" s="23">
        <v>6</v>
      </c>
      <c r="C11" s="24" t="s">
        <v>1009</v>
      </c>
      <c r="D11" s="106">
        <v>5004370</v>
      </c>
      <c r="E11" s="24" t="s">
        <v>304</v>
      </c>
      <c r="F11" s="34" t="s">
        <v>424</v>
      </c>
      <c r="G11" s="34" t="s">
        <v>155</v>
      </c>
      <c r="H11" s="24" t="s">
        <v>1066</v>
      </c>
      <c r="I11" s="23">
        <v>1</v>
      </c>
      <c r="J11" s="24" t="s">
        <v>1</v>
      </c>
      <c r="K11" s="103">
        <v>19350</v>
      </c>
      <c r="L11" s="35">
        <f t="shared" si="1"/>
        <v>19350</v>
      </c>
      <c r="M11" s="149">
        <v>1.0682127150223146</v>
      </c>
      <c r="N11" s="152">
        <f t="shared" si="2"/>
        <v>20669.916035681788</v>
      </c>
      <c r="O11" s="149">
        <v>13.635399999999999</v>
      </c>
      <c r="P11" s="152">
        <f t="shared" si="3"/>
        <v>263844.99</v>
      </c>
    </row>
    <row r="12" spans="2:16" x14ac:dyDescent="0.2">
      <c r="B12" s="23">
        <v>7</v>
      </c>
      <c r="C12" s="24" t="s">
        <v>1009</v>
      </c>
      <c r="D12" s="106">
        <v>5004370</v>
      </c>
      <c r="E12" s="24" t="s">
        <v>304</v>
      </c>
      <c r="F12" s="34" t="s">
        <v>424</v>
      </c>
      <c r="G12" s="34" t="s">
        <v>155</v>
      </c>
      <c r="H12" s="24" t="s">
        <v>1080</v>
      </c>
      <c r="I12" s="23">
        <v>1</v>
      </c>
      <c r="J12" s="24" t="s">
        <v>1</v>
      </c>
      <c r="K12" s="103">
        <v>19600</v>
      </c>
      <c r="L12" s="35">
        <f t="shared" si="1"/>
        <v>19600</v>
      </c>
      <c r="M12" s="149">
        <v>1.0682127150223146</v>
      </c>
      <c r="N12" s="152">
        <f t="shared" si="2"/>
        <v>20936.969214437366</v>
      </c>
      <c r="O12" s="149">
        <v>13.635399999999999</v>
      </c>
      <c r="P12" s="152">
        <f t="shared" si="3"/>
        <v>267253.83999999997</v>
      </c>
    </row>
    <row r="13" spans="2:16" x14ac:dyDescent="0.2">
      <c r="B13" s="23">
        <v>8</v>
      </c>
      <c r="C13" s="24" t="s">
        <v>1009</v>
      </c>
      <c r="D13" s="106">
        <v>5004370</v>
      </c>
      <c r="E13" s="24" t="s">
        <v>304</v>
      </c>
      <c r="F13" s="34" t="s">
        <v>424</v>
      </c>
      <c r="G13" s="34" t="s">
        <v>155</v>
      </c>
      <c r="H13" s="24" t="s">
        <v>1082</v>
      </c>
      <c r="I13" s="23">
        <v>1</v>
      </c>
      <c r="J13" s="24" t="s">
        <v>1</v>
      </c>
      <c r="K13" s="103">
        <v>19550</v>
      </c>
      <c r="L13" s="35">
        <f t="shared" si="1"/>
        <v>19550</v>
      </c>
      <c r="M13" s="149">
        <v>1.0682127150223146</v>
      </c>
      <c r="N13" s="152">
        <f t="shared" si="2"/>
        <v>20883.55857868625</v>
      </c>
      <c r="O13" s="149">
        <v>13.635399999999999</v>
      </c>
      <c r="P13" s="152">
        <f t="shared" si="3"/>
        <v>266572.06999999995</v>
      </c>
    </row>
    <row r="14" spans="2:16" x14ac:dyDescent="0.2">
      <c r="B14" s="23">
        <v>9</v>
      </c>
      <c r="C14" s="24" t="s">
        <v>1009</v>
      </c>
      <c r="D14" s="106">
        <v>5004370</v>
      </c>
      <c r="E14" s="24" t="s">
        <v>304</v>
      </c>
      <c r="F14" s="34" t="s">
        <v>424</v>
      </c>
      <c r="G14" s="34" t="s">
        <v>155</v>
      </c>
      <c r="H14" s="24" t="s">
        <v>1098</v>
      </c>
      <c r="I14" s="23">
        <v>1</v>
      </c>
      <c r="J14" s="24" t="s">
        <v>1</v>
      </c>
      <c r="K14" s="103">
        <v>19300</v>
      </c>
      <c r="L14" s="35">
        <f t="shared" si="1"/>
        <v>19300</v>
      </c>
      <c r="M14" s="149">
        <v>1.0682127150223146</v>
      </c>
      <c r="N14" s="152">
        <f t="shared" si="2"/>
        <v>20616.505399930673</v>
      </c>
      <c r="O14" s="149">
        <v>13.635399999999999</v>
      </c>
      <c r="P14" s="152">
        <f t="shared" si="3"/>
        <v>263163.21999999997</v>
      </c>
    </row>
    <row r="15" spans="2:16" x14ac:dyDescent="0.2">
      <c r="B15" s="23">
        <v>10</v>
      </c>
      <c r="C15" s="24" t="s">
        <v>1009</v>
      </c>
      <c r="D15" s="106">
        <v>5004370</v>
      </c>
      <c r="E15" s="24" t="s">
        <v>304</v>
      </c>
      <c r="F15" s="34" t="s">
        <v>424</v>
      </c>
      <c r="G15" s="34" t="s">
        <v>155</v>
      </c>
      <c r="H15" s="24" t="s">
        <v>1105</v>
      </c>
      <c r="I15" s="23">
        <v>1</v>
      </c>
      <c r="J15" s="24" t="s">
        <v>1</v>
      </c>
      <c r="K15" s="103">
        <v>19600</v>
      </c>
      <c r="L15" s="35">
        <f t="shared" si="1"/>
        <v>19600</v>
      </c>
      <c r="M15" s="149">
        <v>1.0682127150223146</v>
      </c>
      <c r="N15" s="152">
        <f t="shared" si="2"/>
        <v>20936.969214437366</v>
      </c>
      <c r="O15" s="149">
        <v>13.635399999999999</v>
      </c>
      <c r="P15" s="152">
        <f t="shared" si="3"/>
        <v>267253.83999999997</v>
      </c>
    </row>
    <row r="16" spans="2:16" x14ac:dyDescent="0.2">
      <c r="B16" s="23">
        <v>11</v>
      </c>
      <c r="C16" s="24" t="s">
        <v>1009</v>
      </c>
      <c r="D16" s="106">
        <v>5004370</v>
      </c>
      <c r="E16" s="24" t="s">
        <v>304</v>
      </c>
      <c r="F16" s="34" t="s">
        <v>424</v>
      </c>
      <c r="G16" s="34" t="s">
        <v>155</v>
      </c>
      <c r="H16" s="24" t="s">
        <v>1109</v>
      </c>
      <c r="I16" s="23">
        <v>1</v>
      </c>
      <c r="J16" s="24" t="s">
        <v>1</v>
      </c>
      <c r="K16" s="103">
        <v>19700</v>
      </c>
      <c r="L16" s="35">
        <f t="shared" si="1"/>
        <v>19700</v>
      </c>
      <c r="M16" s="149">
        <v>1.0682127150223146</v>
      </c>
      <c r="N16" s="152">
        <f t="shared" si="2"/>
        <v>21043.790485939597</v>
      </c>
      <c r="O16" s="149">
        <v>13.635399999999999</v>
      </c>
      <c r="P16" s="152">
        <f t="shared" si="3"/>
        <v>268617.38</v>
      </c>
    </row>
    <row r="17" spans="2:16" x14ac:dyDescent="0.2">
      <c r="B17" s="69"/>
      <c r="C17" s="26"/>
      <c r="D17" s="108"/>
      <c r="E17" s="26"/>
      <c r="F17" s="70"/>
      <c r="G17" s="70"/>
      <c r="H17" s="26"/>
      <c r="I17" s="69"/>
      <c r="J17" s="26"/>
      <c r="K17" s="104">
        <f>SUM(K7:K16)</f>
        <v>195450</v>
      </c>
      <c r="L17" s="71">
        <f>SUM(L7:L16)</f>
        <v>195450</v>
      </c>
      <c r="M17" s="150"/>
      <c r="N17" s="153">
        <f t="shared" ref="N17:P17" si="4">SUM(N7:N16)</f>
        <v>208782.17515111138</v>
      </c>
      <c r="O17" s="150"/>
      <c r="P17" s="153">
        <f t="shared" si="4"/>
        <v>2665038.9299999997</v>
      </c>
    </row>
    <row r="18" spans="2:16" x14ac:dyDescent="0.2">
      <c r="B18" s="23">
        <v>12</v>
      </c>
      <c r="C18" s="24" t="s">
        <v>1009</v>
      </c>
      <c r="D18" s="106">
        <v>5000866</v>
      </c>
      <c r="E18" s="24" t="s">
        <v>1010</v>
      </c>
      <c r="F18" s="34" t="s">
        <v>424</v>
      </c>
      <c r="G18" s="34" t="s">
        <v>209</v>
      </c>
      <c r="H18" s="24" t="s">
        <v>1037</v>
      </c>
      <c r="I18" s="23">
        <v>1</v>
      </c>
      <c r="J18" s="24" t="s">
        <v>1</v>
      </c>
      <c r="K18" s="103">
        <v>259245</v>
      </c>
      <c r="L18" s="35">
        <f t="shared" ref="L18:L26" si="5">K18*I18</f>
        <v>259245</v>
      </c>
      <c r="M18" s="149">
        <v>0.633946132164109</v>
      </c>
      <c r="N18" s="152">
        <f t="shared" ref="N18:N26" si="6">+K18*M18</f>
        <v>164347.36503288444</v>
      </c>
      <c r="O18" s="149">
        <v>16.602857142857143</v>
      </c>
      <c r="P18" s="152">
        <f t="shared" ref="P18:P26" si="7">+K18*O18</f>
        <v>4304207.7</v>
      </c>
    </row>
    <row r="19" spans="2:16" x14ac:dyDescent="0.2">
      <c r="B19" s="23">
        <v>13</v>
      </c>
      <c r="C19" s="24" t="s">
        <v>1009</v>
      </c>
      <c r="D19" s="106">
        <v>5002910</v>
      </c>
      <c r="E19" s="24" t="s">
        <v>1011</v>
      </c>
      <c r="F19" s="34" t="s">
        <v>424</v>
      </c>
      <c r="G19" s="34" t="s">
        <v>209</v>
      </c>
      <c r="H19" s="24" t="s">
        <v>1038</v>
      </c>
      <c r="I19" s="23">
        <v>1</v>
      </c>
      <c r="J19" s="24" t="s">
        <v>1</v>
      </c>
      <c r="K19" s="103">
        <v>98460</v>
      </c>
      <c r="L19" s="35">
        <f t="shared" si="5"/>
        <v>98460</v>
      </c>
      <c r="M19" s="149">
        <v>0.62059989780275937</v>
      </c>
      <c r="N19" s="152">
        <f t="shared" si="6"/>
        <v>61104.265937659686</v>
      </c>
      <c r="O19" s="149">
        <v>11.92</v>
      </c>
      <c r="P19" s="152">
        <f t="shared" si="7"/>
        <v>1173643.2</v>
      </c>
    </row>
    <row r="20" spans="2:16" x14ac:dyDescent="0.2">
      <c r="B20" s="23">
        <v>14</v>
      </c>
      <c r="C20" s="24" t="s">
        <v>1009</v>
      </c>
      <c r="D20" s="106">
        <v>5002913</v>
      </c>
      <c r="E20" s="24" t="s">
        <v>1012</v>
      </c>
      <c r="F20" s="34" t="s">
        <v>424</v>
      </c>
      <c r="G20" s="34" t="s">
        <v>209</v>
      </c>
      <c r="H20" s="24" t="s">
        <v>1039</v>
      </c>
      <c r="I20" s="23">
        <v>1</v>
      </c>
      <c r="J20" s="24" t="s">
        <v>1</v>
      </c>
      <c r="K20" s="103">
        <v>98860</v>
      </c>
      <c r="L20" s="35">
        <f t="shared" si="5"/>
        <v>98860</v>
      </c>
      <c r="M20" s="149">
        <v>0.62059989780275937</v>
      </c>
      <c r="N20" s="152">
        <f t="shared" si="6"/>
        <v>61352.505896780793</v>
      </c>
      <c r="O20" s="149">
        <v>11.92</v>
      </c>
      <c r="P20" s="152">
        <f t="shared" si="7"/>
        <v>1178411.2</v>
      </c>
    </row>
    <row r="21" spans="2:16" x14ac:dyDescent="0.2">
      <c r="B21" s="23">
        <v>15</v>
      </c>
      <c r="C21" s="24" t="s">
        <v>1009</v>
      </c>
      <c r="D21" s="106">
        <v>5002913</v>
      </c>
      <c r="E21" s="24" t="s">
        <v>1012</v>
      </c>
      <c r="F21" s="34" t="s">
        <v>424</v>
      </c>
      <c r="G21" s="34" t="s">
        <v>209</v>
      </c>
      <c r="H21" s="24" t="s">
        <v>1053</v>
      </c>
      <c r="I21" s="23">
        <v>1</v>
      </c>
      <c r="J21" s="24" t="s">
        <v>1</v>
      </c>
      <c r="K21" s="103">
        <v>98860</v>
      </c>
      <c r="L21" s="35">
        <f t="shared" si="5"/>
        <v>98860</v>
      </c>
      <c r="M21" s="149">
        <v>0.62059989780275937</v>
      </c>
      <c r="N21" s="152">
        <f t="shared" si="6"/>
        <v>61352.505896780793</v>
      </c>
      <c r="O21" s="149">
        <v>11.92</v>
      </c>
      <c r="P21" s="152">
        <f t="shared" si="7"/>
        <v>1178411.2</v>
      </c>
    </row>
    <row r="22" spans="2:16" x14ac:dyDescent="0.2">
      <c r="B22" s="23">
        <v>16</v>
      </c>
      <c r="C22" s="24" t="s">
        <v>1009</v>
      </c>
      <c r="D22" s="106">
        <v>5002910</v>
      </c>
      <c r="E22" s="24" t="s">
        <v>1011</v>
      </c>
      <c r="F22" s="34" t="s">
        <v>424</v>
      </c>
      <c r="G22" s="34" t="s">
        <v>209</v>
      </c>
      <c r="H22" s="24" t="s">
        <v>1058</v>
      </c>
      <c r="I22" s="23">
        <v>1</v>
      </c>
      <c r="J22" s="24" t="s">
        <v>1</v>
      </c>
      <c r="K22" s="103">
        <v>98810</v>
      </c>
      <c r="L22" s="35">
        <f t="shared" si="5"/>
        <v>98810</v>
      </c>
      <c r="M22" s="149">
        <v>0.62059989780275937</v>
      </c>
      <c r="N22" s="152">
        <f t="shared" si="6"/>
        <v>61321.475901890655</v>
      </c>
      <c r="O22" s="149">
        <v>11.92</v>
      </c>
      <c r="P22" s="152">
        <f t="shared" si="7"/>
        <v>1177815.2</v>
      </c>
    </row>
    <row r="23" spans="2:16" x14ac:dyDescent="0.2">
      <c r="B23" s="23">
        <v>17</v>
      </c>
      <c r="C23" s="24" t="s">
        <v>1009</v>
      </c>
      <c r="D23" s="106">
        <v>5001944</v>
      </c>
      <c r="E23" s="24" t="s">
        <v>1024</v>
      </c>
      <c r="F23" s="34" t="s">
        <v>424</v>
      </c>
      <c r="G23" s="34" t="s">
        <v>209</v>
      </c>
      <c r="H23" s="24" t="s">
        <v>1076</v>
      </c>
      <c r="I23" s="23">
        <v>1</v>
      </c>
      <c r="J23" s="24" t="s">
        <v>1</v>
      </c>
      <c r="K23" s="103">
        <v>112560</v>
      </c>
      <c r="L23" s="35">
        <f t="shared" si="5"/>
        <v>112560</v>
      </c>
      <c r="M23" s="149">
        <v>0.62059989780275926</v>
      </c>
      <c r="N23" s="152">
        <f t="shared" si="6"/>
        <v>69854.72449667858</v>
      </c>
      <c r="O23" s="149">
        <v>12.771428571428572</v>
      </c>
      <c r="P23" s="152">
        <f t="shared" si="7"/>
        <v>1437552</v>
      </c>
    </row>
    <row r="24" spans="2:16" x14ac:dyDescent="0.2">
      <c r="B24" s="23">
        <v>18</v>
      </c>
      <c r="C24" s="24" t="s">
        <v>1009</v>
      </c>
      <c r="D24" s="106">
        <v>5002914</v>
      </c>
      <c r="E24" s="24" t="s">
        <v>1025</v>
      </c>
      <c r="F24" s="34" t="s">
        <v>424</v>
      </c>
      <c r="G24" s="34" t="s">
        <v>209</v>
      </c>
      <c r="H24" s="24" t="s">
        <v>1077</v>
      </c>
      <c r="I24" s="23">
        <v>1</v>
      </c>
      <c r="J24" s="24" t="s">
        <v>1</v>
      </c>
      <c r="K24" s="103">
        <v>99160</v>
      </c>
      <c r="L24" s="35">
        <f t="shared" si="5"/>
        <v>99160</v>
      </c>
      <c r="M24" s="149">
        <v>0.62059989780275937</v>
      </c>
      <c r="N24" s="152">
        <f t="shared" si="6"/>
        <v>61538.685866121617</v>
      </c>
      <c r="O24" s="149">
        <v>11.92</v>
      </c>
      <c r="P24" s="152">
        <f t="shared" si="7"/>
        <v>1181987.2</v>
      </c>
    </row>
    <row r="25" spans="2:16" x14ac:dyDescent="0.2">
      <c r="B25" s="23">
        <v>19</v>
      </c>
      <c r="C25" s="24" t="s">
        <v>1009</v>
      </c>
      <c r="D25" s="106">
        <v>5002914</v>
      </c>
      <c r="E25" s="24" t="s">
        <v>1025</v>
      </c>
      <c r="F25" s="34" t="s">
        <v>424</v>
      </c>
      <c r="G25" s="34" t="s">
        <v>209</v>
      </c>
      <c r="H25" s="24" t="s">
        <v>1087</v>
      </c>
      <c r="I25" s="23">
        <v>1</v>
      </c>
      <c r="J25" s="24" t="s">
        <v>1</v>
      </c>
      <c r="K25" s="103">
        <v>98060</v>
      </c>
      <c r="L25" s="35">
        <f t="shared" si="5"/>
        <v>98060</v>
      </c>
      <c r="M25" s="149">
        <v>0.62059989780275937</v>
      </c>
      <c r="N25" s="152">
        <f t="shared" si="6"/>
        <v>60856.025978538586</v>
      </c>
      <c r="O25" s="149">
        <v>11.92</v>
      </c>
      <c r="P25" s="152">
        <f t="shared" si="7"/>
        <v>1168875.2</v>
      </c>
    </row>
    <row r="26" spans="2:16" x14ac:dyDescent="0.2">
      <c r="B26" s="23">
        <v>20</v>
      </c>
      <c r="C26" s="24" t="s">
        <v>1009</v>
      </c>
      <c r="D26" s="106">
        <v>5002914</v>
      </c>
      <c r="E26" s="24" t="s">
        <v>1025</v>
      </c>
      <c r="F26" s="34" t="s">
        <v>424</v>
      </c>
      <c r="G26" s="34" t="s">
        <v>209</v>
      </c>
      <c r="H26" s="24" t="s">
        <v>1088</v>
      </c>
      <c r="I26" s="23">
        <v>1</v>
      </c>
      <c r="J26" s="24" t="s">
        <v>1</v>
      </c>
      <c r="K26" s="103">
        <v>98710</v>
      </c>
      <c r="L26" s="35">
        <f t="shared" si="5"/>
        <v>98710</v>
      </c>
      <c r="M26" s="149">
        <v>0.62059989780275937</v>
      </c>
      <c r="N26" s="152">
        <f t="shared" si="6"/>
        <v>61259.41591211038</v>
      </c>
      <c r="O26" s="149">
        <v>11.92</v>
      </c>
      <c r="P26" s="152">
        <f t="shared" si="7"/>
        <v>1176623.2</v>
      </c>
    </row>
    <row r="27" spans="2:16" x14ac:dyDescent="0.2">
      <c r="B27" s="69"/>
      <c r="C27" s="26"/>
      <c r="D27" s="108"/>
      <c r="E27" s="26"/>
      <c r="F27" s="70"/>
      <c r="G27" s="70"/>
      <c r="H27" s="26"/>
      <c r="I27" s="69"/>
      <c r="J27" s="26"/>
      <c r="K27" s="104">
        <f>SUM(K18:K26)</f>
        <v>1062725</v>
      </c>
      <c r="L27" s="71">
        <f>SUM(L18:L26)</f>
        <v>1062725</v>
      </c>
      <c r="M27" s="150"/>
      <c r="N27" s="153">
        <f t="shared" ref="N27:P27" si="8">SUM(N18:N26)</f>
        <v>662986.97091944551</v>
      </c>
      <c r="O27" s="150"/>
      <c r="P27" s="153">
        <f t="shared" si="8"/>
        <v>13977526.099999998</v>
      </c>
    </row>
    <row r="28" spans="2:16" x14ac:dyDescent="0.2">
      <c r="B28" s="23">
        <v>21</v>
      </c>
      <c r="C28" s="24" t="s">
        <v>1009</v>
      </c>
      <c r="D28" s="106">
        <v>5000335</v>
      </c>
      <c r="E28" s="24" t="s">
        <v>369</v>
      </c>
      <c r="F28" s="34" t="s">
        <v>424</v>
      </c>
      <c r="G28" s="47" t="s">
        <v>158</v>
      </c>
      <c r="H28" s="24" t="s">
        <v>1036</v>
      </c>
      <c r="I28" s="23">
        <v>10</v>
      </c>
      <c r="J28" s="24" t="s">
        <v>3</v>
      </c>
      <c r="K28" s="103">
        <v>89669</v>
      </c>
      <c r="L28" s="35">
        <f t="shared" ref="L28:L59" si="9">K28*I28</f>
        <v>896690</v>
      </c>
      <c r="M28" s="149">
        <v>0.42295918367346941</v>
      </c>
      <c r="N28" s="152">
        <f t="shared" ref="N28:N83" si="10">+K28*M28</f>
        <v>37926.32704081633</v>
      </c>
      <c r="O28" s="149">
        <v>9.4809373534338341</v>
      </c>
      <c r="P28" s="152">
        <f t="shared" ref="P28:P83" si="11">+K28*O28</f>
        <v>850146.17154505849</v>
      </c>
    </row>
    <row r="29" spans="2:16" x14ac:dyDescent="0.2">
      <c r="B29" s="23">
        <v>22</v>
      </c>
      <c r="C29" s="24" t="s">
        <v>1009</v>
      </c>
      <c r="D29" s="106">
        <v>5500520</v>
      </c>
      <c r="E29" s="24" t="s">
        <v>370</v>
      </c>
      <c r="F29" s="34" t="s">
        <v>425</v>
      </c>
      <c r="G29" s="47" t="s">
        <v>158</v>
      </c>
      <c r="H29" s="24" t="s">
        <v>1040</v>
      </c>
      <c r="I29" s="23">
        <v>15</v>
      </c>
      <c r="J29" s="24" t="s">
        <v>3</v>
      </c>
      <c r="K29" s="103">
        <v>19721</v>
      </c>
      <c r="L29" s="35">
        <f t="shared" si="9"/>
        <v>295815</v>
      </c>
      <c r="M29" s="149">
        <v>0.4746354166666667</v>
      </c>
      <c r="N29" s="152">
        <f t="shared" si="10"/>
        <v>9360.2850520833344</v>
      </c>
      <c r="O29" s="149">
        <v>136.93000252589064</v>
      </c>
      <c r="P29" s="152">
        <f t="shared" si="11"/>
        <v>2700396.5798130892</v>
      </c>
    </row>
    <row r="30" spans="2:16" x14ac:dyDescent="0.2">
      <c r="B30" s="23">
        <v>23</v>
      </c>
      <c r="C30" s="24" t="s">
        <v>1009</v>
      </c>
      <c r="D30" s="106">
        <v>5000335</v>
      </c>
      <c r="E30" s="24" t="s">
        <v>369</v>
      </c>
      <c r="F30" s="34" t="s">
        <v>424</v>
      </c>
      <c r="G30" s="47" t="s">
        <v>158</v>
      </c>
      <c r="H30" s="24" t="s">
        <v>1041</v>
      </c>
      <c r="I30" s="23">
        <v>10</v>
      </c>
      <c r="J30" s="24" t="s">
        <v>3</v>
      </c>
      <c r="K30" s="103">
        <v>89669</v>
      </c>
      <c r="L30" s="35">
        <f t="shared" si="9"/>
        <v>896690</v>
      </c>
      <c r="M30" s="149">
        <v>0.42295918367346941</v>
      </c>
      <c r="N30" s="152">
        <f t="shared" si="10"/>
        <v>37926.32704081633</v>
      </c>
      <c r="O30" s="149">
        <v>9.4809373534338341</v>
      </c>
      <c r="P30" s="152">
        <f t="shared" si="11"/>
        <v>850146.17154505849</v>
      </c>
    </row>
    <row r="31" spans="2:16" x14ac:dyDescent="0.2">
      <c r="B31" s="23">
        <v>24</v>
      </c>
      <c r="C31" s="24" t="s">
        <v>1009</v>
      </c>
      <c r="D31" s="106">
        <v>5002007</v>
      </c>
      <c r="E31" s="24" t="s">
        <v>295</v>
      </c>
      <c r="F31" s="34" t="s">
        <v>424</v>
      </c>
      <c r="G31" s="47" t="s">
        <v>158</v>
      </c>
      <c r="H31" s="24" t="s">
        <v>1042</v>
      </c>
      <c r="I31" s="23">
        <v>8</v>
      </c>
      <c r="J31" s="24" t="s">
        <v>34</v>
      </c>
      <c r="K31" s="103">
        <v>9887</v>
      </c>
      <c r="L31" s="35">
        <f t="shared" si="9"/>
        <v>79096</v>
      </c>
      <c r="M31" s="149">
        <v>0.45118367346938776</v>
      </c>
      <c r="N31" s="152">
        <f t="shared" si="10"/>
        <v>4460.8529795918366</v>
      </c>
      <c r="O31" s="149">
        <v>68.177013513513515</v>
      </c>
      <c r="P31" s="152">
        <f t="shared" si="11"/>
        <v>674066.13260810811</v>
      </c>
    </row>
    <row r="32" spans="2:16" x14ac:dyDescent="0.2">
      <c r="B32" s="23">
        <v>25</v>
      </c>
      <c r="C32" s="24" t="s">
        <v>1009</v>
      </c>
      <c r="D32" s="106">
        <v>5000776</v>
      </c>
      <c r="E32" s="24" t="s">
        <v>1013</v>
      </c>
      <c r="F32" s="34" t="s">
        <v>424</v>
      </c>
      <c r="G32" s="47" t="s">
        <v>158</v>
      </c>
      <c r="H32" s="24" t="s">
        <v>1044</v>
      </c>
      <c r="I32" s="23">
        <v>10</v>
      </c>
      <c r="J32" s="24" t="s">
        <v>3</v>
      </c>
      <c r="K32" s="103">
        <v>36729</v>
      </c>
      <c r="L32" s="35">
        <f t="shared" si="9"/>
        <v>367290</v>
      </c>
      <c r="M32" s="149">
        <v>0.2879591836734694</v>
      </c>
      <c r="N32" s="152">
        <f t="shared" si="10"/>
        <v>10576.452857142858</v>
      </c>
      <c r="O32" s="149">
        <v>109.26666666666668</v>
      </c>
      <c r="P32" s="152">
        <f t="shared" si="11"/>
        <v>4013255.4000000004</v>
      </c>
    </row>
    <row r="33" spans="2:16" x14ac:dyDescent="0.2">
      <c r="B33" s="23">
        <v>26</v>
      </c>
      <c r="C33" s="24" t="s">
        <v>1009</v>
      </c>
      <c r="D33" s="106">
        <v>5000987</v>
      </c>
      <c r="E33" s="24" t="s">
        <v>27</v>
      </c>
      <c r="F33" s="34" t="s">
        <v>424</v>
      </c>
      <c r="G33" s="47" t="s">
        <v>158</v>
      </c>
      <c r="H33" s="24" t="s">
        <v>1045</v>
      </c>
      <c r="I33" s="23">
        <v>10</v>
      </c>
      <c r="J33" s="24" t="s">
        <v>3</v>
      </c>
      <c r="K33" s="103">
        <v>19257</v>
      </c>
      <c r="L33" s="35">
        <f t="shared" si="9"/>
        <v>192570</v>
      </c>
      <c r="M33" s="149">
        <v>0.40052083333333333</v>
      </c>
      <c r="N33" s="152">
        <f t="shared" si="10"/>
        <v>7712.8296874999996</v>
      </c>
      <c r="O33" s="149">
        <v>149.24833333333333</v>
      </c>
      <c r="P33" s="152">
        <f t="shared" si="11"/>
        <v>2874075.1550000003</v>
      </c>
    </row>
    <row r="34" spans="2:16" x14ac:dyDescent="0.2">
      <c r="B34" s="23">
        <v>27</v>
      </c>
      <c r="C34" s="24" t="s">
        <v>1009</v>
      </c>
      <c r="D34" s="106">
        <v>5004170</v>
      </c>
      <c r="E34" s="24" t="s">
        <v>1014</v>
      </c>
      <c r="F34" s="34" t="s">
        <v>424</v>
      </c>
      <c r="G34" s="47" t="s">
        <v>158</v>
      </c>
      <c r="H34" s="24" t="s">
        <v>1046</v>
      </c>
      <c r="I34" s="23">
        <v>10</v>
      </c>
      <c r="J34" s="24" t="s">
        <v>3</v>
      </c>
      <c r="K34" s="103">
        <v>77619</v>
      </c>
      <c r="L34" s="35">
        <f t="shared" si="9"/>
        <v>776190</v>
      </c>
      <c r="M34" s="149">
        <v>0.30673913043478263</v>
      </c>
      <c r="N34" s="152">
        <f t="shared" si="10"/>
        <v>23808.784565217393</v>
      </c>
      <c r="O34" s="149">
        <v>22.349999999999998</v>
      </c>
      <c r="P34" s="152">
        <f t="shared" si="11"/>
        <v>1734784.65</v>
      </c>
    </row>
    <row r="35" spans="2:16" x14ac:dyDescent="0.2">
      <c r="B35" s="23">
        <v>28</v>
      </c>
      <c r="C35" s="24" t="s">
        <v>1009</v>
      </c>
      <c r="D35" s="106">
        <v>5006390</v>
      </c>
      <c r="E35" s="24" t="s">
        <v>1015</v>
      </c>
      <c r="F35" s="34" t="s">
        <v>424</v>
      </c>
      <c r="G35" s="47" t="s">
        <v>158</v>
      </c>
      <c r="H35" s="24" t="s">
        <v>1047</v>
      </c>
      <c r="I35" s="23">
        <v>1</v>
      </c>
      <c r="J35" s="24" t="s">
        <v>305</v>
      </c>
      <c r="K35" s="103">
        <v>192720</v>
      </c>
      <c r="L35" s="35">
        <f t="shared" si="9"/>
        <v>192720</v>
      </c>
      <c r="M35" s="149">
        <v>0.24566666666666667</v>
      </c>
      <c r="N35" s="152">
        <f t="shared" si="10"/>
        <v>47344.880000000005</v>
      </c>
      <c r="O35" s="149">
        <v>29.8</v>
      </c>
      <c r="P35" s="152">
        <f t="shared" si="11"/>
        <v>5743056</v>
      </c>
    </row>
    <row r="36" spans="2:16" x14ac:dyDescent="0.2">
      <c r="B36" s="23">
        <v>29</v>
      </c>
      <c r="C36" s="24" t="s">
        <v>1009</v>
      </c>
      <c r="D36" s="106">
        <v>5000011</v>
      </c>
      <c r="E36" s="24" t="s">
        <v>1016</v>
      </c>
      <c r="F36" s="34" t="s">
        <v>424</v>
      </c>
      <c r="G36" s="47" t="s">
        <v>158</v>
      </c>
      <c r="H36" s="24" t="s">
        <v>1048</v>
      </c>
      <c r="I36" s="23">
        <v>6</v>
      </c>
      <c r="J36" s="24" t="s">
        <v>3</v>
      </c>
      <c r="K36" s="103">
        <v>65091</v>
      </c>
      <c r="L36" s="35">
        <f t="shared" si="9"/>
        <v>390546</v>
      </c>
      <c r="M36" s="149">
        <v>0.4230416666666667</v>
      </c>
      <c r="N36" s="152">
        <f t="shared" si="10"/>
        <v>27536.205125000004</v>
      </c>
      <c r="O36" s="149">
        <v>268.55014999999997</v>
      </c>
      <c r="P36" s="152">
        <f t="shared" si="11"/>
        <v>17480197.813649997</v>
      </c>
    </row>
    <row r="37" spans="2:16" x14ac:dyDescent="0.2">
      <c r="B37" s="23">
        <v>30</v>
      </c>
      <c r="C37" s="24" t="s">
        <v>1009</v>
      </c>
      <c r="D37" s="106">
        <v>5006390</v>
      </c>
      <c r="E37" s="24" t="s">
        <v>1015</v>
      </c>
      <c r="F37" s="34" t="s">
        <v>424</v>
      </c>
      <c r="G37" s="47" t="s">
        <v>158</v>
      </c>
      <c r="H37" s="24" t="s">
        <v>1050</v>
      </c>
      <c r="I37" s="23">
        <v>1</v>
      </c>
      <c r="J37" s="24" t="s">
        <v>305</v>
      </c>
      <c r="K37" s="103">
        <v>193220</v>
      </c>
      <c r="L37" s="35">
        <f t="shared" si="9"/>
        <v>193220</v>
      </c>
      <c r="M37" s="149">
        <v>0.24566666666666667</v>
      </c>
      <c r="N37" s="152">
        <f t="shared" si="10"/>
        <v>47467.713333333333</v>
      </c>
      <c r="O37" s="149">
        <v>29.8</v>
      </c>
      <c r="P37" s="152">
        <f t="shared" si="11"/>
        <v>5757956</v>
      </c>
    </row>
    <row r="38" spans="2:16" x14ac:dyDescent="0.2">
      <c r="B38" s="23">
        <v>31</v>
      </c>
      <c r="C38" s="24" t="s">
        <v>1009</v>
      </c>
      <c r="D38" s="106">
        <v>5001440</v>
      </c>
      <c r="E38" s="24" t="s">
        <v>364</v>
      </c>
      <c r="F38" s="34" t="s">
        <v>424</v>
      </c>
      <c r="G38" s="47" t="s">
        <v>158</v>
      </c>
      <c r="H38" s="24" t="s">
        <v>1051</v>
      </c>
      <c r="I38" s="23">
        <v>14</v>
      </c>
      <c r="J38" s="24" t="s">
        <v>3</v>
      </c>
      <c r="K38" s="103">
        <v>97900</v>
      </c>
      <c r="L38" s="35">
        <f t="shared" si="9"/>
        <v>1370600</v>
      </c>
      <c r="M38" s="149">
        <v>0.37334693877551023</v>
      </c>
      <c r="N38" s="152">
        <f t="shared" si="10"/>
        <v>36550.66530612245</v>
      </c>
      <c r="O38" s="149">
        <v>13.0375</v>
      </c>
      <c r="P38" s="152">
        <f t="shared" si="11"/>
        <v>1276371.25</v>
      </c>
    </row>
    <row r="39" spans="2:16" x14ac:dyDescent="0.2">
      <c r="B39" s="23">
        <v>32</v>
      </c>
      <c r="C39" s="24" t="s">
        <v>1009</v>
      </c>
      <c r="D39" s="106">
        <v>5002555</v>
      </c>
      <c r="E39" s="24" t="s">
        <v>1017</v>
      </c>
      <c r="F39" s="34" t="s">
        <v>424</v>
      </c>
      <c r="G39" s="47" t="s">
        <v>158</v>
      </c>
      <c r="H39" s="24" t="s">
        <v>1052</v>
      </c>
      <c r="I39" s="23">
        <v>10</v>
      </c>
      <c r="J39" s="24" t="s">
        <v>3</v>
      </c>
      <c r="K39" s="103">
        <v>39615</v>
      </c>
      <c r="L39" s="35">
        <f t="shared" si="9"/>
        <v>396150</v>
      </c>
      <c r="M39" s="149">
        <v>0.34177083333333336</v>
      </c>
      <c r="N39" s="152">
        <f t="shared" si="10"/>
        <v>13539.251562500001</v>
      </c>
      <c r="O39" s="149">
        <v>123.42166666666665</v>
      </c>
      <c r="P39" s="152">
        <f t="shared" si="11"/>
        <v>4889349.3249999993</v>
      </c>
    </row>
    <row r="40" spans="2:16" x14ac:dyDescent="0.2">
      <c r="B40" s="23">
        <v>33</v>
      </c>
      <c r="C40" s="24" t="s">
        <v>1009</v>
      </c>
      <c r="D40" s="106">
        <v>5003880</v>
      </c>
      <c r="E40" s="24" t="s">
        <v>367</v>
      </c>
      <c r="F40" s="34" t="s">
        <v>424</v>
      </c>
      <c r="G40" s="47" t="s">
        <v>158</v>
      </c>
      <c r="H40" s="24" t="s">
        <v>1054</v>
      </c>
      <c r="I40" s="23">
        <v>10</v>
      </c>
      <c r="J40" s="24" t="s">
        <v>3</v>
      </c>
      <c r="K40" s="103">
        <v>19809</v>
      </c>
      <c r="L40" s="35">
        <f t="shared" si="9"/>
        <v>198090</v>
      </c>
      <c r="M40" s="149">
        <v>0.56430769230769229</v>
      </c>
      <c r="N40" s="152">
        <f t="shared" si="10"/>
        <v>11178.371076923077</v>
      </c>
      <c r="O40" s="149">
        <v>100.19833333333334</v>
      </c>
      <c r="P40" s="152">
        <f t="shared" si="11"/>
        <v>1984828.7850000001</v>
      </c>
    </row>
    <row r="41" spans="2:16" x14ac:dyDescent="0.2">
      <c r="B41" s="23">
        <v>34</v>
      </c>
      <c r="C41" s="24" t="s">
        <v>1009</v>
      </c>
      <c r="D41" s="106">
        <v>5004363</v>
      </c>
      <c r="E41" s="24" t="s">
        <v>1018</v>
      </c>
      <c r="F41" s="34" t="s">
        <v>424</v>
      </c>
      <c r="G41" s="47" t="s">
        <v>158</v>
      </c>
      <c r="H41" s="24" t="s">
        <v>1055</v>
      </c>
      <c r="I41" s="23">
        <v>10</v>
      </c>
      <c r="J41" s="24" t="s">
        <v>3</v>
      </c>
      <c r="K41" s="103">
        <v>29226</v>
      </c>
      <c r="L41" s="35">
        <f t="shared" si="9"/>
        <v>292260</v>
      </c>
      <c r="M41" s="149">
        <v>0.2879591836734694</v>
      </c>
      <c r="N41" s="152">
        <f t="shared" si="10"/>
        <v>8415.8951020408167</v>
      </c>
      <c r="O41" s="149">
        <v>12.416666666666666</v>
      </c>
      <c r="P41" s="152">
        <f t="shared" si="11"/>
        <v>362889.5</v>
      </c>
    </row>
    <row r="42" spans="2:16" x14ac:dyDescent="0.2">
      <c r="B42" s="23">
        <v>35</v>
      </c>
      <c r="C42" s="24" t="s">
        <v>1009</v>
      </c>
      <c r="D42" s="106">
        <v>5002611</v>
      </c>
      <c r="E42" s="24" t="s">
        <v>1019</v>
      </c>
      <c r="F42" s="34" t="s">
        <v>424</v>
      </c>
      <c r="G42" s="47" t="s">
        <v>158</v>
      </c>
      <c r="H42" s="24" t="s">
        <v>1057</v>
      </c>
      <c r="I42" s="23">
        <v>10</v>
      </c>
      <c r="J42" s="24" t="s">
        <v>3</v>
      </c>
      <c r="K42" s="103">
        <v>19740</v>
      </c>
      <c r="L42" s="35">
        <f t="shared" si="9"/>
        <v>197400</v>
      </c>
      <c r="M42" s="149">
        <v>0.49450777202072538</v>
      </c>
      <c r="N42" s="152">
        <f t="shared" si="10"/>
        <v>9761.5834196891192</v>
      </c>
      <c r="O42" s="149">
        <v>99.364374999999995</v>
      </c>
      <c r="P42" s="152">
        <f t="shared" si="11"/>
        <v>1961452.7625</v>
      </c>
    </row>
    <row r="43" spans="2:16" x14ac:dyDescent="0.2">
      <c r="B43" s="23">
        <v>36</v>
      </c>
      <c r="C43" s="24" t="s">
        <v>1009</v>
      </c>
      <c r="D43" s="106">
        <v>5002611</v>
      </c>
      <c r="E43" s="24" t="s">
        <v>1019</v>
      </c>
      <c r="F43" s="34" t="s">
        <v>424</v>
      </c>
      <c r="G43" s="47" t="s">
        <v>158</v>
      </c>
      <c r="H43" s="24" t="s">
        <v>1059</v>
      </c>
      <c r="I43" s="23">
        <v>10</v>
      </c>
      <c r="J43" s="24" t="s">
        <v>3</v>
      </c>
      <c r="K43" s="103">
        <v>19500</v>
      </c>
      <c r="L43" s="35">
        <f t="shared" si="9"/>
        <v>195000</v>
      </c>
      <c r="M43" s="149">
        <v>0.49450777202072538</v>
      </c>
      <c r="N43" s="152">
        <f t="shared" si="10"/>
        <v>9642.9015544041449</v>
      </c>
      <c r="O43" s="149">
        <v>99.364374999999995</v>
      </c>
      <c r="P43" s="152">
        <f t="shared" si="11"/>
        <v>1937605.3125</v>
      </c>
    </row>
    <row r="44" spans="2:16" x14ac:dyDescent="0.2">
      <c r="B44" s="23">
        <v>37</v>
      </c>
      <c r="C44" s="24" t="s">
        <v>1009</v>
      </c>
      <c r="D44" s="106">
        <v>5003880</v>
      </c>
      <c r="E44" s="24" t="s">
        <v>367</v>
      </c>
      <c r="F44" s="34" t="s">
        <v>424</v>
      </c>
      <c r="G44" s="47" t="s">
        <v>158</v>
      </c>
      <c r="H44" s="24" t="s">
        <v>1060</v>
      </c>
      <c r="I44" s="23">
        <v>10</v>
      </c>
      <c r="J44" s="24" t="s">
        <v>3</v>
      </c>
      <c r="K44" s="103">
        <v>19584</v>
      </c>
      <c r="L44" s="35">
        <f t="shared" si="9"/>
        <v>195840</v>
      </c>
      <c r="M44" s="149">
        <v>0.56430769230769229</v>
      </c>
      <c r="N44" s="152">
        <f t="shared" si="10"/>
        <v>11051.401846153845</v>
      </c>
      <c r="O44" s="149">
        <v>100.19833333333334</v>
      </c>
      <c r="P44" s="152">
        <f t="shared" si="11"/>
        <v>1962284.1600000001</v>
      </c>
    </row>
    <row r="45" spans="2:16" x14ac:dyDescent="0.2">
      <c r="B45" s="23">
        <v>38</v>
      </c>
      <c r="C45" s="24" t="s">
        <v>1009</v>
      </c>
      <c r="D45" s="106">
        <v>5004363</v>
      </c>
      <c r="E45" s="24" t="s">
        <v>1018</v>
      </c>
      <c r="F45" s="34" t="s">
        <v>424</v>
      </c>
      <c r="G45" s="47" t="s">
        <v>158</v>
      </c>
      <c r="H45" s="24" t="s">
        <v>1061</v>
      </c>
      <c r="I45" s="23">
        <v>10</v>
      </c>
      <c r="J45" s="24" t="s">
        <v>3</v>
      </c>
      <c r="K45" s="103">
        <v>29676</v>
      </c>
      <c r="L45" s="35">
        <f t="shared" si="9"/>
        <v>296760</v>
      </c>
      <c r="M45" s="149">
        <v>0.2879591836734694</v>
      </c>
      <c r="N45" s="152">
        <f t="shared" si="10"/>
        <v>8545.476734693877</v>
      </c>
      <c r="O45" s="149">
        <v>12.416666666666666</v>
      </c>
      <c r="P45" s="152">
        <f t="shared" si="11"/>
        <v>368477</v>
      </c>
    </row>
    <row r="46" spans="2:16" x14ac:dyDescent="0.2">
      <c r="B46" s="23">
        <v>39</v>
      </c>
      <c r="C46" s="24" t="s">
        <v>1009</v>
      </c>
      <c r="D46" s="106">
        <v>5000003</v>
      </c>
      <c r="E46" s="24" t="s">
        <v>1020</v>
      </c>
      <c r="F46" s="34" t="s">
        <v>424</v>
      </c>
      <c r="G46" s="47" t="s">
        <v>158</v>
      </c>
      <c r="H46" s="24" t="s">
        <v>1063</v>
      </c>
      <c r="I46" s="23">
        <v>3</v>
      </c>
      <c r="J46" s="24" t="s">
        <v>3</v>
      </c>
      <c r="K46" s="103">
        <v>15941</v>
      </c>
      <c r="L46" s="35">
        <f t="shared" si="9"/>
        <v>47823</v>
      </c>
      <c r="M46" s="149">
        <v>0.34116666666666667</v>
      </c>
      <c r="N46" s="152">
        <f t="shared" si="10"/>
        <v>5438.5378333333338</v>
      </c>
      <c r="O46" s="149">
        <v>222.24839999999995</v>
      </c>
      <c r="P46" s="152">
        <f t="shared" si="11"/>
        <v>3542861.7443999993</v>
      </c>
    </row>
    <row r="47" spans="2:16" x14ac:dyDescent="0.2">
      <c r="B47" s="23">
        <v>40</v>
      </c>
      <c r="C47" s="24" t="s">
        <v>1009</v>
      </c>
      <c r="D47" s="106">
        <v>5002557</v>
      </c>
      <c r="E47" s="24" t="s">
        <v>302</v>
      </c>
      <c r="F47" s="34" t="s">
        <v>424</v>
      </c>
      <c r="G47" s="47" t="s">
        <v>158</v>
      </c>
      <c r="H47" s="24" t="s">
        <v>1064</v>
      </c>
      <c r="I47" s="23">
        <v>10</v>
      </c>
      <c r="J47" s="24" t="s">
        <v>3</v>
      </c>
      <c r="K47" s="103">
        <v>29361</v>
      </c>
      <c r="L47" s="35">
        <f t="shared" si="9"/>
        <v>293610</v>
      </c>
      <c r="M47" s="149">
        <v>0.67541666666666667</v>
      </c>
      <c r="N47" s="152">
        <f t="shared" si="10"/>
        <v>19830.908749999999</v>
      </c>
      <c r="O47" s="149">
        <v>95.255017206477746</v>
      </c>
      <c r="P47" s="152">
        <f t="shared" si="11"/>
        <v>2796782.560199393</v>
      </c>
    </row>
    <row r="48" spans="2:16" x14ac:dyDescent="0.2">
      <c r="B48" s="23">
        <v>41</v>
      </c>
      <c r="C48" s="24" t="s">
        <v>1009</v>
      </c>
      <c r="D48" s="106">
        <v>5004363</v>
      </c>
      <c r="E48" s="24" t="s">
        <v>1018</v>
      </c>
      <c r="F48" s="34" t="s">
        <v>424</v>
      </c>
      <c r="G48" s="47" t="s">
        <v>158</v>
      </c>
      <c r="H48" s="24" t="s">
        <v>1065</v>
      </c>
      <c r="I48" s="23">
        <v>10</v>
      </c>
      <c r="J48" s="24" t="s">
        <v>3</v>
      </c>
      <c r="K48" s="103">
        <v>29649</v>
      </c>
      <c r="L48" s="35">
        <f t="shared" si="9"/>
        <v>296490</v>
      </c>
      <c r="M48" s="149">
        <v>0.2879591836734694</v>
      </c>
      <c r="N48" s="152">
        <f t="shared" si="10"/>
        <v>8537.7018367346936</v>
      </c>
      <c r="O48" s="149">
        <v>12.416666666666666</v>
      </c>
      <c r="P48" s="152">
        <f t="shared" si="11"/>
        <v>368141.75</v>
      </c>
    </row>
    <row r="49" spans="2:16" x14ac:dyDescent="0.2">
      <c r="B49" s="23">
        <v>42</v>
      </c>
      <c r="C49" s="24" t="s">
        <v>1009</v>
      </c>
      <c r="D49" s="106">
        <v>5003880</v>
      </c>
      <c r="E49" s="24" t="s">
        <v>367</v>
      </c>
      <c r="F49" s="34" t="s">
        <v>424</v>
      </c>
      <c r="G49" s="47" t="s">
        <v>158</v>
      </c>
      <c r="H49" s="24" t="s">
        <v>1067</v>
      </c>
      <c r="I49" s="23">
        <v>10</v>
      </c>
      <c r="J49" s="24" t="s">
        <v>3</v>
      </c>
      <c r="K49" s="103">
        <v>19584</v>
      </c>
      <c r="L49" s="35">
        <f t="shared" si="9"/>
        <v>195840</v>
      </c>
      <c r="M49" s="149">
        <v>0.56430769230769229</v>
      </c>
      <c r="N49" s="152">
        <f t="shared" si="10"/>
        <v>11051.401846153845</v>
      </c>
      <c r="O49" s="149">
        <v>100.19833333333334</v>
      </c>
      <c r="P49" s="152">
        <f t="shared" si="11"/>
        <v>1962284.1600000001</v>
      </c>
    </row>
    <row r="50" spans="2:16" x14ac:dyDescent="0.2">
      <c r="B50" s="23">
        <v>43</v>
      </c>
      <c r="C50" s="24" t="s">
        <v>1009</v>
      </c>
      <c r="D50" s="106">
        <v>5500521</v>
      </c>
      <c r="E50" s="24" t="s">
        <v>318</v>
      </c>
      <c r="F50" s="34" t="s">
        <v>425</v>
      </c>
      <c r="G50" s="47" t="s">
        <v>158</v>
      </c>
      <c r="H50" s="24" t="s">
        <v>1068</v>
      </c>
      <c r="I50" s="23">
        <v>15</v>
      </c>
      <c r="J50" s="24" t="s">
        <v>3</v>
      </c>
      <c r="K50" s="103">
        <v>39801</v>
      </c>
      <c r="L50" s="35">
        <f t="shared" si="9"/>
        <v>597015</v>
      </c>
      <c r="M50" s="149">
        <v>0.56276041666666665</v>
      </c>
      <c r="N50" s="152">
        <f t="shared" si="10"/>
        <v>22398.427343749998</v>
      </c>
      <c r="O50" s="149">
        <v>162.48002525935922</v>
      </c>
      <c r="P50" s="152">
        <f t="shared" si="11"/>
        <v>6466867.4853477562</v>
      </c>
    </row>
    <row r="51" spans="2:16" x14ac:dyDescent="0.2">
      <c r="B51" s="23">
        <v>44</v>
      </c>
      <c r="C51" s="24" t="s">
        <v>1009</v>
      </c>
      <c r="D51" s="106">
        <v>5000611</v>
      </c>
      <c r="E51" s="24" t="s">
        <v>365</v>
      </c>
      <c r="F51" s="34" t="s">
        <v>424</v>
      </c>
      <c r="G51" s="47" t="s">
        <v>158</v>
      </c>
      <c r="H51" s="24" t="s">
        <v>1069</v>
      </c>
      <c r="I51" s="23">
        <v>14</v>
      </c>
      <c r="J51" s="24" t="s">
        <v>3</v>
      </c>
      <c r="K51" s="103">
        <v>98842</v>
      </c>
      <c r="L51" s="35">
        <f t="shared" si="9"/>
        <v>1383788</v>
      </c>
      <c r="M51" s="149">
        <v>0.37334693877551023</v>
      </c>
      <c r="N51" s="152">
        <f t="shared" si="10"/>
        <v>36902.358122448983</v>
      </c>
      <c r="O51" s="149">
        <v>11.174999999999999</v>
      </c>
      <c r="P51" s="152">
        <f t="shared" si="11"/>
        <v>1104559.3499999999</v>
      </c>
    </row>
    <row r="52" spans="2:16" x14ac:dyDescent="0.2">
      <c r="B52" s="23">
        <v>45</v>
      </c>
      <c r="C52" s="24" t="s">
        <v>1009</v>
      </c>
      <c r="D52" s="106">
        <v>5001765</v>
      </c>
      <c r="E52" s="24" t="s">
        <v>284</v>
      </c>
      <c r="F52" s="34" t="s">
        <v>424</v>
      </c>
      <c r="G52" s="47" t="s">
        <v>158</v>
      </c>
      <c r="H52" s="24" t="s">
        <v>1070</v>
      </c>
      <c r="I52" s="23">
        <v>8</v>
      </c>
      <c r="J52" s="24" t="s">
        <v>34</v>
      </c>
      <c r="K52" s="103">
        <v>12358</v>
      </c>
      <c r="L52" s="35">
        <f t="shared" si="9"/>
        <v>98864</v>
      </c>
      <c r="M52" s="149">
        <v>0.37714285714285717</v>
      </c>
      <c r="N52" s="152">
        <f t="shared" si="10"/>
        <v>4660.7314285714292</v>
      </c>
      <c r="O52" s="149">
        <v>35.357700000000001</v>
      </c>
      <c r="P52" s="152">
        <f t="shared" si="11"/>
        <v>436950.45660000003</v>
      </c>
    </row>
    <row r="53" spans="2:16" x14ac:dyDescent="0.2">
      <c r="B53" s="23">
        <v>46</v>
      </c>
      <c r="C53" s="24" t="s">
        <v>1009</v>
      </c>
      <c r="D53" s="106">
        <v>5001765</v>
      </c>
      <c r="E53" s="24" t="s">
        <v>284</v>
      </c>
      <c r="F53" s="34" t="s">
        <v>424</v>
      </c>
      <c r="G53" s="47" t="s">
        <v>158</v>
      </c>
      <c r="H53" s="24" t="s">
        <v>1071</v>
      </c>
      <c r="I53" s="23">
        <v>8</v>
      </c>
      <c r="J53" s="24" t="s">
        <v>34</v>
      </c>
      <c r="K53" s="103">
        <v>12360</v>
      </c>
      <c r="L53" s="35">
        <f t="shared" si="9"/>
        <v>98880</v>
      </c>
      <c r="M53" s="149">
        <v>0.37714285714285717</v>
      </c>
      <c r="N53" s="152">
        <f t="shared" si="10"/>
        <v>4661.4857142857145</v>
      </c>
      <c r="O53" s="149">
        <v>35.357700000000001</v>
      </c>
      <c r="P53" s="152">
        <f t="shared" si="11"/>
        <v>437021.17200000002</v>
      </c>
    </row>
    <row r="54" spans="2:16" x14ac:dyDescent="0.2">
      <c r="B54" s="23">
        <v>47</v>
      </c>
      <c r="C54" s="24" t="s">
        <v>1009</v>
      </c>
      <c r="D54" s="106">
        <v>5000004</v>
      </c>
      <c r="E54" s="24" t="s">
        <v>1021</v>
      </c>
      <c r="F54" s="34" t="s">
        <v>424</v>
      </c>
      <c r="G54" s="47" t="s">
        <v>158</v>
      </c>
      <c r="H54" s="24" t="s">
        <v>1072</v>
      </c>
      <c r="I54" s="23">
        <v>3</v>
      </c>
      <c r="J54" s="24" t="s">
        <v>3</v>
      </c>
      <c r="K54" s="103">
        <v>24061</v>
      </c>
      <c r="L54" s="35">
        <f t="shared" si="9"/>
        <v>72183</v>
      </c>
      <c r="M54" s="149">
        <v>0.31047916666666669</v>
      </c>
      <c r="N54" s="152">
        <f t="shared" si="10"/>
        <v>7470.4392291666672</v>
      </c>
      <c r="O54" s="149">
        <v>161.02379807692307</v>
      </c>
      <c r="P54" s="152">
        <f t="shared" si="11"/>
        <v>3874393.6055288459</v>
      </c>
    </row>
    <row r="55" spans="2:16" x14ac:dyDescent="0.2">
      <c r="B55" s="23">
        <v>48</v>
      </c>
      <c r="C55" s="24" t="s">
        <v>1009</v>
      </c>
      <c r="D55" s="106">
        <v>5000039</v>
      </c>
      <c r="E55" s="24" t="s">
        <v>1022</v>
      </c>
      <c r="F55" s="34" t="s">
        <v>424</v>
      </c>
      <c r="G55" s="47" t="s">
        <v>158</v>
      </c>
      <c r="H55" s="24" t="s">
        <v>1073</v>
      </c>
      <c r="I55" s="23">
        <v>10</v>
      </c>
      <c r="J55" s="24" t="s">
        <v>3</v>
      </c>
      <c r="K55" s="103">
        <v>24213</v>
      </c>
      <c r="L55" s="35">
        <f t="shared" si="9"/>
        <v>242130</v>
      </c>
      <c r="M55" s="149">
        <v>0.42295918367346941</v>
      </c>
      <c r="N55" s="152">
        <f t="shared" si="10"/>
        <v>10241.110714285714</v>
      </c>
      <c r="O55" s="149">
        <v>99.618916666666649</v>
      </c>
      <c r="P55" s="152">
        <f t="shared" si="11"/>
        <v>2412072.8292499995</v>
      </c>
    </row>
    <row r="56" spans="2:16" x14ac:dyDescent="0.2">
      <c r="B56" s="23">
        <v>49</v>
      </c>
      <c r="C56" s="24" t="s">
        <v>1009</v>
      </c>
      <c r="D56" s="106">
        <v>5001765</v>
      </c>
      <c r="E56" s="24" t="s">
        <v>284</v>
      </c>
      <c r="F56" s="34" t="s">
        <v>424</v>
      </c>
      <c r="G56" s="47" t="s">
        <v>158</v>
      </c>
      <c r="H56" s="24" t="s">
        <v>1075</v>
      </c>
      <c r="I56" s="23">
        <v>8</v>
      </c>
      <c r="J56" s="24" t="s">
        <v>34</v>
      </c>
      <c r="K56" s="103">
        <v>12310</v>
      </c>
      <c r="L56" s="35">
        <f t="shared" si="9"/>
        <v>98480</v>
      </c>
      <c r="M56" s="149">
        <v>0.37714285714285717</v>
      </c>
      <c r="N56" s="152">
        <f t="shared" si="10"/>
        <v>4642.6285714285714</v>
      </c>
      <c r="O56" s="149">
        <v>35.357700000000001</v>
      </c>
      <c r="P56" s="152">
        <f t="shared" si="11"/>
        <v>435253.28700000001</v>
      </c>
    </row>
    <row r="57" spans="2:16" x14ac:dyDescent="0.2">
      <c r="B57" s="23">
        <v>50</v>
      </c>
      <c r="C57" s="24" t="s">
        <v>1009</v>
      </c>
      <c r="D57" s="106">
        <v>5004200</v>
      </c>
      <c r="E57" s="24" t="s">
        <v>1026</v>
      </c>
      <c r="F57" s="34" t="s">
        <v>424</v>
      </c>
      <c r="G57" s="47" t="s">
        <v>158</v>
      </c>
      <c r="H57" s="24" t="s">
        <v>1078</v>
      </c>
      <c r="I57" s="23">
        <v>10</v>
      </c>
      <c r="J57" s="24" t="s">
        <v>3</v>
      </c>
      <c r="K57" s="103">
        <v>19246</v>
      </c>
      <c r="L57" s="35">
        <f t="shared" si="9"/>
        <v>192460</v>
      </c>
      <c r="M57" s="149">
        <v>0.34177083333333336</v>
      </c>
      <c r="N57" s="152">
        <f t="shared" si="10"/>
        <v>6577.7214583333334</v>
      </c>
      <c r="O57" s="149">
        <v>82.640362086776861</v>
      </c>
      <c r="P57" s="152">
        <f t="shared" si="11"/>
        <v>1590496.4087221075</v>
      </c>
    </row>
    <row r="58" spans="2:16" x14ac:dyDescent="0.2">
      <c r="B58" s="23">
        <v>51</v>
      </c>
      <c r="C58" s="24" t="s">
        <v>1009</v>
      </c>
      <c r="D58" s="106">
        <v>5004200</v>
      </c>
      <c r="E58" s="24" t="s">
        <v>1026</v>
      </c>
      <c r="F58" s="34" t="s">
        <v>424</v>
      </c>
      <c r="G58" s="47" t="s">
        <v>158</v>
      </c>
      <c r="H58" s="24" t="s">
        <v>1079</v>
      </c>
      <c r="I58" s="23">
        <v>10</v>
      </c>
      <c r="J58" s="24" t="s">
        <v>3</v>
      </c>
      <c r="K58" s="103">
        <v>19806</v>
      </c>
      <c r="L58" s="35">
        <f t="shared" si="9"/>
        <v>198060</v>
      </c>
      <c r="M58" s="149">
        <v>0.34177083333333336</v>
      </c>
      <c r="N58" s="152">
        <f t="shared" si="10"/>
        <v>6769.1131250000008</v>
      </c>
      <c r="O58" s="149">
        <v>82.640362086776861</v>
      </c>
      <c r="P58" s="152">
        <f t="shared" si="11"/>
        <v>1636775.0114907024</v>
      </c>
    </row>
    <row r="59" spans="2:16" x14ac:dyDescent="0.2">
      <c r="B59" s="23">
        <v>52</v>
      </c>
      <c r="C59" s="24" t="s">
        <v>1009</v>
      </c>
      <c r="D59" s="106">
        <v>5001765</v>
      </c>
      <c r="E59" s="24" t="s">
        <v>284</v>
      </c>
      <c r="F59" s="34" t="s">
        <v>424</v>
      </c>
      <c r="G59" s="47" t="s">
        <v>158</v>
      </c>
      <c r="H59" s="24" t="s">
        <v>1081</v>
      </c>
      <c r="I59" s="23">
        <v>8</v>
      </c>
      <c r="J59" s="24" t="s">
        <v>34</v>
      </c>
      <c r="K59" s="103">
        <v>12358</v>
      </c>
      <c r="L59" s="35">
        <f t="shared" si="9"/>
        <v>98864</v>
      </c>
      <c r="M59" s="149">
        <v>0.37714285714285717</v>
      </c>
      <c r="N59" s="152">
        <f t="shared" si="10"/>
        <v>4660.7314285714292</v>
      </c>
      <c r="O59" s="149">
        <v>35.357700000000001</v>
      </c>
      <c r="P59" s="152">
        <f t="shared" si="11"/>
        <v>436950.45660000003</v>
      </c>
    </row>
    <row r="60" spans="2:16" x14ac:dyDescent="0.2">
      <c r="B60" s="23">
        <v>53</v>
      </c>
      <c r="C60" s="24" t="s">
        <v>1009</v>
      </c>
      <c r="D60" s="106">
        <v>5500520</v>
      </c>
      <c r="E60" s="24" t="s">
        <v>370</v>
      </c>
      <c r="F60" s="34" t="s">
        <v>425</v>
      </c>
      <c r="G60" s="47" t="s">
        <v>158</v>
      </c>
      <c r="H60" s="24" t="s">
        <v>1083</v>
      </c>
      <c r="I60" s="23">
        <v>15</v>
      </c>
      <c r="J60" s="24" t="s">
        <v>3</v>
      </c>
      <c r="K60" s="103">
        <v>19871</v>
      </c>
      <c r="L60" s="35">
        <f t="shared" ref="L60:L83" si="12">K60*I60</f>
        <v>298065</v>
      </c>
      <c r="M60" s="149">
        <v>0.4746354166666667</v>
      </c>
      <c r="N60" s="152">
        <f t="shared" si="10"/>
        <v>9431.4803645833344</v>
      </c>
      <c r="O60" s="149">
        <v>136.93000252589064</v>
      </c>
      <c r="P60" s="152">
        <f t="shared" si="11"/>
        <v>2720936.0801919731</v>
      </c>
    </row>
    <row r="61" spans="2:16" x14ac:dyDescent="0.2">
      <c r="B61" s="23">
        <v>54</v>
      </c>
      <c r="C61" s="24" t="s">
        <v>1009</v>
      </c>
      <c r="D61" s="106">
        <v>5001089</v>
      </c>
      <c r="E61" s="24" t="s">
        <v>1027</v>
      </c>
      <c r="F61" s="34" t="s">
        <v>424</v>
      </c>
      <c r="G61" s="47" t="s">
        <v>158</v>
      </c>
      <c r="H61" s="24" t="s">
        <v>1084</v>
      </c>
      <c r="I61" s="23">
        <v>7</v>
      </c>
      <c r="J61" s="24" t="s">
        <v>3</v>
      </c>
      <c r="K61" s="103">
        <v>55252</v>
      </c>
      <c r="L61" s="35">
        <f t="shared" si="12"/>
        <v>386764</v>
      </c>
      <c r="M61" s="149">
        <v>0.29861458333333335</v>
      </c>
      <c r="N61" s="152">
        <f t="shared" si="10"/>
        <v>16499.052958333334</v>
      </c>
      <c r="O61" s="149">
        <v>106.27570734126984</v>
      </c>
      <c r="P61" s="152">
        <f t="shared" si="11"/>
        <v>5871945.3820198411</v>
      </c>
    </row>
    <row r="62" spans="2:16" x14ac:dyDescent="0.2">
      <c r="B62" s="23">
        <v>55</v>
      </c>
      <c r="C62" s="24" t="s">
        <v>1009</v>
      </c>
      <c r="D62" s="106">
        <v>5001765</v>
      </c>
      <c r="E62" s="24" t="s">
        <v>284</v>
      </c>
      <c r="F62" s="34" t="s">
        <v>424</v>
      </c>
      <c r="G62" s="47" t="s">
        <v>158</v>
      </c>
      <c r="H62" s="24" t="s">
        <v>1085</v>
      </c>
      <c r="I62" s="23">
        <v>8</v>
      </c>
      <c r="J62" s="24" t="s">
        <v>34</v>
      </c>
      <c r="K62" s="103">
        <v>12382</v>
      </c>
      <c r="L62" s="35">
        <f t="shared" si="12"/>
        <v>99056</v>
      </c>
      <c r="M62" s="149">
        <v>0.37714285714285717</v>
      </c>
      <c r="N62" s="152">
        <f t="shared" si="10"/>
        <v>4669.7828571428572</v>
      </c>
      <c r="O62" s="149">
        <v>35.357700000000001</v>
      </c>
      <c r="P62" s="152">
        <f t="shared" si="11"/>
        <v>437799.04139999999</v>
      </c>
    </row>
    <row r="63" spans="2:16" x14ac:dyDescent="0.2">
      <c r="B63" s="23">
        <v>56</v>
      </c>
      <c r="C63" s="24" t="s">
        <v>1009</v>
      </c>
      <c r="D63" s="106">
        <v>5001915</v>
      </c>
      <c r="E63" s="24" t="s">
        <v>1028</v>
      </c>
      <c r="F63" s="34" t="s">
        <v>424</v>
      </c>
      <c r="G63" s="47" t="s">
        <v>158</v>
      </c>
      <c r="H63" s="24" t="s">
        <v>1086</v>
      </c>
      <c r="I63" s="23">
        <v>10</v>
      </c>
      <c r="J63" s="24" t="s">
        <v>3</v>
      </c>
      <c r="K63" s="103">
        <v>4890</v>
      </c>
      <c r="L63" s="35">
        <f t="shared" si="12"/>
        <v>48900</v>
      </c>
      <c r="M63" s="149">
        <v>0.2879591836734694</v>
      </c>
      <c r="N63" s="152">
        <f t="shared" si="10"/>
        <v>1408.1204081632654</v>
      </c>
      <c r="O63" s="149">
        <v>51.259242931547618</v>
      </c>
      <c r="P63" s="152">
        <f t="shared" si="11"/>
        <v>250657.69793526785</v>
      </c>
    </row>
    <row r="64" spans="2:16" x14ac:dyDescent="0.2">
      <c r="B64" s="23">
        <v>57</v>
      </c>
      <c r="C64" s="24" t="s">
        <v>1009</v>
      </c>
      <c r="D64" s="106">
        <v>5500520</v>
      </c>
      <c r="E64" s="24" t="s">
        <v>370</v>
      </c>
      <c r="F64" s="34" t="s">
        <v>425</v>
      </c>
      <c r="G64" s="47" t="s">
        <v>158</v>
      </c>
      <c r="H64" s="24" t="s">
        <v>1089</v>
      </c>
      <c r="I64" s="23">
        <v>15</v>
      </c>
      <c r="J64" s="24" t="s">
        <v>3</v>
      </c>
      <c r="K64" s="103">
        <v>19901</v>
      </c>
      <c r="L64" s="35">
        <f t="shared" si="12"/>
        <v>298515</v>
      </c>
      <c r="M64" s="149">
        <v>0.4746354166666667</v>
      </c>
      <c r="N64" s="152">
        <f t="shared" si="10"/>
        <v>9445.7194270833334</v>
      </c>
      <c r="O64" s="149">
        <v>136.93000252589064</v>
      </c>
      <c r="P64" s="152">
        <f t="shared" si="11"/>
        <v>2725043.9802677496</v>
      </c>
    </row>
    <row r="65" spans="2:16" x14ac:dyDescent="0.2">
      <c r="B65" s="23">
        <v>58</v>
      </c>
      <c r="C65" s="24" t="s">
        <v>1009</v>
      </c>
      <c r="D65" s="106">
        <v>5000864</v>
      </c>
      <c r="E65" s="24" t="s">
        <v>366</v>
      </c>
      <c r="F65" s="34" t="s">
        <v>424</v>
      </c>
      <c r="G65" s="47" t="s">
        <v>158</v>
      </c>
      <c r="H65" s="24" t="s">
        <v>1090</v>
      </c>
      <c r="I65" s="23">
        <v>4</v>
      </c>
      <c r="J65" s="24" t="s">
        <v>3</v>
      </c>
      <c r="K65" s="103">
        <v>98475</v>
      </c>
      <c r="L65" s="35">
        <f t="shared" si="12"/>
        <v>393900</v>
      </c>
      <c r="M65" s="149">
        <v>0.27895833333333331</v>
      </c>
      <c r="N65" s="152">
        <f t="shared" si="10"/>
        <v>27470.421874999996</v>
      </c>
      <c r="O65" s="149">
        <v>54.093647999999995</v>
      </c>
      <c r="P65" s="152">
        <f t="shared" si="11"/>
        <v>5326871.9867999991</v>
      </c>
    </row>
    <row r="66" spans="2:16" x14ac:dyDescent="0.2">
      <c r="B66" s="23">
        <v>59</v>
      </c>
      <c r="C66" s="24" t="s">
        <v>1009</v>
      </c>
      <c r="D66" s="106">
        <v>5001915</v>
      </c>
      <c r="E66" s="24" t="s">
        <v>1028</v>
      </c>
      <c r="F66" s="34" t="s">
        <v>424</v>
      </c>
      <c r="G66" s="47" t="s">
        <v>158</v>
      </c>
      <c r="H66" s="24" t="s">
        <v>1091</v>
      </c>
      <c r="I66" s="23">
        <v>10</v>
      </c>
      <c r="J66" s="24" t="s">
        <v>3</v>
      </c>
      <c r="K66" s="103">
        <v>4872</v>
      </c>
      <c r="L66" s="35">
        <f t="shared" si="12"/>
        <v>48720</v>
      </c>
      <c r="M66" s="149">
        <v>0.2879591836734694</v>
      </c>
      <c r="N66" s="152">
        <f t="shared" si="10"/>
        <v>1402.9371428571428</v>
      </c>
      <c r="O66" s="149">
        <v>51.259242931547618</v>
      </c>
      <c r="P66" s="152">
        <f t="shared" si="11"/>
        <v>249735.03156249999</v>
      </c>
    </row>
    <row r="67" spans="2:16" x14ac:dyDescent="0.2">
      <c r="B67" s="23">
        <v>60</v>
      </c>
      <c r="C67" s="24" t="s">
        <v>1009</v>
      </c>
      <c r="D67" s="106">
        <v>5000335</v>
      </c>
      <c r="E67" s="24" t="s">
        <v>369</v>
      </c>
      <c r="F67" s="34" t="s">
        <v>424</v>
      </c>
      <c r="G67" s="47" t="s">
        <v>158</v>
      </c>
      <c r="H67" s="24" t="s">
        <v>1092</v>
      </c>
      <c r="I67" s="23">
        <v>10</v>
      </c>
      <c r="J67" s="24" t="s">
        <v>3</v>
      </c>
      <c r="K67" s="103">
        <v>89569</v>
      </c>
      <c r="L67" s="35">
        <f t="shared" si="12"/>
        <v>895690</v>
      </c>
      <c r="M67" s="149">
        <v>0.42295918367346941</v>
      </c>
      <c r="N67" s="152">
        <f t="shared" si="10"/>
        <v>37884.031122448978</v>
      </c>
      <c r="O67" s="149">
        <v>9.4809373534338341</v>
      </c>
      <c r="P67" s="152">
        <f t="shared" si="11"/>
        <v>849198.07780971506</v>
      </c>
    </row>
    <row r="68" spans="2:16" x14ac:dyDescent="0.2">
      <c r="B68" s="23">
        <v>61</v>
      </c>
      <c r="C68" s="24" t="s">
        <v>1009</v>
      </c>
      <c r="D68" s="106">
        <v>5000335</v>
      </c>
      <c r="E68" s="24" t="s">
        <v>369</v>
      </c>
      <c r="F68" s="34" t="s">
        <v>424</v>
      </c>
      <c r="G68" s="47" t="s">
        <v>158</v>
      </c>
      <c r="H68" s="24" t="s">
        <v>1093</v>
      </c>
      <c r="I68" s="23">
        <v>10</v>
      </c>
      <c r="J68" s="24" t="s">
        <v>3</v>
      </c>
      <c r="K68" s="103">
        <v>89569</v>
      </c>
      <c r="L68" s="35">
        <f t="shared" si="12"/>
        <v>895690</v>
      </c>
      <c r="M68" s="149">
        <v>0.42295918367346941</v>
      </c>
      <c r="N68" s="152">
        <f t="shared" si="10"/>
        <v>37884.031122448978</v>
      </c>
      <c r="O68" s="149">
        <v>9.4809373534338341</v>
      </c>
      <c r="P68" s="152">
        <f t="shared" si="11"/>
        <v>849198.07780971506</v>
      </c>
    </row>
    <row r="69" spans="2:16" x14ac:dyDescent="0.2">
      <c r="B69" s="23">
        <v>62</v>
      </c>
      <c r="C69" s="24" t="s">
        <v>1009</v>
      </c>
      <c r="D69" s="106">
        <v>5501291</v>
      </c>
      <c r="E69" s="24" t="s">
        <v>387</v>
      </c>
      <c r="F69" s="34" t="s">
        <v>425</v>
      </c>
      <c r="G69" s="47" t="s">
        <v>158</v>
      </c>
      <c r="H69" s="24" t="s">
        <v>1094</v>
      </c>
      <c r="I69" s="23">
        <v>10</v>
      </c>
      <c r="J69" s="24" t="s">
        <v>3</v>
      </c>
      <c r="K69" s="103">
        <v>38160</v>
      </c>
      <c r="L69" s="35">
        <f t="shared" si="12"/>
        <v>381600</v>
      </c>
      <c r="M69" s="149">
        <v>0.34177083333333336</v>
      </c>
      <c r="N69" s="152">
        <f t="shared" si="10"/>
        <v>13041.975</v>
      </c>
      <c r="O69" s="149">
        <v>89.360044503361095</v>
      </c>
      <c r="P69" s="152">
        <f t="shared" si="11"/>
        <v>3409979.2982482594</v>
      </c>
    </row>
    <row r="70" spans="2:16" x14ac:dyDescent="0.2">
      <c r="B70" s="23">
        <v>63</v>
      </c>
      <c r="C70" s="24" t="s">
        <v>1009</v>
      </c>
      <c r="D70" s="106">
        <v>5001507</v>
      </c>
      <c r="E70" s="24" t="s">
        <v>371</v>
      </c>
      <c r="F70" s="34" t="s">
        <v>424</v>
      </c>
      <c r="G70" s="47" t="s">
        <v>158</v>
      </c>
      <c r="H70" s="24" t="s">
        <v>1095</v>
      </c>
      <c r="I70" s="23">
        <v>10</v>
      </c>
      <c r="J70" s="24" t="s">
        <v>3</v>
      </c>
      <c r="K70" s="103">
        <v>29622</v>
      </c>
      <c r="L70" s="35">
        <f t="shared" si="12"/>
        <v>296220</v>
      </c>
      <c r="M70" s="149">
        <v>0.34177083333333336</v>
      </c>
      <c r="N70" s="152">
        <f t="shared" si="10"/>
        <v>10123.935625</v>
      </c>
      <c r="O70" s="149">
        <v>170.60176430976432</v>
      </c>
      <c r="P70" s="152">
        <f t="shared" si="11"/>
        <v>5053565.4623838384</v>
      </c>
    </row>
    <row r="71" spans="2:16" x14ac:dyDescent="0.2">
      <c r="B71" s="23">
        <v>64</v>
      </c>
      <c r="C71" s="24" t="s">
        <v>1009</v>
      </c>
      <c r="D71" s="106">
        <v>5001694</v>
      </c>
      <c r="E71" s="24" t="s">
        <v>1029</v>
      </c>
      <c r="F71" s="34" t="s">
        <v>424</v>
      </c>
      <c r="G71" s="47" t="s">
        <v>158</v>
      </c>
      <c r="H71" s="24" t="s">
        <v>1096</v>
      </c>
      <c r="I71" s="23">
        <v>10</v>
      </c>
      <c r="J71" s="24" t="s">
        <v>65</v>
      </c>
      <c r="K71" s="103">
        <v>29409</v>
      </c>
      <c r="L71" s="35">
        <f t="shared" si="12"/>
        <v>294090</v>
      </c>
      <c r="M71" s="149">
        <v>0.34177083333333336</v>
      </c>
      <c r="N71" s="152">
        <f t="shared" si="10"/>
        <v>10051.138437500002</v>
      </c>
      <c r="O71" s="149">
        <v>102.37541666666665</v>
      </c>
      <c r="P71" s="152">
        <f t="shared" si="11"/>
        <v>3010758.6287499997</v>
      </c>
    </row>
    <row r="72" spans="2:16" x14ac:dyDescent="0.2">
      <c r="B72" s="23">
        <v>67</v>
      </c>
      <c r="C72" s="24" t="s">
        <v>1009</v>
      </c>
      <c r="D72" s="106">
        <v>5003556</v>
      </c>
      <c r="E72" s="24" t="s">
        <v>1030</v>
      </c>
      <c r="F72" s="34" t="s">
        <v>424</v>
      </c>
      <c r="G72" s="47" t="s">
        <v>158</v>
      </c>
      <c r="H72" s="24" t="s">
        <v>1097</v>
      </c>
      <c r="I72" s="23">
        <v>14</v>
      </c>
      <c r="J72" s="24" t="s">
        <v>3</v>
      </c>
      <c r="K72" s="103">
        <v>48550</v>
      </c>
      <c r="L72" s="35">
        <f t="shared" si="12"/>
        <v>679700</v>
      </c>
      <c r="M72" s="149">
        <v>0.44806250000000003</v>
      </c>
      <c r="N72" s="152">
        <f t="shared" si="10"/>
        <v>21753.434375000001</v>
      </c>
      <c r="O72" s="149">
        <v>18.625</v>
      </c>
      <c r="P72" s="152">
        <f t="shared" si="11"/>
        <v>904243.75</v>
      </c>
    </row>
    <row r="73" spans="2:16" x14ac:dyDescent="0.2">
      <c r="B73" s="23">
        <v>68</v>
      </c>
      <c r="C73" s="24" t="s">
        <v>1009</v>
      </c>
      <c r="D73" s="106">
        <v>5000004</v>
      </c>
      <c r="E73" s="24" t="s">
        <v>1021</v>
      </c>
      <c r="F73" s="34" t="s">
        <v>424</v>
      </c>
      <c r="G73" s="47" t="s">
        <v>158</v>
      </c>
      <c r="H73" s="24" t="s">
        <v>1099</v>
      </c>
      <c r="I73" s="23">
        <v>3</v>
      </c>
      <c r="J73" s="24" t="s">
        <v>3</v>
      </c>
      <c r="K73" s="103">
        <v>24151</v>
      </c>
      <c r="L73" s="35">
        <f t="shared" si="12"/>
        <v>72453</v>
      </c>
      <c r="M73" s="149">
        <v>0.31047916666666669</v>
      </c>
      <c r="N73" s="152">
        <f t="shared" si="10"/>
        <v>7498.382354166667</v>
      </c>
      <c r="O73" s="149">
        <v>161.02379807692307</v>
      </c>
      <c r="P73" s="152">
        <f t="shared" si="11"/>
        <v>3888885.7473557689</v>
      </c>
    </row>
    <row r="74" spans="2:16" x14ac:dyDescent="0.2">
      <c r="B74" s="23">
        <v>69</v>
      </c>
      <c r="C74" s="24" t="s">
        <v>1009</v>
      </c>
      <c r="D74" s="106">
        <v>5000335</v>
      </c>
      <c r="E74" s="24" t="s">
        <v>369</v>
      </c>
      <c r="F74" s="34" t="s">
        <v>424</v>
      </c>
      <c r="G74" s="47" t="s">
        <v>158</v>
      </c>
      <c r="H74" s="24" t="s">
        <v>1100</v>
      </c>
      <c r="I74" s="23">
        <v>10</v>
      </c>
      <c r="J74" s="24" t="s">
        <v>3</v>
      </c>
      <c r="K74" s="103">
        <v>89669</v>
      </c>
      <c r="L74" s="35">
        <f t="shared" si="12"/>
        <v>896690</v>
      </c>
      <c r="M74" s="149">
        <v>0.42295918367346941</v>
      </c>
      <c r="N74" s="152">
        <f t="shared" si="10"/>
        <v>37926.32704081633</v>
      </c>
      <c r="O74" s="149">
        <v>9.4809373534338341</v>
      </c>
      <c r="P74" s="152">
        <f t="shared" si="11"/>
        <v>850146.17154505849</v>
      </c>
    </row>
    <row r="75" spans="2:16" x14ac:dyDescent="0.2">
      <c r="B75" s="23">
        <v>70</v>
      </c>
      <c r="C75" s="24" t="s">
        <v>1009</v>
      </c>
      <c r="D75" s="106">
        <v>5001765</v>
      </c>
      <c r="E75" s="24" t="s">
        <v>284</v>
      </c>
      <c r="F75" s="34" t="s">
        <v>424</v>
      </c>
      <c r="G75" s="47" t="s">
        <v>158</v>
      </c>
      <c r="H75" s="24" t="s">
        <v>1101</v>
      </c>
      <c r="I75" s="23">
        <v>8</v>
      </c>
      <c r="J75" s="24" t="s">
        <v>34</v>
      </c>
      <c r="K75" s="103">
        <v>12358</v>
      </c>
      <c r="L75" s="35">
        <f t="shared" si="12"/>
        <v>98864</v>
      </c>
      <c r="M75" s="149">
        <v>0.37714285714285717</v>
      </c>
      <c r="N75" s="152">
        <f t="shared" si="10"/>
        <v>4660.7314285714292</v>
      </c>
      <c r="O75" s="149">
        <v>35.357700000000001</v>
      </c>
      <c r="P75" s="152">
        <f t="shared" si="11"/>
        <v>436950.45660000003</v>
      </c>
    </row>
    <row r="76" spans="2:16" x14ac:dyDescent="0.2">
      <c r="B76" s="23">
        <v>71</v>
      </c>
      <c r="C76" s="24" t="s">
        <v>1009</v>
      </c>
      <c r="D76" s="106">
        <v>5001765</v>
      </c>
      <c r="E76" s="24" t="s">
        <v>284</v>
      </c>
      <c r="F76" s="34" t="s">
        <v>424</v>
      </c>
      <c r="G76" s="47" t="s">
        <v>158</v>
      </c>
      <c r="H76" s="24" t="s">
        <v>1102</v>
      </c>
      <c r="I76" s="23">
        <v>8</v>
      </c>
      <c r="J76" s="24" t="s">
        <v>34</v>
      </c>
      <c r="K76" s="103">
        <v>12334</v>
      </c>
      <c r="L76" s="35">
        <f t="shared" si="12"/>
        <v>98672</v>
      </c>
      <c r="M76" s="149">
        <v>0.37714285714285717</v>
      </c>
      <c r="N76" s="152">
        <f t="shared" si="10"/>
        <v>4651.68</v>
      </c>
      <c r="O76" s="149">
        <v>35.357700000000001</v>
      </c>
      <c r="P76" s="152">
        <f t="shared" si="11"/>
        <v>436101.87180000002</v>
      </c>
    </row>
    <row r="77" spans="2:16" x14ac:dyDescent="0.2">
      <c r="B77" s="23">
        <v>72</v>
      </c>
      <c r="C77" s="24" t="s">
        <v>1009</v>
      </c>
      <c r="D77" s="106">
        <v>5000929</v>
      </c>
      <c r="E77" s="24" t="s">
        <v>1031</v>
      </c>
      <c r="F77" s="34" t="s">
        <v>424</v>
      </c>
      <c r="G77" s="47" t="s">
        <v>158</v>
      </c>
      <c r="H77" s="24" t="s">
        <v>1103</v>
      </c>
      <c r="I77" s="23">
        <v>10</v>
      </c>
      <c r="J77" s="24" t="s">
        <v>3</v>
      </c>
      <c r="K77" s="103">
        <v>28452</v>
      </c>
      <c r="L77" s="35">
        <f t="shared" si="12"/>
        <v>284520</v>
      </c>
      <c r="M77" s="149">
        <v>0.573125</v>
      </c>
      <c r="N77" s="152">
        <f t="shared" si="10"/>
        <v>16306.5525</v>
      </c>
      <c r="O77" s="149">
        <v>138.81833333333333</v>
      </c>
      <c r="P77" s="152">
        <f t="shared" si="11"/>
        <v>3949659.2199999997</v>
      </c>
    </row>
    <row r="78" spans="2:16" x14ac:dyDescent="0.2">
      <c r="B78" s="23">
        <v>73</v>
      </c>
      <c r="C78" s="24" t="s">
        <v>1009</v>
      </c>
      <c r="D78" s="106">
        <v>5001046</v>
      </c>
      <c r="E78" s="24" t="s">
        <v>1032</v>
      </c>
      <c r="F78" s="34" t="s">
        <v>424</v>
      </c>
      <c r="G78" s="47" t="s">
        <v>158</v>
      </c>
      <c r="H78" s="24" t="s">
        <v>1104</v>
      </c>
      <c r="I78" s="23">
        <v>4</v>
      </c>
      <c r="J78" s="24" t="s">
        <v>3</v>
      </c>
      <c r="K78" s="103">
        <v>23573</v>
      </c>
      <c r="L78" s="35">
        <f t="shared" si="12"/>
        <v>94292</v>
      </c>
      <c r="M78" s="149">
        <v>0.25781818181818184</v>
      </c>
      <c r="N78" s="152">
        <f t="shared" si="10"/>
        <v>6077.5480000000007</v>
      </c>
      <c r="O78" s="149">
        <v>12.5</v>
      </c>
      <c r="P78" s="152">
        <f t="shared" si="11"/>
        <v>294662.5</v>
      </c>
    </row>
    <row r="79" spans="2:16" x14ac:dyDescent="0.2">
      <c r="B79" s="23">
        <v>74</v>
      </c>
      <c r="C79" s="24" t="s">
        <v>1009</v>
      </c>
      <c r="D79" s="106">
        <v>5004548</v>
      </c>
      <c r="E79" s="24" t="s">
        <v>1033</v>
      </c>
      <c r="F79" s="34" t="s">
        <v>424</v>
      </c>
      <c r="G79" s="47" t="s">
        <v>158</v>
      </c>
      <c r="H79" s="24" t="s">
        <v>1106</v>
      </c>
      <c r="I79" s="23">
        <v>4</v>
      </c>
      <c r="J79" s="24" t="s">
        <v>3</v>
      </c>
      <c r="K79" s="103">
        <v>34326</v>
      </c>
      <c r="L79" s="35">
        <f t="shared" si="12"/>
        <v>137304</v>
      </c>
      <c r="M79" s="149">
        <v>0.25282474226804125</v>
      </c>
      <c r="N79" s="152">
        <f t="shared" si="10"/>
        <v>8678.4621030927847</v>
      </c>
      <c r="O79" s="149">
        <v>250.66799980293624</v>
      </c>
      <c r="P79" s="152">
        <f t="shared" si="11"/>
        <v>8604429.7612355892</v>
      </c>
    </row>
    <row r="80" spans="2:16" x14ac:dyDescent="0.2">
      <c r="B80" s="23">
        <v>75</v>
      </c>
      <c r="C80" s="24" t="s">
        <v>1009</v>
      </c>
      <c r="D80" s="106">
        <v>5001046</v>
      </c>
      <c r="E80" s="24" t="s">
        <v>1032</v>
      </c>
      <c r="F80" s="34" t="s">
        <v>424</v>
      </c>
      <c r="G80" s="47" t="s">
        <v>158</v>
      </c>
      <c r="H80" s="24" t="s">
        <v>1107</v>
      </c>
      <c r="I80" s="23">
        <v>4</v>
      </c>
      <c r="J80" s="24" t="s">
        <v>3</v>
      </c>
      <c r="K80" s="103">
        <v>23669</v>
      </c>
      <c r="L80" s="35">
        <f t="shared" si="12"/>
        <v>94676</v>
      </c>
      <c r="M80" s="149">
        <v>0.25781818181818184</v>
      </c>
      <c r="N80" s="152">
        <f t="shared" si="10"/>
        <v>6102.298545454546</v>
      </c>
      <c r="O80" s="149">
        <v>12.5</v>
      </c>
      <c r="P80" s="152">
        <f t="shared" si="11"/>
        <v>295862.5</v>
      </c>
    </row>
    <row r="81" spans="2:16" x14ac:dyDescent="0.2">
      <c r="B81" s="23">
        <v>76</v>
      </c>
      <c r="C81" s="24" t="s">
        <v>1009</v>
      </c>
      <c r="D81" s="106">
        <v>5003048</v>
      </c>
      <c r="E81" s="24" t="s">
        <v>1034</v>
      </c>
      <c r="F81" s="34" t="s">
        <v>424</v>
      </c>
      <c r="G81" s="47" t="s">
        <v>158</v>
      </c>
      <c r="H81" s="24" t="s">
        <v>1108</v>
      </c>
      <c r="I81" s="23">
        <v>4</v>
      </c>
      <c r="J81" s="24" t="s">
        <v>3</v>
      </c>
      <c r="K81" s="103">
        <v>73400</v>
      </c>
      <c r="L81" s="35">
        <f t="shared" si="12"/>
        <v>293600</v>
      </c>
      <c r="M81" s="149">
        <v>0.63864583333333291</v>
      </c>
      <c r="N81" s="152">
        <f t="shared" si="10"/>
        <v>46876.604166666635</v>
      </c>
      <c r="O81" s="149">
        <v>15</v>
      </c>
      <c r="P81" s="152">
        <f t="shared" si="11"/>
        <v>1101000</v>
      </c>
    </row>
    <row r="82" spans="2:16" x14ac:dyDescent="0.2">
      <c r="B82" s="23">
        <v>77</v>
      </c>
      <c r="C82" s="24" t="s">
        <v>1009</v>
      </c>
      <c r="D82" s="106">
        <v>5004550</v>
      </c>
      <c r="E82" s="24" t="s">
        <v>1035</v>
      </c>
      <c r="F82" s="34" t="s">
        <v>424</v>
      </c>
      <c r="G82" s="47" t="s">
        <v>158</v>
      </c>
      <c r="H82" s="24" t="s">
        <v>1106</v>
      </c>
      <c r="I82" s="23">
        <v>4</v>
      </c>
      <c r="J82" s="24" t="s">
        <v>3</v>
      </c>
      <c r="K82" s="103">
        <v>39533</v>
      </c>
      <c r="L82" s="35">
        <f t="shared" si="12"/>
        <v>158132</v>
      </c>
      <c r="M82" s="149">
        <v>0.25282474226804125</v>
      </c>
      <c r="N82" s="152">
        <f t="shared" si="10"/>
        <v>9994.9205360824744</v>
      </c>
      <c r="O82" s="149">
        <v>115.62398287060988</v>
      </c>
      <c r="P82" s="152">
        <f t="shared" si="11"/>
        <v>4570962.9148238208</v>
      </c>
    </row>
    <row r="83" spans="2:16" x14ac:dyDescent="0.2">
      <c r="B83" s="23">
        <v>78</v>
      </c>
      <c r="C83" s="24" t="s">
        <v>1009</v>
      </c>
      <c r="D83" s="106">
        <v>5001045</v>
      </c>
      <c r="E83" s="24" t="s">
        <v>303</v>
      </c>
      <c r="F83" s="34" t="s">
        <v>424</v>
      </c>
      <c r="G83" s="47" t="s">
        <v>158</v>
      </c>
      <c r="H83" s="24" t="s">
        <v>1110</v>
      </c>
      <c r="I83" s="23">
        <v>4</v>
      </c>
      <c r="J83" s="24" t="s">
        <v>3</v>
      </c>
      <c r="K83" s="103">
        <v>23669</v>
      </c>
      <c r="L83" s="35">
        <f t="shared" si="12"/>
        <v>94676</v>
      </c>
      <c r="M83" s="149">
        <v>0.23882105263157893</v>
      </c>
      <c r="N83" s="152">
        <f t="shared" si="10"/>
        <v>5652.6554947368422</v>
      </c>
      <c r="O83" s="149">
        <v>12.499997957516339</v>
      </c>
      <c r="P83" s="152">
        <f t="shared" si="11"/>
        <v>295862.45165645424</v>
      </c>
    </row>
    <row r="84" spans="2:16" x14ac:dyDescent="0.2">
      <c r="B84" s="26"/>
      <c r="C84" s="69"/>
      <c r="D84" s="69"/>
      <c r="E84" s="26"/>
      <c r="F84" s="70"/>
      <c r="G84" s="70"/>
      <c r="H84" s="26"/>
      <c r="I84" s="69"/>
      <c r="J84" s="69"/>
      <c r="K84" s="72">
        <f>SUM(K28:K83)</f>
        <v>2364178</v>
      </c>
      <c r="L84" s="72">
        <f>SUM(L28:L83)</f>
        <v>18678203</v>
      </c>
      <c r="M84" s="135"/>
      <c r="N84" s="141">
        <f t="shared" ref="N84:P84" si="13">SUM(N28:N83)</f>
        <v>872141.7245712413</v>
      </c>
      <c r="O84" s="135"/>
      <c r="P84" s="141">
        <f t="shared" si="13"/>
        <v>141307204.53649569</v>
      </c>
    </row>
    <row r="86" spans="2:16" x14ac:dyDescent="0.2">
      <c r="J86" s="67" t="s">
        <v>197</v>
      </c>
      <c r="K86" s="68">
        <f>K84+K27+K17+K6</f>
        <v>3656718</v>
      </c>
      <c r="L86" s="68">
        <f>L84+L27+L17+L6</f>
        <v>20417488</v>
      </c>
      <c r="M86" s="137"/>
      <c r="N86" s="143">
        <f t="shared" ref="N86:P86" si="14">N84+N27+N17+N6</f>
        <v>1778739.4474785328</v>
      </c>
      <c r="O86" s="137"/>
      <c r="P86" s="143">
        <f t="shared" si="14"/>
        <v>161480257.84149569</v>
      </c>
    </row>
  </sheetData>
  <autoFilter ref="B4:P87"/>
  <pageMargins left="0.7" right="0.7" top="0.75" bottom="0.75" header="0.3" footer="0.3"/>
  <pageSetup paperSize="9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1:P41"/>
  <sheetViews>
    <sheetView workbookViewId="0">
      <selection activeCell="G5" sqref="B2:P35"/>
    </sheetView>
  </sheetViews>
  <sheetFormatPr defaultRowHeight="12" x14ac:dyDescent="0.2"/>
  <cols>
    <col min="1" max="1" width="4.42578125" style="48" customWidth="1"/>
    <col min="2" max="2" width="6.5703125" style="28" customWidth="1"/>
    <col min="3" max="3" width="7.140625" style="28" customWidth="1"/>
    <col min="4" max="4" width="10.7109375" style="28" bestFit="1" customWidth="1"/>
    <col min="5" max="5" width="38.5703125" style="48" bestFit="1" customWidth="1"/>
    <col min="6" max="6" width="12.140625" style="29" bestFit="1" customWidth="1"/>
    <col min="7" max="7" width="12.140625" style="28" bestFit="1" customWidth="1"/>
    <col min="8" max="8" width="7.42578125" style="48" bestFit="1" customWidth="1"/>
    <col min="9" max="9" width="7.42578125" style="28" bestFit="1" customWidth="1"/>
    <col min="10" max="10" width="4.5703125" style="28" bestFit="1" customWidth="1"/>
    <col min="11" max="11" width="15.5703125" style="48" bestFit="1" customWidth="1"/>
    <col min="12" max="12" width="9.85546875" style="94" bestFit="1" customWidth="1"/>
    <col min="13" max="13" width="10" style="155" bestFit="1" customWidth="1"/>
    <col min="14" max="14" width="14" style="158" bestFit="1" customWidth="1"/>
    <col min="15" max="15" width="10" style="155" bestFit="1" customWidth="1"/>
    <col min="16" max="16" width="15.28515625" style="158" bestFit="1" customWidth="1"/>
    <col min="17" max="16384" width="9.140625" style="48"/>
  </cols>
  <sheetData>
    <row r="1" spans="2:16" s="29" customFormat="1" x14ac:dyDescent="0.2">
      <c r="D1" s="28"/>
      <c r="G1" s="28"/>
      <c r="I1" s="28"/>
      <c r="J1" s="28"/>
      <c r="L1" s="30"/>
      <c r="M1" s="132"/>
      <c r="N1" s="138"/>
      <c r="O1" s="132"/>
      <c r="P1" s="138"/>
    </row>
    <row r="2" spans="2:16" s="29" customFormat="1" x14ac:dyDescent="0.2">
      <c r="B2" s="18" t="s">
        <v>171</v>
      </c>
      <c r="C2" s="18"/>
      <c r="D2" s="28"/>
      <c r="G2" s="28"/>
      <c r="I2" s="28"/>
      <c r="J2" s="28"/>
      <c r="L2" s="30"/>
      <c r="M2" s="132"/>
      <c r="N2" s="138"/>
      <c r="O2" s="132"/>
      <c r="P2" s="138"/>
    </row>
    <row r="3" spans="2:16" s="29" customFormat="1" x14ac:dyDescent="0.2">
      <c r="B3" s="18" t="s">
        <v>428</v>
      </c>
      <c r="C3" s="18"/>
      <c r="D3" s="28"/>
      <c r="G3" s="28"/>
      <c r="I3" s="28"/>
      <c r="J3" s="28"/>
      <c r="L3" s="31" t="s">
        <v>169</v>
      </c>
      <c r="M3" s="154" t="s">
        <v>169</v>
      </c>
      <c r="N3" s="157" t="s">
        <v>169</v>
      </c>
      <c r="O3" s="154" t="s">
        <v>169</v>
      </c>
      <c r="P3" s="157" t="s">
        <v>169</v>
      </c>
    </row>
    <row r="4" spans="2:16" s="43" customFormat="1" x14ac:dyDescent="0.2">
      <c r="B4" s="32" t="s">
        <v>168</v>
      </c>
      <c r="C4" s="32" t="s">
        <v>196</v>
      </c>
      <c r="D4" s="32" t="s">
        <v>118</v>
      </c>
      <c r="E4" s="20" t="s">
        <v>115</v>
      </c>
      <c r="F4" s="105" t="s">
        <v>423</v>
      </c>
      <c r="G4" s="20" t="s">
        <v>119</v>
      </c>
      <c r="H4" s="19" t="s">
        <v>297</v>
      </c>
      <c r="I4" s="20" t="s">
        <v>172</v>
      </c>
      <c r="J4" s="20" t="s">
        <v>195</v>
      </c>
      <c r="K4" s="33" t="s">
        <v>170</v>
      </c>
      <c r="L4" s="33" t="s">
        <v>173</v>
      </c>
      <c r="M4" s="130" t="s">
        <v>1486</v>
      </c>
      <c r="N4" s="131" t="s">
        <v>1487</v>
      </c>
      <c r="O4" s="130" t="s">
        <v>1488</v>
      </c>
      <c r="P4" s="131" t="s">
        <v>1482</v>
      </c>
    </row>
    <row r="5" spans="2:16" x14ac:dyDescent="0.2">
      <c r="B5" s="28">
        <v>1</v>
      </c>
      <c r="C5" s="28">
        <v>1030</v>
      </c>
      <c r="D5" s="28">
        <v>5002418</v>
      </c>
      <c r="E5" s="48" t="s">
        <v>1111</v>
      </c>
      <c r="F5" s="29" t="s">
        <v>424</v>
      </c>
      <c r="G5" s="29" t="s">
        <v>159</v>
      </c>
      <c r="H5" s="48" t="s">
        <v>1120</v>
      </c>
      <c r="I5" s="28">
        <v>100</v>
      </c>
      <c r="J5" s="28" t="s">
        <v>7</v>
      </c>
      <c r="K5" s="91">
        <v>4926</v>
      </c>
      <c r="L5" s="94">
        <f>K5*I5</f>
        <v>492600</v>
      </c>
      <c r="M5" s="155">
        <v>6</v>
      </c>
      <c r="N5" s="158">
        <f>+K5*M5</f>
        <v>29556</v>
      </c>
      <c r="O5" s="155">
        <v>155.01382000000001</v>
      </c>
      <c r="P5" s="158">
        <f>+K5*O5</f>
        <v>763598.07732000004</v>
      </c>
    </row>
    <row r="6" spans="2:16" x14ac:dyDescent="0.2">
      <c r="B6" s="28">
        <v>2</v>
      </c>
      <c r="C6" s="28">
        <v>1030</v>
      </c>
      <c r="D6" s="28">
        <v>5002418</v>
      </c>
      <c r="E6" s="48" t="s">
        <v>1111</v>
      </c>
      <c r="F6" s="29" t="s">
        <v>424</v>
      </c>
      <c r="G6" s="29" t="s">
        <v>159</v>
      </c>
      <c r="H6" s="48" t="s">
        <v>1123</v>
      </c>
      <c r="I6" s="28">
        <v>100</v>
      </c>
      <c r="J6" s="28" t="s">
        <v>7</v>
      </c>
      <c r="K6" s="91">
        <v>6901</v>
      </c>
      <c r="L6" s="94">
        <f t="shared" ref="L6:L34" si="0">K6*I6</f>
        <v>690100</v>
      </c>
      <c r="M6" s="155">
        <v>6</v>
      </c>
      <c r="N6" s="158">
        <f t="shared" ref="N6:N8" si="1">+K6*M6</f>
        <v>41406</v>
      </c>
      <c r="O6" s="155">
        <v>155.01382000000001</v>
      </c>
      <c r="P6" s="158">
        <f t="shared" ref="P6:P8" si="2">+K6*O6</f>
        <v>1069750.37182</v>
      </c>
    </row>
    <row r="7" spans="2:16" x14ac:dyDescent="0.2">
      <c r="B7" s="28">
        <v>3</v>
      </c>
      <c r="C7" s="28">
        <v>1030</v>
      </c>
      <c r="D7" s="28">
        <v>5002418</v>
      </c>
      <c r="E7" s="48" t="s">
        <v>1111</v>
      </c>
      <c r="F7" s="29" t="s">
        <v>424</v>
      </c>
      <c r="G7" s="29" t="s">
        <v>159</v>
      </c>
      <c r="H7" s="48" t="s">
        <v>1125</v>
      </c>
      <c r="I7" s="28">
        <v>100</v>
      </c>
      <c r="J7" s="28" t="s">
        <v>7</v>
      </c>
      <c r="K7" s="91">
        <v>6891</v>
      </c>
      <c r="L7" s="94">
        <f t="shared" si="0"/>
        <v>689100</v>
      </c>
      <c r="M7" s="155">
        <v>6</v>
      </c>
      <c r="N7" s="158">
        <f t="shared" si="1"/>
        <v>41346</v>
      </c>
      <c r="O7" s="155">
        <v>155.01382000000001</v>
      </c>
      <c r="P7" s="158">
        <f t="shared" si="2"/>
        <v>1068200.2336200001</v>
      </c>
    </row>
    <row r="8" spans="2:16" x14ac:dyDescent="0.2">
      <c r="B8" s="28">
        <v>4</v>
      </c>
      <c r="C8" s="28">
        <v>1030</v>
      </c>
      <c r="D8" s="28">
        <v>5002418</v>
      </c>
      <c r="E8" s="48" t="s">
        <v>1111</v>
      </c>
      <c r="F8" s="29" t="s">
        <v>424</v>
      </c>
      <c r="G8" s="29" t="s">
        <v>159</v>
      </c>
      <c r="H8" s="48" t="s">
        <v>1128</v>
      </c>
      <c r="I8" s="28">
        <v>100</v>
      </c>
      <c r="J8" s="28" t="s">
        <v>7</v>
      </c>
      <c r="K8" s="91">
        <v>6909</v>
      </c>
      <c r="L8" s="94">
        <f t="shared" si="0"/>
        <v>690900</v>
      </c>
      <c r="M8" s="155">
        <v>6</v>
      </c>
      <c r="N8" s="158">
        <f t="shared" si="1"/>
        <v>41454</v>
      </c>
      <c r="O8" s="155">
        <v>155.01382000000001</v>
      </c>
      <c r="P8" s="158">
        <f t="shared" si="2"/>
        <v>1070990.4823800002</v>
      </c>
    </row>
    <row r="9" spans="2:16" x14ac:dyDescent="0.2">
      <c r="B9" s="76"/>
      <c r="C9" s="76"/>
      <c r="D9" s="76"/>
      <c r="E9" s="92"/>
      <c r="F9" s="77"/>
      <c r="G9" s="77"/>
      <c r="H9" s="92"/>
      <c r="I9" s="76"/>
      <c r="J9" s="76"/>
      <c r="K9" s="93">
        <f>SUM(K5:K8)</f>
        <v>25627</v>
      </c>
      <c r="L9" s="93">
        <f>SUM(L5:L8)</f>
        <v>2562700</v>
      </c>
      <c r="M9" s="156"/>
      <c r="N9" s="159">
        <f t="shared" ref="N9:P9" si="3">SUM(N5:N8)</f>
        <v>153762</v>
      </c>
      <c r="O9" s="156"/>
      <c r="P9" s="159">
        <f t="shared" si="3"/>
        <v>3972539.1651400002</v>
      </c>
    </row>
    <row r="10" spans="2:16" x14ac:dyDescent="0.2">
      <c r="B10" s="28">
        <v>5</v>
      </c>
      <c r="C10" s="28">
        <v>1030</v>
      </c>
      <c r="D10" s="28">
        <v>5000141</v>
      </c>
      <c r="E10" s="48" t="s">
        <v>300</v>
      </c>
      <c r="F10" s="29" t="s">
        <v>424</v>
      </c>
      <c r="G10" s="29" t="s">
        <v>301</v>
      </c>
      <c r="H10" s="48" t="s">
        <v>1118</v>
      </c>
      <c r="I10" s="28">
        <v>1</v>
      </c>
      <c r="J10" s="28" t="s">
        <v>7</v>
      </c>
      <c r="K10" s="91">
        <v>24540</v>
      </c>
      <c r="L10" s="94">
        <f t="shared" si="0"/>
        <v>24540</v>
      </c>
      <c r="M10" s="155">
        <v>1.87</v>
      </c>
      <c r="N10" s="158">
        <f t="shared" ref="N10:N34" si="4">+K10*M10</f>
        <v>45889.8</v>
      </c>
      <c r="O10" s="155">
        <v>23.163321978913221</v>
      </c>
      <c r="P10" s="158">
        <f t="shared" ref="P10:P34" si="5">+K10*O10</f>
        <v>568427.92136253044</v>
      </c>
    </row>
    <row r="11" spans="2:16" x14ac:dyDescent="0.2">
      <c r="B11" s="28">
        <v>6</v>
      </c>
      <c r="C11" s="28">
        <v>1030</v>
      </c>
      <c r="D11" s="28">
        <v>5002516</v>
      </c>
      <c r="E11" s="48" t="s">
        <v>361</v>
      </c>
      <c r="F11" s="29" t="s">
        <v>424</v>
      </c>
      <c r="G11" s="29" t="s">
        <v>301</v>
      </c>
      <c r="H11" s="48" t="s">
        <v>1127</v>
      </c>
      <c r="I11" s="28">
        <v>1</v>
      </c>
      <c r="J11" s="28" t="s">
        <v>7</v>
      </c>
      <c r="K11" s="91">
        <v>65265</v>
      </c>
      <c r="L11" s="94">
        <f t="shared" si="0"/>
        <v>65265</v>
      </c>
      <c r="M11" s="155">
        <v>1.3320000000000001</v>
      </c>
      <c r="N11" s="158">
        <f t="shared" si="4"/>
        <v>86932.98000000001</v>
      </c>
      <c r="O11" s="155">
        <v>55.837698237885469</v>
      </c>
      <c r="P11" s="158">
        <f t="shared" si="5"/>
        <v>3644247.3754955949</v>
      </c>
    </row>
    <row r="12" spans="2:16" x14ac:dyDescent="0.2">
      <c r="B12" s="28">
        <v>7</v>
      </c>
      <c r="C12" s="28">
        <v>1030</v>
      </c>
      <c r="D12" s="28">
        <v>5002516</v>
      </c>
      <c r="E12" s="48" t="s">
        <v>361</v>
      </c>
      <c r="F12" s="29" t="s">
        <v>424</v>
      </c>
      <c r="G12" s="29" t="s">
        <v>301</v>
      </c>
      <c r="H12" s="48" t="s">
        <v>1129</v>
      </c>
      <c r="I12" s="28">
        <v>1</v>
      </c>
      <c r="J12" s="28" t="s">
        <v>7</v>
      </c>
      <c r="K12" s="91">
        <v>64833</v>
      </c>
      <c r="L12" s="94">
        <f t="shared" si="0"/>
        <v>64833</v>
      </c>
      <c r="M12" s="155">
        <v>1.3320000000000001</v>
      </c>
      <c r="N12" s="158">
        <f t="shared" si="4"/>
        <v>86357.556000000011</v>
      </c>
      <c r="O12" s="155">
        <v>55.837698237885469</v>
      </c>
      <c r="P12" s="158">
        <f t="shared" si="5"/>
        <v>3620125.4898568285</v>
      </c>
    </row>
    <row r="13" spans="2:16" x14ac:dyDescent="0.2">
      <c r="B13" s="28">
        <v>8</v>
      </c>
      <c r="C13" s="28">
        <v>1030</v>
      </c>
      <c r="D13" s="28">
        <v>5002516</v>
      </c>
      <c r="E13" s="48" t="s">
        <v>361</v>
      </c>
      <c r="F13" s="29" t="s">
        <v>424</v>
      </c>
      <c r="G13" s="29" t="s">
        <v>301</v>
      </c>
      <c r="H13" s="48" t="s">
        <v>1130</v>
      </c>
      <c r="I13" s="28">
        <v>1</v>
      </c>
      <c r="J13" s="28" t="s">
        <v>7</v>
      </c>
      <c r="K13" s="91">
        <v>64935</v>
      </c>
      <c r="L13" s="94">
        <f t="shared" si="0"/>
        <v>64935</v>
      </c>
      <c r="M13" s="155">
        <v>1.3320000000000001</v>
      </c>
      <c r="N13" s="158">
        <f t="shared" si="4"/>
        <v>86493.42</v>
      </c>
      <c r="O13" s="155">
        <v>55.837698237885469</v>
      </c>
      <c r="P13" s="158">
        <f t="shared" si="5"/>
        <v>3625820.9350770931</v>
      </c>
    </row>
    <row r="14" spans="2:16" x14ac:dyDescent="0.2">
      <c r="B14" s="28">
        <v>9</v>
      </c>
      <c r="C14" s="28">
        <v>1030</v>
      </c>
      <c r="D14" s="28">
        <v>5001441</v>
      </c>
      <c r="E14" s="48" t="s">
        <v>362</v>
      </c>
      <c r="F14" s="29" t="s">
        <v>424</v>
      </c>
      <c r="G14" s="29" t="s">
        <v>301</v>
      </c>
      <c r="H14" s="48" t="s">
        <v>1144</v>
      </c>
      <c r="I14" s="28">
        <v>1</v>
      </c>
      <c r="J14" s="28" t="s">
        <v>7</v>
      </c>
      <c r="K14" s="91">
        <v>32669</v>
      </c>
      <c r="L14" s="94">
        <f t="shared" si="0"/>
        <v>32669</v>
      </c>
      <c r="M14" s="155">
        <v>0.71</v>
      </c>
      <c r="N14" s="158">
        <f t="shared" si="4"/>
        <v>23194.989999999998</v>
      </c>
      <c r="O14" s="155">
        <v>180.4196586419753</v>
      </c>
      <c r="P14" s="158">
        <f t="shared" si="5"/>
        <v>5894129.8281746907</v>
      </c>
    </row>
    <row r="15" spans="2:16" x14ac:dyDescent="0.2">
      <c r="B15" s="28">
        <v>10</v>
      </c>
      <c r="C15" s="28">
        <v>1030</v>
      </c>
      <c r="D15" s="28">
        <v>5001441</v>
      </c>
      <c r="E15" s="48" t="s">
        <v>362</v>
      </c>
      <c r="F15" s="29" t="s">
        <v>424</v>
      </c>
      <c r="G15" s="29" t="s">
        <v>301</v>
      </c>
      <c r="H15" s="48" t="s">
        <v>1145</v>
      </c>
      <c r="I15" s="28">
        <v>1</v>
      </c>
      <c r="J15" s="28" t="s">
        <v>7</v>
      </c>
      <c r="K15" s="91">
        <v>32453</v>
      </c>
      <c r="L15" s="94">
        <f t="shared" si="0"/>
        <v>32453</v>
      </c>
      <c r="M15" s="155">
        <v>0.71</v>
      </c>
      <c r="N15" s="158">
        <f t="shared" si="4"/>
        <v>23041.629999999997</v>
      </c>
      <c r="O15" s="155">
        <v>180.4196586419753</v>
      </c>
      <c r="P15" s="158">
        <f t="shared" si="5"/>
        <v>5855159.1819080245</v>
      </c>
    </row>
    <row r="16" spans="2:16" x14ac:dyDescent="0.2">
      <c r="B16" s="28">
        <v>11</v>
      </c>
      <c r="C16" s="28">
        <v>1030</v>
      </c>
      <c r="D16" s="28">
        <v>5001101</v>
      </c>
      <c r="E16" s="48" t="s">
        <v>363</v>
      </c>
      <c r="F16" s="29" t="s">
        <v>424</v>
      </c>
      <c r="G16" s="29" t="s">
        <v>157</v>
      </c>
      <c r="H16" s="48" t="s">
        <v>1119</v>
      </c>
      <c r="I16" s="28">
        <v>1</v>
      </c>
      <c r="J16" s="28" t="s">
        <v>7</v>
      </c>
      <c r="K16" s="91">
        <v>24680</v>
      </c>
      <c r="L16" s="94">
        <f t="shared" si="0"/>
        <v>24680</v>
      </c>
      <c r="M16" s="155">
        <v>1.62</v>
      </c>
      <c r="N16" s="158">
        <f t="shared" si="4"/>
        <v>39981.600000000006</v>
      </c>
      <c r="O16" s="155">
        <v>45.893999801744648</v>
      </c>
      <c r="P16" s="158">
        <f t="shared" si="5"/>
        <v>1132663.9151070579</v>
      </c>
    </row>
    <row r="17" spans="2:16" x14ac:dyDescent="0.2">
      <c r="B17" s="28">
        <v>12</v>
      </c>
      <c r="C17" s="28">
        <v>1030</v>
      </c>
      <c r="D17" s="28">
        <v>5001101</v>
      </c>
      <c r="E17" s="48" t="s">
        <v>363</v>
      </c>
      <c r="F17" s="29" t="s">
        <v>424</v>
      </c>
      <c r="G17" s="29" t="s">
        <v>157</v>
      </c>
      <c r="H17" s="48" t="s">
        <v>1121</v>
      </c>
      <c r="I17" s="28">
        <v>1</v>
      </c>
      <c r="J17" s="28" t="s">
        <v>7</v>
      </c>
      <c r="K17" s="91">
        <v>24560</v>
      </c>
      <c r="L17" s="94">
        <f t="shared" si="0"/>
        <v>24560</v>
      </c>
      <c r="M17" s="155">
        <v>1.62</v>
      </c>
      <c r="N17" s="158">
        <f t="shared" si="4"/>
        <v>39787.200000000004</v>
      </c>
      <c r="O17" s="155">
        <v>45.893999801744648</v>
      </c>
      <c r="P17" s="158">
        <f t="shared" si="5"/>
        <v>1127156.6351308485</v>
      </c>
    </row>
    <row r="18" spans="2:16" x14ac:dyDescent="0.2">
      <c r="B18" s="28">
        <v>13</v>
      </c>
      <c r="C18" s="28">
        <v>1030</v>
      </c>
      <c r="D18" s="28">
        <v>5001101</v>
      </c>
      <c r="E18" s="48" t="s">
        <v>363</v>
      </c>
      <c r="F18" s="29" t="s">
        <v>424</v>
      </c>
      <c r="G18" s="29" t="s">
        <v>157</v>
      </c>
      <c r="H18" s="48" t="s">
        <v>1122</v>
      </c>
      <c r="I18" s="28">
        <v>1</v>
      </c>
      <c r="J18" s="28" t="s">
        <v>7</v>
      </c>
      <c r="K18" s="91">
        <v>24620</v>
      </c>
      <c r="L18" s="94">
        <f t="shared" si="0"/>
        <v>24620</v>
      </c>
      <c r="M18" s="155">
        <v>1.62</v>
      </c>
      <c r="N18" s="158">
        <f t="shared" si="4"/>
        <v>39884.400000000001</v>
      </c>
      <c r="O18" s="155">
        <v>45.893999801744648</v>
      </c>
      <c r="P18" s="158">
        <f t="shared" si="5"/>
        <v>1129910.2751189533</v>
      </c>
    </row>
    <row r="19" spans="2:16" x14ac:dyDescent="0.2">
      <c r="B19" s="28">
        <v>14</v>
      </c>
      <c r="C19" s="28">
        <v>1030</v>
      </c>
      <c r="D19" s="28">
        <v>5001101</v>
      </c>
      <c r="E19" s="48" t="s">
        <v>363</v>
      </c>
      <c r="F19" s="29" t="s">
        <v>424</v>
      </c>
      <c r="G19" s="29" t="s">
        <v>157</v>
      </c>
      <c r="H19" s="48" t="s">
        <v>1124</v>
      </c>
      <c r="I19" s="28">
        <v>1</v>
      </c>
      <c r="J19" s="28" t="s">
        <v>7</v>
      </c>
      <c r="K19" s="91">
        <v>24620</v>
      </c>
      <c r="L19" s="94">
        <f t="shared" si="0"/>
        <v>24620</v>
      </c>
      <c r="M19" s="155">
        <v>1.62</v>
      </c>
      <c r="N19" s="158">
        <f t="shared" si="4"/>
        <v>39884.400000000001</v>
      </c>
      <c r="O19" s="155">
        <v>45.893999801744648</v>
      </c>
      <c r="P19" s="158">
        <f t="shared" si="5"/>
        <v>1129910.2751189533</v>
      </c>
    </row>
    <row r="20" spans="2:16" x14ac:dyDescent="0.2">
      <c r="B20" s="28">
        <v>15</v>
      </c>
      <c r="C20" s="28">
        <v>1030</v>
      </c>
      <c r="D20" s="28">
        <v>5001151</v>
      </c>
      <c r="E20" s="48" t="s">
        <v>1112</v>
      </c>
      <c r="F20" s="29" t="s">
        <v>424</v>
      </c>
      <c r="G20" s="29" t="s">
        <v>157</v>
      </c>
      <c r="H20" s="48" t="s">
        <v>1126</v>
      </c>
      <c r="I20" s="28">
        <v>1</v>
      </c>
      <c r="J20" s="28" t="s">
        <v>7</v>
      </c>
      <c r="K20" s="91">
        <v>13920</v>
      </c>
      <c r="L20" s="94">
        <f t="shared" si="0"/>
        <v>13920</v>
      </c>
      <c r="M20" s="155">
        <v>1.4878350515463918</v>
      </c>
      <c r="N20" s="158">
        <f t="shared" si="4"/>
        <v>20710.663917525773</v>
      </c>
      <c r="O20" s="155">
        <v>183.52329999999995</v>
      </c>
      <c r="P20" s="158">
        <f t="shared" si="5"/>
        <v>2554644.3359999992</v>
      </c>
    </row>
    <row r="21" spans="2:16" x14ac:dyDescent="0.2">
      <c r="B21" s="28">
        <v>16</v>
      </c>
      <c r="C21" s="28">
        <v>1030</v>
      </c>
      <c r="D21" s="28">
        <v>8000263</v>
      </c>
      <c r="E21" s="48" t="s">
        <v>1113</v>
      </c>
      <c r="F21" s="29" t="s">
        <v>424</v>
      </c>
      <c r="G21" s="29" t="s">
        <v>157</v>
      </c>
      <c r="H21" s="48" t="s">
        <v>1126</v>
      </c>
      <c r="I21" s="28">
        <v>1</v>
      </c>
      <c r="J21" s="28" t="s">
        <v>7</v>
      </c>
      <c r="K21" s="91">
        <v>2550</v>
      </c>
      <c r="L21" s="94">
        <f t="shared" si="0"/>
        <v>2550</v>
      </c>
      <c r="M21" s="155">
        <v>1.39</v>
      </c>
      <c r="N21" s="158">
        <f t="shared" si="4"/>
        <v>3544.4999999999995</v>
      </c>
      <c r="O21" s="155">
        <v>21.046249999999997</v>
      </c>
      <c r="P21" s="158">
        <f t="shared" si="5"/>
        <v>53667.937499999993</v>
      </c>
    </row>
    <row r="22" spans="2:16" x14ac:dyDescent="0.2">
      <c r="B22" s="28">
        <v>17</v>
      </c>
      <c r="C22" s="28">
        <v>1030</v>
      </c>
      <c r="D22" s="28">
        <v>5001101</v>
      </c>
      <c r="E22" s="48" t="s">
        <v>363</v>
      </c>
      <c r="F22" s="29" t="s">
        <v>424</v>
      </c>
      <c r="G22" s="29" t="s">
        <v>157</v>
      </c>
      <c r="H22" s="48" t="s">
        <v>1131</v>
      </c>
      <c r="I22" s="28">
        <v>1</v>
      </c>
      <c r="J22" s="28" t="s">
        <v>7</v>
      </c>
      <c r="K22" s="91">
        <v>24680</v>
      </c>
      <c r="L22" s="94">
        <f t="shared" si="0"/>
        <v>24680</v>
      </c>
      <c r="M22" s="155">
        <v>1.62</v>
      </c>
      <c r="N22" s="158">
        <f t="shared" si="4"/>
        <v>39981.600000000006</v>
      </c>
      <c r="O22" s="155">
        <v>45.893999801744648</v>
      </c>
      <c r="P22" s="158">
        <f t="shared" si="5"/>
        <v>1132663.9151070579</v>
      </c>
    </row>
    <row r="23" spans="2:16" x14ac:dyDescent="0.2">
      <c r="B23" s="28">
        <v>18</v>
      </c>
      <c r="C23" s="28">
        <v>1030</v>
      </c>
      <c r="D23" s="28">
        <v>5001101</v>
      </c>
      <c r="E23" s="48" t="s">
        <v>363</v>
      </c>
      <c r="F23" s="29" t="s">
        <v>424</v>
      </c>
      <c r="G23" s="29" t="s">
        <v>157</v>
      </c>
      <c r="H23" s="48" t="s">
        <v>1132</v>
      </c>
      <c r="I23" s="28">
        <v>1</v>
      </c>
      <c r="J23" s="28" t="s">
        <v>7</v>
      </c>
      <c r="K23" s="91">
        <v>24680</v>
      </c>
      <c r="L23" s="94">
        <f t="shared" si="0"/>
        <v>24680</v>
      </c>
      <c r="M23" s="155">
        <v>1.62</v>
      </c>
      <c r="N23" s="158">
        <f t="shared" si="4"/>
        <v>39981.600000000006</v>
      </c>
      <c r="O23" s="155">
        <v>45.893999801744648</v>
      </c>
      <c r="P23" s="158">
        <f t="shared" si="5"/>
        <v>1132663.9151070579</v>
      </c>
    </row>
    <row r="24" spans="2:16" x14ac:dyDescent="0.2">
      <c r="B24" s="28">
        <v>19</v>
      </c>
      <c r="C24" s="28">
        <v>1030</v>
      </c>
      <c r="D24" s="28">
        <v>5001101</v>
      </c>
      <c r="E24" s="48" t="s">
        <v>363</v>
      </c>
      <c r="F24" s="29" t="s">
        <v>424</v>
      </c>
      <c r="G24" s="29" t="s">
        <v>157</v>
      </c>
      <c r="H24" s="48" t="s">
        <v>1133</v>
      </c>
      <c r="I24" s="28">
        <v>1</v>
      </c>
      <c r="J24" s="28" t="s">
        <v>7</v>
      </c>
      <c r="K24" s="91">
        <v>24650</v>
      </c>
      <c r="L24" s="94">
        <f t="shared" si="0"/>
        <v>24650</v>
      </c>
      <c r="M24" s="155">
        <v>1.62</v>
      </c>
      <c r="N24" s="158">
        <f t="shared" si="4"/>
        <v>39933</v>
      </c>
      <c r="O24" s="155">
        <v>45.893999801744648</v>
      </c>
      <c r="P24" s="158">
        <f t="shared" si="5"/>
        <v>1131287.0951130055</v>
      </c>
    </row>
    <row r="25" spans="2:16" x14ac:dyDescent="0.2">
      <c r="B25" s="28">
        <v>20</v>
      </c>
      <c r="C25" s="28">
        <v>1030</v>
      </c>
      <c r="D25" s="28">
        <v>5001506</v>
      </c>
      <c r="E25" s="48" t="s">
        <v>1114</v>
      </c>
      <c r="F25" s="29" t="s">
        <v>424</v>
      </c>
      <c r="G25" s="29" t="s">
        <v>157</v>
      </c>
      <c r="H25" s="48" t="s">
        <v>1134</v>
      </c>
      <c r="I25" s="28">
        <v>1</v>
      </c>
      <c r="J25" s="28" t="s">
        <v>7</v>
      </c>
      <c r="K25" s="91">
        <v>16822</v>
      </c>
      <c r="L25" s="94">
        <f t="shared" si="0"/>
        <v>16822</v>
      </c>
      <c r="M25" s="155">
        <v>1.98</v>
      </c>
      <c r="N25" s="158">
        <f t="shared" si="4"/>
        <v>33307.56</v>
      </c>
      <c r="O25" s="155">
        <v>58.92949999999999</v>
      </c>
      <c r="P25" s="158">
        <f t="shared" si="5"/>
        <v>991312.04899999988</v>
      </c>
    </row>
    <row r="26" spans="2:16" x14ac:dyDescent="0.2">
      <c r="B26" s="28">
        <v>21</v>
      </c>
      <c r="C26" s="28">
        <v>1030</v>
      </c>
      <c r="D26" s="28">
        <v>5001506</v>
      </c>
      <c r="E26" s="48" t="s">
        <v>1114</v>
      </c>
      <c r="F26" s="29" t="s">
        <v>424</v>
      </c>
      <c r="G26" s="29" t="s">
        <v>157</v>
      </c>
      <c r="H26" s="48" t="s">
        <v>1135</v>
      </c>
      <c r="I26" s="28">
        <v>1</v>
      </c>
      <c r="J26" s="28" t="s">
        <v>7</v>
      </c>
      <c r="K26" s="91">
        <v>42082</v>
      </c>
      <c r="L26" s="94">
        <f t="shared" si="0"/>
        <v>42082</v>
      </c>
      <c r="M26" s="155">
        <v>1.98</v>
      </c>
      <c r="N26" s="158">
        <f t="shared" si="4"/>
        <v>83322.36</v>
      </c>
      <c r="O26" s="155">
        <v>58.92949999999999</v>
      </c>
      <c r="P26" s="158">
        <f t="shared" si="5"/>
        <v>2479871.2189999996</v>
      </c>
    </row>
    <row r="27" spans="2:16" x14ac:dyDescent="0.2">
      <c r="B27" s="28">
        <v>22</v>
      </c>
      <c r="C27" s="28">
        <v>1030</v>
      </c>
      <c r="D27" s="28">
        <v>5001506</v>
      </c>
      <c r="E27" s="48" t="s">
        <v>1114</v>
      </c>
      <c r="F27" s="29" t="s">
        <v>424</v>
      </c>
      <c r="G27" s="29" t="s">
        <v>157</v>
      </c>
      <c r="H27" s="48" t="s">
        <v>1136</v>
      </c>
      <c r="I27" s="28">
        <v>1</v>
      </c>
      <c r="J27" s="28" t="s">
        <v>7</v>
      </c>
      <c r="K27" s="91">
        <v>42082</v>
      </c>
      <c r="L27" s="94">
        <f t="shared" si="0"/>
        <v>42082</v>
      </c>
      <c r="M27" s="155">
        <v>1.98</v>
      </c>
      <c r="N27" s="158">
        <f t="shared" si="4"/>
        <v>83322.36</v>
      </c>
      <c r="O27" s="155">
        <v>58.92949999999999</v>
      </c>
      <c r="P27" s="158">
        <f t="shared" si="5"/>
        <v>2479871.2189999996</v>
      </c>
    </row>
    <row r="28" spans="2:16" x14ac:dyDescent="0.2">
      <c r="B28" s="28">
        <v>23</v>
      </c>
      <c r="C28" s="28">
        <v>1030</v>
      </c>
      <c r="D28" s="28">
        <v>5001506</v>
      </c>
      <c r="E28" s="48" t="s">
        <v>1114</v>
      </c>
      <c r="F28" s="29" t="s">
        <v>424</v>
      </c>
      <c r="G28" s="29" t="s">
        <v>157</v>
      </c>
      <c r="H28" s="48" t="s">
        <v>1137</v>
      </c>
      <c r="I28" s="28">
        <v>1</v>
      </c>
      <c r="J28" s="28" t="s">
        <v>7</v>
      </c>
      <c r="K28" s="91">
        <v>42082</v>
      </c>
      <c r="L28" s="94">
        <f t="shared" si="0"/>
        <v>42082</v>
      </c>
      <c r="M28" s="155">
        <v>1.98</v>
      </c>
      <c r="N28" s="158">
        <f t="shared" si="4"/>
        <v>83322.36</v>
      </c>
      <c r="O28" s="155">
        <v>58.92949999999999</v>
      </c>
      <c r="P28" s="158">
        <f t="shared" si="5"/>
        <v>2479871.2189999996</v>
      </c>
    </row>
    <row r="29" spans="2:16" x14ac:dyDescent="0.2">
      <c r="B29" s="28">
        <v>24</v>
      </c>
      <c r="C29" s="28">
        <v>1030</v>
      </c>
      <c r="D29" s="28">
        <v>5001506</v>
      </c>
      <c r="E29" s="48" t="s">
        <v>1114</v>
      </c>
      <c r="F29" s="29" t="s">
        <v>424</v>
      </c>
      <c r="G29" s="29" t="s">
        <v>157</v>
      </c>
      <c r="H29" s="48" t="s">
        <v>1138</v>
      </c>
      <c r="I29" s="28">
        <v>1</v>
      </c>
      <c r="J29" s="28" t="s">
        <v>7</v>
      </c>
      <c r="K29" s="91">
        <v>42118</v>
      </c>
      <c r="L29" s="94">
        <f t="shared" si="0"/>
        <v>42118</v>
      </c>
      <c r="M29" s="155">
        <v>1.98</v>
      </c>
      <c r="N29" s="158">
        <f t="shared" si="4"/>
        <v>83393.64</v>
      </c>
      <c r="O29" s="155">
        <v>58.92949999999999</v>
      </c>
      <c r="P29" s="158">
        <f t="shared" si="5"/>
        <v>2481992.6809999994</v>
      </c>
    </row>
    <row r="30" spans="2:16" x14ac:dyDescent="0.2">
      <c r="B30" s="28">
        <v>25</v>
      </c>
      <c r="C30" s="28">
        <v>1030</v>
      </c>
      <c r="D30" s="28">
        <v>5000963</v>
      </c>
      <c r="E30" s="48" t="s">
        <v>1115</v>
      </c>
      <c r="F30" s="29" t="s">
        <v>424</v>
      </c>
      <c r="G30" s="29" t="s">
        <v>157</v>
      </c>
      <c r="H30" s="48" t="s">
        <v>1139</v>
      </c>
      <c r="I30" s="28">
        <v>1</v>
      </c>
      <c r="J30" s="28" t="s">
        <v>7</v>
      </c>
      <c r="K30" s="91">
        <v>24503</v>
      </c>
      <c r="L30" s="94">
        <f t="shared" si="0"/>
        <v>24503</v>
      </c>
      <c r="M30" s="155">
        <v>1.31</v>
      </c>
      <c r="N30" s="158">
        <f t="shared" si="4"/>
        <v>32098.93</v>
      </c>
      <c r="O30" s="155">
        <v>67.347999999999999</v>
      </c>
      <c r="P30" s="158">
        <f t="shared" si="5"/>
        <v>1650228.044</v>
      </c>
    </row>
    <row r="31" spans="2:16" x14ac:dyDescent="0.2">
      <c r="B31" s="28">
        <v>26</v>
      </c>
      <c r="C31" s="28">
        <v>1030</v>
      </c>
      <c r="D31" s="28">
        <v>5000963</v>
      </c>
      <c r="E31" s="48" t="s">
        <v>1115</v>
      </c>
      <c r="F31" s="29" t="s">
        <v>424</v>
      </c>
      <c r="G31" s="29" t="s">
        <v>157</v>
      </c>
      <c r="H31" s="48" t="s">
        <v>1140</v>
      </c>
      <c r="I31" s="28">
        <v>1</v>
      </c>
      <c r="J31" s="28" t="s">
        <v>7</v>
      </c>
      <c r="K31" s="91">
        <v>24683</v>
      </c>
      <c r="L31" s="94">
        <f t="shared" si="0"/>
        <v>24683</v>
      </c>
      <c r="M31" s="155">
        <v>1.31</v>
      </c>
      <c r="N31" s="158">
        <f t="shared" si="4"/>
        <v>32334.73</v>
      </c>
      <c r="O31" s="155">
        <v>67.347999999999999</v>
      </c>
      <c r="P31" s="158">
        <f t="shared" si="5"/>
        <v>1662350.6839999999</v>
      </c>
    </row>
    <row r="32" spans="2:16" x14ac:dyDescent="0.2">
      <c r="B32" s="28">
        <v>27</v>
      </c>
      <c r="C32" s="28">
        <v>1030</v>
      </c>
      <c r="D32" s="28">
        <v>5000963</v>
      </c>
      <c r="E32" s="48" t="s">
        <v>1115</v>
      </c>
      <c r="F32" s="29" t="s">
        <v>424</v>
      </c>
      <c r="G32" s="29" t="s">
        <v>157</v>
      </c>
      <c r="H32" s="48" t="s">
        <v>1141</v>
      </c>
      <c r="I32" s="28">
        <v>1</v>
      </c>
      <c r="J32" s="28" t="s">
        <v>7</v>
      </c>
      <c r="K32" s="91">
        <v>24665</v>
      </c>
      <c r="L32" s="94">
        <f t="shared" si="0"/>
        <v>24665</v>
      </c>
      <c r="M32" s="155">
        <v>1.31</v>
      </c>
      <c r="N32" s="158">
        <f t="shared" si="4"/>
        <v>32311.15</v>
      </c>
      <c r="O32" s="155">
        <v>67.347999999999999</v>
      </c>
      <c r="P32" s="158">
        <f t="shared" si="5"/>
        <v>1661138.42</v>
      </c>
    </row>
    <row r="33" spans="2:16" x14ac:dyDescent="0.2">
      <c r="B33" s="28">
        <v>28</v>
      </c>
      <c r="C33" s="28">
        <v>1030</v>
      </c>
      <c r="D33" s="28">
        <v>5005764</v>
      </c>
      <c r="E33" s="48" t="s">
        <v>1116</v>
      </c>
      <c r="F33" s="29" t="s">
        <v>424</v>
      </c>
      <c r="G33" s="29" t="s">
        <v>157</v>
      </c>
      <c r="H33" s="48" t="s">
        <v>1142</v>
      </c>
      <c r="I33" s="28">
        <v>1</v>
      </c>
      <c r="J33" s="28" t="s">
        <v>7</v>
      </c>
      <c r="K33" s="91">
        <v>24665</v>
      </c>
      <c r="L33" s="94">
        <f t="shared" si="0"/>
        <v>24665</v>
      </c>
      <c r="M33" s="155">
        <v>1.738</v>
      </c>
      <c r="N33" s="158">
        <f t="shared" si="4"/>
        <v>42867.77</v>
      </c>
      <c r="O33" s="155">
        <v>51.738015560722587</v>
      </c>
      <c r="P33" s="158">
        <f t="shared" si="5"/>
        <v>1276118.1538052226</v>
      </c>
    </row>
    <row r="34" spans="2:16" x14ac:dyDescent="0.2">
      <c r="B34" s="28">
        <v>29</v>
      </c>
      <c r="C34" s="28">
        <v>1030</v>
      </c>
      <c r="D34" s="28">
        <v>5001105</v>
      </c>
      <c r="E34" s="48" t="s">
        <v>1117</v>
      </c>
      <c r="F34" s="29" t="s">
        <v>424</v>
      </c>
      <c r="G34" s="29" t="s">
        <v>157</v>
      </c>
      <c r="H34" s="48" t="s">
        <v>1143</v>
      </c>
      <c r="I34" s="28">
        <v>1</v>
      </c>
      <c r="J34" s="28" t="s">
        <v>7</v>
      </c>
      <c r="K34" s="91">
        <v>9873</v>
      </c>
      <c r="L34" s="94">
        <f t="shared" si="0"/>
        <v>9873</v>
      </c>
      <c r="M34" s="155">
        <v>2.06</v>
      </c>
      <c r="N34" s="158">
        <f t="shared" si="4"/>
        <v>20338.38</v>
      </c>
      <c r="O34" s="155">
        <v>83.984999999999999</v>
      </c>
      <c r="P34" s="158">
        <f t="shared" si="5"/>
        <v>829183.90500000003</v>
      </c>
    </row>
    <row r="35" spans="2:16" x14ac:dyDescent="0.2">
      <c r="B35" s="76"/>
      <c r="C35" s="76"/>
      <c r="D35" s="76"/>
      <c r="E35" s="92"/>
      <c r="F35" s="77"/>
      <c r="G35" s="76"/>
      <c r="H35" s="92"/>
      <c r="I35" s="76"/>
      <c r="J35" s="76"/>
      <c r="K35" s="93">
        <f>SUM(K10:K34)</f>
        <v>767230</v>
      </c>
      <c r="L35" s="93">
        <f>SUM(L10:L34)</f>
        <v>767230</v>
      </c>
      <c r="M35" s="156"/>
      <c r="N35" s="159">
        <f t="shared" ref="N35:P35" si="6">SUM(N10:N34)</f>
        <v>1182218.5799175254</v>
      </c>
      <c r="O35" s="156"/>
      <c r="P35" s="159">
        <f t="shared" si="6"/>
        <v>51724416.624982923</v>
      </c>
    </row>
    <row r="37" spans="2:16" x14ac:dyDescent="0.2">
      <c r="J37" s="67" t="s">
        <v>197</v>
      </c>
      <c r="K37" s="68">
        <f>K35+K9</f>
        <v>792857</v>
      </c>
      <c r="L37" s="68">
        <f>L35+L9</f>
        <v>3329930</v>
      </c>
      <c r="M37" s="137"/>
      <c r="N37" s="143">
        <f t="shared" ref="N37:P37" si="7">N35+N9</f>
        <v>1335980.5799175254</v>
      </c>
      <c r="O37" s="137"/>
      <c r="P37" s="143">
        <f t="shared" si="7"/>
        <v>55696955.790122926</v>
      </c>
    </row>
    <row r="40" spans="2:16" x14ac:dyDescent="0.2">
      <c r="K40" s="91"/>
    </row>
    <row r="41" spans="2:16" x14ac:dyDescent="0.2">
      <c r="K41" s="116"/>
    </row>
  </sheetData>
  <autoFilter ref="B4:P39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B2:Q215"/>
  <sheetViews>
    <sheetView workbookViewId="0">
      <selection activeCell="M21" sqref="M21"/>
    </sheetView>
  </sheetViews>
  <sheetFormatPr defaultRowHeight="12" x14ac:dyDescent="0.2"/>
  <cols>
    <col min="1" max="1" width="4.5703125" style="16" customWidth="1"/>
    <col min="2" max="2" width="6.140625" style="15" bestFit="1" customWidth="1"/>
    <col min="3" max="3" width="8.42578125" style="15" bestFit="1" customWidth="1"/>
    <col min="4" max="4" width="10.7109375" style="15" bestFit="1" customWidth="1"/>
    <col min="5" max="5" width="38.28515625" style="16" bestFit="1" customWidth="1"/>
    <col min="6" max="6" width="11.7109375" style="100" bestFit="1" customWidth="1"/>
    <col min="7" max="7" width="19.140625" style="100" bestFit="1" customWidth="1"/>
    <col min="8" max="8" width="8.140625" style="16" bestFit="1" customWidth="1"/>
    <col min="9" max="9" width="7.42578125" style="15" bestFit="1" customWidth="1"/>
    <col min="10" max="10" width="4" style="15" bestFit="1" customWidth="1"/>
    <col min="11" max="11" width="15.7109375" style="98" bestFit="1" customWidth="1"/>
    <col min="12" max="12" width="11.140625" style="17" bestFit="1" customWidth="1"/>
    <col min="13" max="13" width="11.28515625" style="160" bestFit="1" customWidth="1"/>
    <col min="14" max="14" width="12.140625" style="162" bestFit="1" customWidth="1"/>
    <col min="15" max="15" width="11.28515625" style="160" bestFit="1" customWidth="1"/>
    <col min="16" max="16" width="14.42578125" style="162" bestFit="1" customWidth="1"/>
    <col min="17" max="17" width="30" style="16" bestFit="1" customWidth="1"/>
    <col min="18" max="16384" width="9.140625" style="16"/>
  </cols>
  <sheetData>
    <row r="2" spans="2:17" x14ac:dyDescent="0.2">
      <c r="B2" s="14" t="s">
        <v>206</v>
      </c>
    </row>
    <row r="3" spans="2:17" x14ac:dyDescent="0.2">
      <c r="B3" s="18" t="s">
        <v>428</v>
      </c>
    </row>
    <row r="4" spans="2:17" s="22" customFormat="1" x14ac:dyDescent="0.2">
      <c r="B4" s="19" t="s">
        <v>168</v>
      </c>
      <c r="C4" s="19" t="s">
        <v>116</v>
      </c>
      <c r="D4" s="19" t="s">
        <v>118</v>
      </c>
      <c r="E4" s="19" t="s">
        <v>115</v>
      </c>
      <c r="F4" s="105" t="s">
        <v>423</v>
      </c>
      <c r="G4" s="19" t="s">
        <v>119</v>
      </c>
      <c r="H4" s="19" t="s">
        <v>297</v>
      </c>
      <c r="I4" s="20" t="s">
        <v>172</v>
      </c>
      <c r="J4" s="19" t="s">
        <v>120</v>
      </c>
      <c r="K4" s="99" t="s">
        <v>170</v>
      </c>
      <c r="L4" s="21" t="s">
        <v>173</v>
      </c>
      <c r="M4" s="130" t="s">
        <v>1486</v>
      </c>
      <c r="N4" s="131" t="s">
        <v>1487</v>
      </c>
      <c r="O4" s="130" t="s">
        <v>1488</v>
      </c>
      <c r="P4" s="131" t="s">
        <v>1482</v>
      </c>
      <c r="Q4" s="19" t="s">
        <v>117</v>
      </c>
    </row>
    <row r="5" spans="2:17" x14ac:dyDescent="0.2">
      <c r="B5" s="15">
        <v>1</v>
      </c>
      <c r="C5" s="23" t="s">
        <v>1159</v>
      </c>
      <c r="D5" s="106">
        <v>5000136</v>
      </c>
      <c r="E5" s="24" t="s">
        <v>357</v>
      </c>
      <c r="F5" s="29" t="s">
        <v>424</v>
      </c>
      <c r="G5" s="29" t="s">
        <v>159</v>
      </c>
      <c r="H5" s="24" t="s">
        <v>1266</v>
      </c>
      <c r="I5" s="15">
        <v>10</v>
      </c>
      <c r="J5" s="24" t="s">
        <v>3</v>
      </c>
      <c r="K5" s="35">
        <v>58800</v>
      </c>
      <c r="L5" s="17">
        <f>K5*I5</f>
        <v>588000</v>
      </c>
      <c r="M5" s="160">
        <v>0.63740000000000008</v>
      </c>
      <c r="N5" s="162">
        <f>+K5*M5</f>
        <v>37479.120000000003</v>
      </c>
      <c r="O5" s="160">
        <v>18.625</v>
      </c>
      <c r="P5" s="162">
        <f>+K5*O5</f>
        <v>1095150</v>
      </c>
      <c r="Q5" s="24" t="s">
        <v>347</v>
      </c>
    </row>
    <row r="6" spans="2:17" x14ac:dyDescent="0.2">
      <c r="B6" s="15">
        <v>2</v>
      </c>
      <c r="C6" s="23" t="s">
        <v>1159</v>
      </c>
      <c r="D6" s="106">
        <v>5000216</v>
      </c>
      <c r="E6" s="24" t="s">
        <v>1203</v>
      </c>
      <c r="F6" s="29" t="s">
        <v>424</v>
      </c>
      <c r="G6" s="29" t="s">
        <v>159</v>
      </c>
      <c r="H6" s="24" t="s">
        <v>1332</v>
      </c>
      <c r="I6" s="15">
        <v>6</v>
      </c>
      <c r="J6" s="24" t="s">
        <v>3</v>
      </c>
      <c r="K6" s="35">
        <v>48600</v>
      </c>
      <c r="L6" s="17">
        <f>K6*I6</f>
        <v>291600</v>
      </c>
      <c r="M6" s="160">
        <v>0.52469999999999994</v>
      </c>
      <c r="N6" s="162">
        <f t="shared" ref="N6:N7" si="0">+K6*M6</f>
        <v>25500.42</v>
      </c>
      <c r="O6" s="160">
        <v>44.699999999999996</v>
      </c>
      <c r="P6" s="162">
        <f t="shared" ref="P6:P7" si="1">+K6*O6</f>
        <v>2172420</v>
      </c>
      <c r="Q6" s="24" t="s">
        <v>347</v>
      </c>
    </row>
    <row r="7" spans="2:17" x14ac:dyDescent="0.2">
      <c r="B7" s="15">
        <v>3</v>
      </c>
      <c r="C7" s="23" t="s">
        <v>1159</v>
      </c>
      <c r="D7" s="106">
        <v>5000217</v>
      </c>
      <c r="E7" s="24" t="s">
        <v>352</v>
      </c>
      <c r="F7" s="29" t="s">
        <v>424</v>
      </c>
      <c r="G7" s="29" t="s">
        <v>159</v>
      </c>
      <c r="H7" s="24" t="s">
        <v>1340</v>
      </c>
      <c r="I7" s="15">
        <v>6</v>
      </c>
      <c r="J7" s="24" t="s">
        <v>3</v>
      </c>
      <c r="K7" s="35">
        <v>65000</v>
      </c>
      <c r="L7" s="17">
        <f>K7*I7</f>
        <v>390000</v>
      </c>
      <c r="M7" s="160">
        <v>0.52469999999999994</v>
      </c>
      <c r="N7" s="162">
        <f t="shared" si="0"/>
        <v>34105.5</v>
      </c>
      <c r="O7" s="160">
        <v>72.435124974515801</v>
      </c>
      <c r="P7" s="162">
        <f t="shared" si="1"/>
        <v>4708283.1233435273</v>
      </c>
      <c r="Q7" s="24" t="s">
        <v>347</v>
      </c>
    </row>
    <row r="8" spans="2:17" x14ac:dyDescent="0.2">
      <c r="B8" s="89"/>
      <c r="C8" s="69"/>
      <c r="D8" s="108"/>
      <c r="E8" s="26"/>
      <c r="F8" s="77"/>
      <c r="G8" s="77"/>
      <c r="H8" s="26"/>
      <c r="I8" s="89"/>
      <c r="J8" s="26"/>
      <c r="K8" s="71">
        <f>SUM(K5:K7)</f>
        <v>172400</v>
      </c>
      <c r="L8" s="71">
        <f>SUM(L5:L7)</f>
        <v>1269600</v>
      </c>
      <c r="M8" s="150"/>
      <c r="N8" s="153">
        <f t="shared" ref="N8:P8" si="2">SUM(N5:N7)</f>
        <v>97085.040000000008</v>
      </c>
      <c r="O8" s="150"/>
      <c r="P8" s="153">
        <f t="shared" si="2"/>
        <v>7975853.1233435273</v>
      </c>
      <c r="Q8" s="26"/>
    </row>
    <row r="9" spans="2:17" x14ac:dyDescent="0.2">
      <c r="B9" s="15">
        <v>4</v>
      </c>
      <c r="C9" s="23" t="s">
        <v>1147</v>
      </c>
      <c r="D9" s="106">
        <v>5501520</v>
      </c>
      <c r="E9" s="24" t="s">
        <v>355</v>
      </c>
      <c r="F9" s="29" t="s">
        <v>425</v>
      </c>
      <c r="G9" s="100" t="s">
        <v>208</v>
      </c>
      <c r="H9" s="24" t="s">
        <v>1245</v>
      </c>
      <c r="I9" s="15">
        <v>1</v>
      </c>
      <c r="J9" s="24" t="s">
        <v>298</v>
      </c>
      <c r="K9" s="35">
        <v>2916</v>
      </c>
      <c r="L9" s="17">
        <f t="shared" ref="L9:L24" si="3">K9*I9</f>
        <v>2916</v>
      </c>
      <c r="M9" s="160">
        <v>3.5591836734693878</v>
      </c>
      <c r="N9" s="162">
        <f t="shared" ref="N9:N24" si="4">+K9*M9</f>
        <v>10378.579591836735</v>
      </c>
      <c r="O9" s="160">
        <v>128.13999999999999</v>
      </c>
      <c r="P9" s="162">
        <f t="shared" ref="P9:P24" si="5">+K9*O9</f>
        <v>373656.23999999993</v>
      </c>
      <c r="Q9" s="24" t="s">
        <v>272</v>
      </c>
    </row>
    <row r="10" spans="2:17" x14ac:dyDescent="0.2">
      <c r="B10" s="15">
        <v>5</v>
      </c>
      <c r="C10" s="23" t="s">
        <v>1147</v>
      </c>
      <c r="D10" s="106">
        <v>8001300</v>
      </c>
      <c r="E10" s="24" t="s">
        <v>1179</v>
      </c>
      <c r="F10" s="29" t="s">
        <v>425</v>
      </c>
      <c r="G10" s="100" t="s">
        <v>208</v>
      </c>
      <c r="H10" s="24" t="s">
        <v>1245</v>
      </c>
      <c r="I10" s="15">
        <v>1</v>
      </c>
      <c r="J10" s="24" t="s">
        <v>298</v>
      </c>
      <c r="K10" s="35">
        <v>9920</v>
      </c>
      <c r="L10" s="17">
        <f t="shared" si="3"/>
        <v>9920</v>
      </c>
      <c r="M10" s="160">
        <v>1.0465306122448979</v>
      </c>
      <c r="N10" s="162">
        <f t="shared" si="4"/>
        <v>10381.583673469388</v>
      </c>
      <c r="O10" s="160">
        <v>0</v>
      </c>
      <c r="P10" s="162">
        <f t="shared" si="5"/>
        <v>0</v>
      </c>
      <c r="Q10" s="24" t="s">
        <v>272</v>
      </c>
    </row>
    <row r="11" spans="2:17" x14ac:dyDescent="0.2">
      <c r="B11" s="15">
        <v>6</v>
      </c>
      <c r="C11" s="23" t="s">
        <v>1161</v>
      </c>
      <c r="D11" s="106">
        <v>5500069</v>
      </c>
      <c r="E11" s="24" t="s">
        <v>1183</v>
      </c>
      <c r="F11" s="29" t="s">
        <v>425</v>
      </c>
      <c r="G11" s="100" t="s">
        <v>208</v>
      </c>
      <c r="H11" s="24" t="s">
        <v>1273</v>
      </c>
      <c r="I11" s="15">
        <v>1</v>
      </c>
      <c r="J11" s="24" t="s">
        <v>34</v>
      </c>
      <c r="K11" s="35">
        <v>19980</v>
      </c>
      <c r="L11" s="17">
        <f t="shared" si="3"/>
        <v>19980</v>
      </c>
      <c r="M11" s="160">
        <v>0.71299999999999997</v>
      </c>
      <c r="N11" s="162">
        <f t="shared" si="4"/>
        <v>14245.74</v>
      </c>
      <c r="O11" s="160">
        <v>173.31296296296298</v>
      </c>
      <c r="P11" s="162">
        <f t="shared" si="5"/>
        <v>3462793.0000000005</v>
      </c>
      <c r="Q11" s="24" t="s">
        <v>281</v>
      </c>
    </row>
    <row r="12" spans="2:17" x14ac:dyDescent="0.2">
      <c r="B12" s="15">
        <v>7</v>
      </c>
      <c r="C12" s="23" t="s">
        <v>1161</v>
      </c>
      <c r="D12" s="106">
        <v>5500292</v>
      </c>
      <c r="E12" s="24" t="s">
        <v>1184</v>
      </c>
      <c r="F12" s="29" t="s">
        <v>425</v>
      </c>
      <c r="G12" s="100" t="s">
        <v>208</v>
      </c>
      <c r="H12" s="24" t="s">
        <v>1274</v>
      </c>
      <c r="I12" s="15">
        <v>1</v>
      </c>
      <c r="J12" s="24" t="s">
        <v>34</v>
      </c>
      <c r="K12" s="35">
        <v>28720</v>
      </c>
      <c r="L12" s="17">
        <f t="shared" si="3"/>
        <v>28720</v>
      </c>
      <c r="M12" s="160">
        <v>0.71</v>
      </c>
      <c r="N12" s="162">
        <f t="shared" si="4"/>
        <v>20391.2</v>
      </c>
      <c r="O12" s="160">
        <v>219.21019354838711</v>
      </c>
      <c r="P12" s="162">
        <f t="shared" si="5"/>
        <v>6295716.7587096775</v>
      </c>
      <c r="Q12" s="24" t="s">
        <v>281</v>
      </c>
    </row>
    <row r="13" spans="2:17" x14ac:dyDescent="0.2">
      <c r="B13" s="15">
        <v>8</v>
      </c>
      <c r="C13" s="23" t="s">
        <v>1147</v>
      </c>
      <c r="D13" s="106">
        <v>5501521</v>
      </c>
      <c r="E13" s="24" t="s">
        <v>1185</v>
      </c>
      <c r="F13" s="29" t="s">
        <v>425</v>
      </c>
      <c r="G13" s="100" t="s">
        <v>208</v>
      </c>
      <c r="H13" s="24" t="s">
        <v>1275</v>
      </c>
      <c r="I13" s="15">
        <v>1</v>
      </c>
      <c r="J13" s="24" t="s">
        <v>298</v>
      </c>
      <c r="K13" s="35">
        <v>4932</v>
      </c>
      <c r="L13" s="17">
        <f t="shared" si="3"/>
        <v>4932</v>
      </c>
      <c r="M13" s="160">
        <v>3.5591836734693878</v>
      </c>
      <c r="N13" s="162">
        <f t="shared" si="4"/>
        <v>17553.893877551021</v>
      </c>
      <c r="O13" s="160">
        <v>228.8</v>
      </c>
      <c r="P13" s="162">
        <f t="shared" si="5"/>
        <v>1128441.6000000001</v>
      </c>
      <c r="Q13" s="24" t="s">
        <v>272</v>
      </c>
    </row>
    <row r="14" spans="2:17" x14ac:dyDescent="0.2">
      <c r="B14" s="15">
        <v>9</v>
      </c>
      <c r="C14" s="23" t="s">
        <v>1161</v>
      </c>
      <c r="D14" s="106">
        <v>8000192</v>
      </c>
      <c r="E14" s="24" t="s">
        <v>1186</v>
      </c>
      <c r="F14" s="29" t="s">
        <v>425</v>
      </c>
      <c r="G14" s="100" t="s">
        <v>208</v>
      </c>
      <c r="H14" s="24" t="s">
        <v>1273</v>
      </c>
      <c r="I14" s="15">
        <v>1</v>
      </c>
      <c r="J14" s="24" t="s">
        <v>34</v>
      </c>
      <c r="K14" s="35">
        <v>14300</v>
      </c>
      <c r="L14" s="17">
        <f t="shared" si="3"/>
        <v>14300</v>
      </c>
      <c r="M14" s="160">
        <v>0.71</v>
      </c>
      <c r="N14" s="162">
        <f t="shared" si="4"/>
        <v>10153</v>
      </c>
      <c r="O14" s="160">
        <v>0</v>
      </c>
      <c r="P14" s="162">
        <f t="shared" si="5"/>
        <v>0</v>
      </c>
      <c r="Q14" s="24" t="s">
        <v>281</v>
      </c>
    </row>
    <row r="15" spans="2:17" x14ac:dyDescent="0.2">
      <c r="B15" s="15">
        <v>10</v>
      </c>
      <c r="C15" s="23" t="s">
        <v>1162</v>
      </c>
      <c r="D15" s="106">
        <v>5500185</v>
      </c>
      <c r="E15" s="24" t="s">
        <v>354</v>
      </c>
      <c r="F15" s="29" t="s">
        <v>425</v>
      </c>
      <c r="G15" s="100" t="s">
        <v>208</v>
      </c>
      <c r="H15" s="24" t="s">
        <v>1288</v>
      </c>
      <c r="I15" s="15">
        <v>1</v>
      </c>
      <c r="J15" s="24" t="s">
        <v>34</v>
      </c>
      <c r="K15" s="35">
        <v>28960</v>
      </c>
      <c r="L15" s="17">
        <f t="shared" si="3"/>
        <v>28960</v>
      </c>
      <c r="M15" s="160">
        <v>0.71299999999999997</v>
      </c>
      <c r="N15" s="162">
        <f t="shared" si="4"/>
        <v>20648.48</v>
      </c>
      <c r="O15" s="160">
        <v>100.6100651748858</v>
      </c>
      <c r="P15" s="162">
        <f t="shared" si="5"/>
        <v>2913667.4874646929</v>
      </c>
      <c r="Q15" s="24" t="s">
        <v>277</v>
      </c>
    </row>
    <row r="16" spans="2:17" x14ac:dyDescent="0.2">
      <c r="B16" s="15">
        <v>11</v>
      </c>
      <c r="C16" s="23" t="s">
        <v>1162</v>
      </c>
      <c r="D16" s="106">
        <v>5500185</v>
      </c>
      <c r="E16" s="24" t="s">
        <v>354</v>
      </c>
      <c r="F16" s="29" t="s">
        <v>425</v>
      </c>
      <c r="G16" s="100" t="s">
        <v>208</v>
      </c>
      <c r="H16" s="24" t="s">
        <v>1289</v>
      </c>
      <c r="I16" s="15">
        <v>1</v>
      </c>
      <c r="J16" s="24" t="s">
        <v>34</v>
      </c>
      <c r="K16" s="35">
        <v>28760</v>
      </c>
      <c r="L16" s="17">
        <f t="shared" si="3"/>
        <v>28760</v>
      </c>
      <c r="M16" s="160">
        <v>0.71299999999999997</v>
      </c>
      <c r="N16" s="162">
        <f t="shared" si="4"/>
        <v>20505.879999999997</v>
      </c>
      <c r="O16" s="160">
        <v>100.6100651748858</v>
      </c>
      <c r="P16" s="162">
        <f t="shared" si="5"/>
        <v>2893545.4744297159</v>
      </c>
      <c r="Q16" s="24" t="s">
        <v>277</v>
      </c>
    </row>
    <row r="17" spans="2:17" x14ac:dyDescent="0.2">
      <c r="B17" s="15">
        <v>12</v>
      </c>
      <c r="C17" s="23" t="s">
        <v>1147</v>
      </c>
      <c r="D17" s="106">
        <v>5006470</v>
      </c>
      <c r="E17" s="24" t="s">
        <v>1204</v>
      </c>
      <c r="F17" s="29" t="s">
        <v>424</v>
      </c>
      <c r="G17" s="100" t="s">
        <v>208</v>
      </c>
      <c r="H17" s="24" t="s">
        <v>1336</v>
      </c>
      <c r="I17" s="15">
        <v>1</v>
      </c>
      <c r="J17" s="24" t="s">
        <v>34</v>
      </c>
      <c r="K17" s="35">
        <v>13550</v>
      </c>
      <c r="L17" s="17">
        <f t="shared" si="3"/>
        <v>13550</v>
      </c>
      <c r="M17" s="160">
        <v>1.1599999999999999</v>
      </c>
      <c r="N17" s="162">
        <f t="shared" si="4"/>
        <v>15717.999999999998</v>
      </c>
      <c r="O17" s="160">
        <v>81.95</v>
      </c>
      <c r="P17" s="162">
        <f t="shared" si="5"/>
        <v>1110422.5</v>
      </c>
      <c r="Q17" s="24" t="s">
        <v>272</v>
      </c>
    </row>
    <row r="18" spans="2:17" x14ac:dyDescent="0.2">
      <c r="B18" s="15">
        <v>13</v>
      </c>
      <c r="C18" s="23" t="s">
        <v>1147</v>
      </c>
      <c r="D18" s="106">
        <v>5500560</v>
      </c>
      <c r="E18" s="24" t="s">
        <v>291</v>
      </c>
      <c r="F18" s="29" t="s">
        <v>425</v>
      </c>
      <c r="G18" s="100" t="s">
        <v>208</v>
      </c>
      <c r="H18" s="24" t="s">
        <v>1363</v>
      </c>
      <c r="I18" s="15">
        <v>1</v>
      </c>
      <c r="J18" s="24" t="s">
        <v>7</v>
      </c>
      <c r="K18" s="35">
        <v>5904</v>
      </c>
      <c r="L18" s="17">
        <f t="shared" si="3"/>
        <v>5904</v>
      </c>
      <c r="M18" s="160">
        <v>2.0959183673469388</v>
      </c>
      <c r="N18" s="162">
        <f t="shared" si="4"/>
        <v>12374.302040816327</v>
      </c>
      <c r="O18" s="160">
        <v>207.4675</v>
      </c>
      <c r="P18" s="162">
        <f t="shared" si="5"/>
        <v>1224888.1200000001</v>
      </c>
      <c r="Q18" s="24" t="s">
        <v>272</v>
      </c>
    </row>
    <row r="19" spans="2:17" x14ac:dyDescent="0.2">
      <c r="B19" s="15">
        <v>14</v>
      </c>
      <c r="C19" s="23" t="s">
        <v>1147</v>
      </c>
      <c r="D19" s="106">
        <v>8000570</v>
      </c>
      <c r="E19" s="24" t="s">
        <v>1210</v>
      </c>
      <c r="F19" s="29" t="s">
        <v>425</v>
      </c>
      <c r="G19" s="100" t="s">
        <v>208</v>
      </c>
      <c r="H19" s="24" t="s">
        <v>1363</v>
      </c>
      <c r="I19" s="15">
        <v>1</v>
      </c>
      <c r="J19" s="24" t="s">
        <v>7</v>
      </c>
      <c r="K19" s="35">
        <v>9744</v>
      </c>
      <c r="L19" s="17">
        <f t="shared" si="3"/>
        <v>9744</v>
      </c>
      <c r="M19" s="160">
        <v>1.05</v>
      </c>
      <c r="N19" s="162">
        <f t="shared" si="4"/>
        <v>10231.200000000001</v>
      </c>
      <c r="O19" s="160">
        <v>0</v>
      </c>
      <c r="P19" s="162">
        <f t="shared" si="5"/>
        <v>0</v>
      </c>
      <c r="Q19" s="24" t="s">
        <v>272</v>
      </c>
    </row>
    <row r="20" spans="2:17" x14ac:dyDescent="0.2">
      <c r="B20" s="15">
        <v>15</v>
      </c>
      <c r="C20" s="23" t="s">
        <v>1147</v>
      </c>
      <c r="D20" s="106">
        <v>5002512</v>
      </c>
      <c r="E20" s="24" t="s">
        <v>353</v>
      </c>
      <c r="F20" s="29" t="s">
        <v>424</v>
      </c>
      <c r="G20" s="100" t="s">
        <v>208</v>
      </c>
      <c r="H20" s="24" t="s">
        <v>360</v>
      </c>
      <c r="I20" s="15">
        <v>1</v>
      </c>
      <c r="J20" s="24" t="s">
        <v>34</v>
      </c>
      <c r="K20" s="35">
        <v>30</v>
      </c>
      <c r="L20" s="17">
        <f t="shared" si="3"/>
        <v>30</v>
      </c>
      <c r="M20" s="160">
        <v>2.3180000000000001</v>
      </c>
      <c r="N20" s="162">
        <f t="shared" si="4"/>
        <v>69.540000000000006</v>
      </c>
      <c r="O20" s="160">
        <v>85.674999999999997</v>
      </c>
      <c r="P20" s="162">
        <f t="shared" si="5"/>
        <v>2570.25</v>
      </c>
      <c r="Q20" s="24" t="s">
        <v>272</v>
      </c>
    </row>
    <row r="21" spans="2:17" x14ac:dyDescent="0.2">
      <c r="B21" s="15">
        <v>16</v>
      </c>
      <c r="C21" s="23" t="s">
        <v>1147</v>
      </c>
      <c r="D21" s="106">
        <v>5002517</v>
      </c>
      <c r="E21" s="24" t="s">
        <v>1215</v>
      </c>
      <c r="F21" s="29" t="s">
        <v>424</v>
      </c>
      <c r="G21" s="100" t="s">
        <v>208</v>
      </c>
      <c r="H21" s="24" t="s">
        <v>1373</v>
      </c>
      <c r="I21" s="15">
        <v>1</v>
      </c>
      <c r="J21" s="24" t="s">
        <v>34</v>
      </c>
      <c r="K21" s="35">
        <v>10000</v>
      </c>
      <c r="L21" s="17">
        <f t="shared" si="3"/>
        <v>10000</v>
      </c>
      <c r="M21" s="160">
        <v>0.81200000000000006</v>
      </c>
      <c r="N21" s="162">
        <f t="shared" si="4"/>
        <v>8120.0000000000009</v>
      </c>
      <c r="O21" s="160">
        <v>260.75</v>
      </c>
      <c r="P21" s="162">
        <f t="shared" si="5"/>
        <v>2607500</v>
      </c>
      <c r="Q21" s="24" t="s">
        <v>272</v>
      </c>
    </row>
    <row r="22" spans="2:17" x14ac:dyDescent="0.2">
      <c r="B22" s="15">
        <v>17</v>
      </c>
      <c r="C22" s="23" t="s">
        <v>1147</v>
      </c>
      <c r="D22" s="106">
        <v>5501220</v>
      </c>
      <c r="E22" s="24" t="s">
        <v>1218</v>
      </c>
      <c r="F22" s="29" t="s">
        <v>425</v>
      </c>
      <c r="G22" s="100" t="s">
        <v>208</v>
      </c>
      <c r="H22" s="24" t="s">
        <v>1378</v>
      </c>
      <c r="I22" s="15">
        <v>1</v>
      </c>
      <c r="J22" s="24" t="s">
        <v>34</v>
      </c>
      <c r="K22" s="35">
        <v>23625</v>
      </c>
      <c r="L22" s="17">
        <f t="shared" si="3"/>
        <v>23625</v>
      </c>
      <c r="M22" s="160">
        <v>1.184375</v>
      </c>
      <c r="N22" s="162">
        <f t="shared" si="4"/>
        <v>27980.859375</v>
      </c>
      <c r="O22" s="160">
        <v>208.9299431537321</v>
      </c>
      <c r="P22" s="162">
        <f t="shared" si="5"/>
        <v>4935969.9070069212</v>
      </c>
      <c r="Q22" s="24" t="s">
        <v>272</v>
      </c>
    </row>
    <row r="23" spans="2:17" x14ac:dyDescent="0.2">
      <c r="B23" s="15">
        <v>18</v>
      </c>
      <c r="C23" s="23" t="s">
        <v>1147</v>
      </c>
      <c r="D23" s="106">
        <v>5501521</v>
      </c>
      <c r="E23" s="24" t="s">
        <v>1185</v>
      </c>
      <c r="F23" s="29" t="s">
        <v>425</v>
      </c>
      <c r="G23" s="100" t="s">
        <v>208</v>
      </c>
      <c r="H23" s="24" t="s">
        <v>1379</v>
      </c>
      <c r="I23" s="15">
        <v>1</v>
      </c>
      <c r="J23" s="24" t="s">
        <v>298</v>
      </c>
      <c r="K23" s="35">
        <v>558</v>
      </c>
      <c r="L23" s="17">
        <f t="shared" si="3"/>
        <v>558</v>
      </c>
      <c r="M23" s="160">
        <v>3.5591836734693878</v>
      </c>
      <c r="N23" s="162">
        <f t="shared" si="4"/>
        <v>1986.0244897959185</v>
      </c>
      <c r="O23" s="160">
        <v>228.8</v>
      </c>
      <c r="P23" s="162">
        <f t="shared" si="5"/>
        <v>127670.40000000001</v>
      </c>
      <c r="Q23" s="24" t="s">
        <v>272</v>
      </c>
    </row>
    <row r="24" spans="2:17" x14ac:dyDescent="0.2">
      <c r="B24" s="15">
        <v>19</v>
      </c>
      <c r="C24" s="23" t="s">
        <v>1147</v>
      </c>
      <c r="D24" s="106">
        <v>8001301</v>
      </c>
      <c r="E24" s="24" t="s">
        <v>1219</v>
      </c>
      <c r="F24" s="29" t="s">
        <v>425</v>
      </c>
      <c r="G24" s="100" t="s">
        <v>208</v>
      </c>
      <c r="H24" s="24" t="s">
        <v>1379</v>
      </c>
      <c r="I24" s="15">
        <v>1</v>
      </c>
      <c r="J24" s="24" t="s">
        <v>298</v>
      </c>
      <c r="K24" s="35">
        <v>21600</v>
      </c>
      <c r="L24" s="17">
        <f t="shared" si="3"/>
        <v>21600</v>
      </c>
      <c r="M24" s="160">
        <v>1.0465306122448979</v>
      </c>
      <c r="N24" s="162">
        <f t="shared" si="4"/>
        <v>22605.061224489793</v>
      </c>
      <c r="O24" s="160">
        <v>0</v>
      </c>
      <c r="P24" s="162">
        <f t="shared" si="5"/>
        <v>0</v>
      </c>
      <c r="Q24" s="24" t="s">
        <v>272</v>
      </c>
    </row>
    <row r="25" spans="2:17" x14ac:dyDescent="0.2">
      <c r="B25" s="89"/>
      <c r="C25" s="69"/>
      <c r="D25" s="108"/>
      <c r="E25" s="26"/>
      <c r="F25" s="77"/>
      <c r="G25" s="102"/>
      <c r="H25" s="26"/>
      <c r="I25" s="89"/>
      <c r="J25" s="26"/>
      <c r="K25" s="71">
        <f>SUM(K9:K24)</f>
        <v>223499</v>
      </c>
      <c r="L25" s="71">
        <f>SUM(L9:L24)</f>
        <v>223499</v>
      </c>
      <c r="M25" s="150"/>
      <c r="N25" s="153">
        <f t="shared" ref="N25:P25" si="6">SUM(N9:N24)</f>
        <v>223343.34427295916</v>
      </c>
      <c r="O25" s="150"/>
      <c r="P25" s="153">
        <f t="shared" si="6"/>
        <v>27076841.737611011</v>
      </c>
      <c r="Q25" s="26"/>
    </row>
    <row r="26" spans="2:17" x14ac:dyDescent="0.2">
      <c r="B26" s="15">
        <v>20</v>
      </c>
      <c r="C26" s="23" t="s">
        <v>1152</v>
      </c>
      <c r="D26" s="106">
        <v>5001299</v>
      </c>
      <c r="E26" s="24" t="s">
        <v>323</v>
      </c>
      <c r="F26" s="29" t="s">
        <v>424</v>
      </c>
      <c r="G26" s="100" t="s">
        <v>155</v>
      </c>
      <c r="H26" s="24" t="s">
        <v>1238</v>
      </c>
      <c r="I26" s="15">
        <v>1</v>
      </c>
      <c r="J26" s="24" t="s">
        <v>7</v>
      </c>
      <c r="K26" s="35">
        <v>24480</v>
      </c>
      <c r="L26" s="17">
        <f t="shared" ref="L26:L50" si="7">K26*I26</f>
        <v>24480</v>
      </c>
      <c r="M26" s="160">
        <v>0.86199999999999999</v>
      </c>
      <c r="N26" s="162">
        <f t="shared" ref="N26:N50" si="8">+K26*M26</f>
        <v>21101.759999999998</v>
      </c>
      <c r="O26" s="160">
        <v>113.68499999999999</v>
      </c>
      <c r="P26" s="162">
        <f t="shared" ref="P26:P50" si="9">+K26*O26</f>
        <v>2783008.8</v>
      </c>
      <c r="Q26" s="24" t="s">
        <v>276</v>
      </c>
    </row>
    <row r="27" spans="2:17" x14ac:dyDescent="0.2">
      <c r="B27" s="15">
        <v>21</v>
      </c>
      <c r="C27" s="23" t="s">
        <v>1151</v>
      </c>
      <c r="D27" s="106">
        <v>5001363</v>
      </c>
      <c r="E27" s="24" t="s">
        <v>290</v>
      </c>
      <c r="F27" s="29" t="s">
        <v>424</v>
      </c>
      <c r="G27" s="100" t="s">
        <v>155</v>
      </c>
      <c r="H27" s="24" t="s">
        <v>1239</v>
      </c>
      <c r="I27" s="15">
        <v>1</v>
      </c>
      <c r="J27" s="24" t="s">
        <v>7</v>
      </c>
      <c r="K27" s="35">
        <v>9800</v>
      </c>
      <c r="L27" s="17">
        <f t="shared" si="7"/>
        <v>9800</v>
      </c>
      <c r="M27" s="160">
        <v>1.3220000000000001</v>
      </c>
      <c r="N27" s="162">
        <f t="shared" si="8"/>
        <v>12955.6</v>
      </c>
      <c r="O27" s="160">
        <v>311.58105198776758</v>
      </c>
      <c r="P27" s="162">
        <f t="shared" si="9"/>
        <v>3053494.3094801223</v>
      </c>
      <c r="Q27" s="24" t="s">
        <v>278</v>
      </c>
    </row>
    <row r="28" spans="2:17" x14ac:dyDescent="0.2">
      <c r="B28" s="15">
        <v>22</v>
      </c>
      <c r="C28" s="23" t="s">
        <v>1155</v>
      </c>
      <c r="D28" s="106">
        <v>5001299</v>
      </c>
      <c r="E28" s="24" t="s">
        <v>323</v>
      </c>
      <c r="F28" s="29" t="s">
        <v>424</v>
      </c>
      <c r="G28" s="100" t="s">
        <v>155</v>
      </c>
      <c r="H28" s="24" t="s">
        <v>1253</v>
      </c>
      <c r="I28" s="15">
        <v>1</v>
      </c>
      <c r="J28" s="24" t="s">
        <v>7</v>
      </c>
      <c r="K28" s="35">
        <v>19620</v>
      </c>
      <c r="L28" s="17">
        <f t="shared" si="7"/>
        <v>19620</v>
      </c>
      <c r="M28" s="160">
        <v>0.86199999999999999</v>
      </c>
      <c r="N28" s="162">
        <f t="shared" si="8"/>
        <v>16912.439999999999</v>
      </c>
      <c r="O28" s="160">
        <v>113.68499999999999</v>
      </c>
      <c r="P28" s="162">
        <f t="shared" si="9"/>
        <v>2230499.6999999997</v>
      </c>
      <c r="Q28" s="24" t="s">
        <v>270</v>
      </c>
    </row>
    <row r="29" spans="2:17" x14ac:dyDescent="0.2">
      <c r="B29" s="15">
        <v>23</v>
      </c>
      <c r="C29" s="23" t="s">
        <v>1151</v>
      </c>
      <c r="D29" s="106">
        <v>5000449</v>
      </c>
      <c r="E29" s="24" t="s">
        <v>6</v>
      </c>
      <c r="F29" s="29" t="s">
        <v>424</v>
      </c>
      <c r="G29" s="100" t="s">
        <v>155</v>
      </c>
      <c r="H29" s="24" t="s">
        <v>1258</v>
      </c>
      <c r="I29" s="15">
        <v>1</v>
      </c>
      <c r="J29" s="24" t="s">
        <v>7</v>
      </c>
      <c r="K29" s="35">
        <v>23360</v>
      </c>
      <c r="L29" s="17">
        <f t="shared" si="7"/>
        <v>23360</v>
      </c>
      <c r="M29" s="160">
        <v>1.3220000000000001</v>
      </c>
      <c r="N29" s="162">
        <f t="shared" si="8"/>
        <v>30881.920000000002</v>
      </c>
      <c r="O29" s="160">
        <v>198.6970614439324</v>
      </c>
      <c r="P29" s="162">
        <f t="shared" si="9"/>
        <v>4641563.3553302605</v>
      </c>
      <c r="Q29" s="24" t="s">
        <v>278</v>
      </c>
    </row>
    <row r="30" spans="2:17" x14ac:dyDescent="0.2">
      <c r="B30" s="15">
        <v>24</v>
      </c>
      <c r="C30" s="23" t="s">
        <v>1151</v>
      </c>
      <c r="D30" s="106">
        <v>5002064</v>
      </c>
      <c r="E30" s="24" t="s">
        <v>230</v>
      </c>
      <c r="F30" s="29" t="s">
        <v>424</v>
      </c>
      <c r="G30" s="100" t="s">
        <v>155</v>
      </c>
      <c r="H30" s="24" t="s">
        <v>1262</v>
      </c>
      <c r="I30" s="15">
        <v>1</v>
      </c>
      <c r="J30" s="24" t="s">
        <v>7</v>
      </c>
      <c r="K30" s="35">
        <v>60000</v>
      </c>
      <c r="L30" s="17">
        <f t="shared" si="7"/>
        <v>60000</v>
      </c>
      <c r="M30" s="160">
        <v>1.1814285714285715</v>
      </c>
      <c r="N30" s="162">
        <f t="shared" si="8"/>
        <v>70885.71428571429</v>
      </c>
      <c r="O30" s="160">
        <v>115.33344999999997</v>
      </c>
      <c r="P30" s="162">
        <f t="shared" si="9"/>
        <v>6920006.9999999981</v>
      </c>
      <c r="Q30" s="24" t="s">
        <v>278</v>
      </c>
    </row>
    <row r="31" spans="2:17" x14ac:dyDescent="0.2">
      <c r="B31" s="15">
        <v>25</v>
      </c>
      <c r="C31" s="23" t="s">
        <v>1151</v>
      </c>
      <c r="D31" s="106">
        <v>5002064</v>
      </c>
      <c r="E31" s="24" t="s">
        <v>230</v>
      </c>
      <c r="F31" s="29" t="s">
        <v>424</v>
      </c>
      <c r="G31" s="100" t="s">
        <v>155</v>
      </c>
      <c r="H31" s="24" t="s">
        <v>1262</v>
      </c>
      <c r="I31" s="15">
        <v>1</v>
      </c>
      <c r="J31" s="24" t="s">
        <v>7</v>
      </c>
      <c r="K31" s="35">
        <v>18600</v>
      </c>
      <c r="L31" s="17">
        <f t="shared" si="7"/>
        <v>18600</v>
      </c>
      <c r="M31" s="160">
        <v>1.1814285714285715</v>
      </c>
      <c r="N31" s="162">
        <f t="shared" si="8"/>
        <v>21974.571428571431</v>
      </c>
      <c r="O31" s="160">
        <v>115.33344999999997</v>
      </c>
      <c r="P31" s="162">
        <f t="shared" si="9"/>
        <v>2145202.1699999995</v>
      </c>
      <c r="Q31" s="24" t="s">
        <v>278</v>
      </c>
    </row>
    <row r="32" spans="2:17" x14ac:dyDescent="0.2">
      <c r="B32" s="15">
        <v>26</v>
      </c>
      <c r="C32" s="23" t="s">
        <v>1152</v>
      </c>
      <c r="D32" s="106">
        <v>5001299</v>
      </c>
      <c r="E32" s="24" t="s">
        <v>323</v>
      </c>
      <c r="F32" s="29" t="s">
        <v>424</v>
      </c>
      <c r="G32" s="100" t="s">
        <v>155</v>
      </c>
      <c r="H32" s="24" t="s">
        <v>1269</v>
      </c>
      <c r="I32" s="15">
        <v>1</v>
      </c>
      <c r="J32" s="24" t="s">
        <v>7</v>
      </c>
      <c r="K32" s="35">
        <v>24480</v>
      </c>
      <c r="L32" s="17">
        <f t="shared" si="7"/>
        <v>24480</v>
      </c>
      <c r="M32" s="160">
        <v>0.86199999999999999</v>
      </c>
      <c r="N32" s="162">
        <f t="shared" si="8"/>
        <v>21101.759999999998</v>
      </c>
      <c r="O32" s="160">
        <v>113.68499999999999</v>
      </c>
      <c r="P32" s="162">
        <f t="shared" si="9"/>
        <v>2783008.8</v>
      </c>
      <c r="Q32" s="24" t="s">
        <v>276</v>
      </c>
    </row>
    <row r="33" spans="2:17" x14ac:dyDescent="0.2">
      <c r="B33" s="15">
        <v>27</v>
      </c>
      <c r="C33" s="23" t="s">
        <v>1152</v>
      </c>
      <c r="D33" s="106">
        <v>5001299</v>
      </c>
      <c r="E33" s="24" t="s">
        <v>323</v>
      </c>
      <c r="F33" s="29" t="s">
        <v>424</v>
      </c>
      <c r="G33" s="100" t="s">
        <v>155</v>
      </c>
      <c r="H33" s="24" t="s">
        <v>1270</v>
      </c>
      <c r="I33" s="15">
        <v>1</v>
      </c>
      <c r="J33" s="24" t="s">
        <v>7</v>
      </c>
      <c r="K33" s="35">
        <v>24480</v>
      </c>
      <c r="L33" s="17">
        <f t="shared" si="7"/>
        <v>24480</v>
      </c>
      <c r="M33" s="160">
        <v>0.86199999999999999</v>
      </c>
      <c r="N33" s="162">
        <f t="shared" si="8"/>
        <v>21101.759999999998</v>
      </c>
      <c r="O33" s="160">
        <v>113.68499999999999</v>
      </c>
      <c r="P33" s="162">
        <f t="shared" si="9"/>
        <v>2783008.8</v>
      </c>
      <c r="Q33" s="24" t="s">
        <v>276</v>
      </c>
    </row>
    <row r="34" spans="2:17" x14ac:dyDescent="0.2">
      <c r="B34" s="15">
        <v>28</v>
      </c>
      <c r="C34" s="23" t="s">
        <v>1155</v>
      </c>
      <c r="D34" s="106">
        <v>5001299</v>
      </c>
      <c r="E34" s="24" t="s">
        <v>323</v>
      </c>
      <c r="F34" s="29" t="s">
        <v>424</v>
      </c>
      <c r="G34" s="100" t="s">
        <v>155</v>
      </c>
      <c r="H34" s="24" t="s">
        <v>1278</v>
      </c>
      <c r="I34" s="15">
        <v>1</v>
      </c>
      <c r="J34" s="24" t="s">
        <v>7</v>
      </c>
      <c r="K34" s="35">
        <v>19620</v>
      </c>
      <c r="L34" s="17">
        <f t="shared" si="7"/>
        <v>19620</v>
      </c>
      <c r="M34" s="160">
        <v>0.86199999999999999</v>
      </c>
      <c r="N34" s="162">
        <f t="shared" si="8"/>
        <v>16912.439999999999</v>
      </c>
      <c r="O34" s="160">
        <v>113.68499999999999</v>
      </c>
      <c r="P34" s="162">
        <f t="shared" si="9"/>
        <v>2230499.6999999997</v>
      </c>
      <c r="Q34" s="24" t="s">
        <v>270</v>
      </c>
    </row>
    <row r="35" spans="2:17" x14ac:dyDescent="0.2">
      <c r="B35" s="15">
        <v>29</v>
      </c>
      <c r="C35" s="23" t="s">
        <v>1155</v>
      </c>
      <c r="D35" s="106">
        <v>5001299</v>
      </c>
      <c r="E35" s="24" t="s">
        <v>323</v>
      </c>
      <c r="F35" s="29" t="s">
        <v>424</v>
      </c>
      <c r="G35" s="100" t="s">
        <v>155</v>
      </c>
      <c r="H35" s="24" t="s">
        <v>1291</v>
      </c>
      <c r="I35" s="15">
        <v>1</v>
      </c>
      <c r="J35" s="24" t="s">
        <v>7</v>
      </c>
      <c r="K35" s="35">
        <v>19620</v>
      </c>
      <c r="L35" s="17">
        <f t="shared" si="7"/>
        <v>19620</v>
      </c>
      <c r="M35" s="160">
        <v>0.86199999999999999</v>
      </c>
      <c r="N35" s="162">
        <f t="shared" si="8"/>
        <v>16912.439999999999</v>
      </c>
      <c r="O35" s="160">
        <v>113.68499999999999</v>
      </c>
      <c r="P35" s="162">
        <f t="shared" si="9"/>
        <v>2230499.6999999997</v>
      </c>
      <c r="Q35" s="24" t="s">
        <v>270</v>
      </c>
    </row>
    <row r="36" spans="2:17" x14ac:dyDescent="0.2">
      <c r="B36" s="15">
        <v>30</v>
      </c>
      <c r="C36" s="23" t="s">
        <v>1152</v>
      </c>
      <c r="D36" s="106">
        <v>5001299</v>
      </c>
      <c r="E36" s="24" t="s">
        <v>323</v>
      </c>
      <c r="F36" s="29" t="s">
        <v>424</v>
      </c>
      <c r="G36" s="100" t="s">
        <v>155</v>
      </c>
      <c r="H36" s="24" t="s">
        <v>1301</v>
      </c>
      <c r="I36" s="15">
        <v>1</v>
      </c>
      <c r="J36" s="24" t="s">
        <v>7</v>
      </c>
      <c r="K36" s="35">
        <v>24480</v>
      </c>
      <c r="L36" s="17">
        <f t="shared" si="7"/>
        <v>24480</v>
      </c>
      <c r="M36" s="160">
        <v>0.86199999999999999</v>
      </c>
      <c r="N36" s="162">
        <f t="shared" si="8"/>
        <v>21101.759999999998</v>
      </c>
      <c r="O36" s="160">
        <v>113.68499999999999</v>
      </c>
      <c r="P36" s="162">
        <f t="shared" si="9"/>
        <v>2783008.8</v>
      </c>
      <c r="Q36" s="24" t="s">
        <v>276</v>
      </c>
    </row>
    <row r="37" spans="2:17" x14ac:dyDescent="0.2">
      <c r="B37" s="15">
        <v>31</v>
      </c>
      <c r="C37" s="23" t="s">
        <v>1152</v>
      </c>
      <c r="D37" s="106">
        <v>5001299</v>
      </c>
      <c r="E37" s="24" t="s">
        <v>323</v>
      </c>
      <c r="F37" s="29" t="s">
        <v>424</v>
      </c>
      <c r="G37" s="100" t="s">
        <v>155</v>
      </c>
      <c r="H37" s="24" t="s">
        <v>1302</v>
      </c>
      <c r="I37" s="15">
        <v>1</v>
      </c>
      <c r="J37" s="24" t="s">
        <v>7</v>
      </c>
      <c r="K37" s="35">
        <v>24480</v>
      </c>
      <c r="L37" s="17">
        <f t="shared" si="7"/>
        <v>24480</v>
      </c>
      <c r="M37" s="160">
        <v>0.86199999999999999</v>
      </c>
      <c r="N37" s="162">
        <f t="shared" si="8"/>
        <v>21101.759999999998</v>
      </c>
      <c r="O37" s="160">
        <v>113.68499999999999</v>
      </c>
      <c r="P37" s="162">
        <f t="shared" si="9"/>
        <v>2783008.8</v>
      </c>
      <c r="Q37" s="24" t="s">
        <v>276</v>
      </c>
    </row>
    <row r="38" spans="2:17" x14ac:dyDescent="0.2">
      <c r="B38" s="15">
        <v>32</v>
      </c>
      <c r="C38" s="23" t="s">
        <v>1155</v>
      </c>
      <c r="D38" s="106">
        <v>5001299</v>
      </c>
      <c r="E38" s="24" t="s">
        <v>323</v>
      </c>
      <c r="F38" s="29" t="s">
        <v>424</v>
      </c>
      <c r="G38" s="100" t="s">
        <v>155</v>
      </c>
      <c r="H38" s="24" t="s">
        <v>1304</v>
      </c>
      <c r="I38" s="15">
        <v>1</v>
      </c>
      <c r="J38" s="24" t="s">
        <v>7</v>
      </c>
      <c r="K38" s="35">
        <v>19620</v>
      </c>
      <c r="L38" s="17">
        <f t="shared" si="7"/>
        <v>19620</v>
      </c>
      <c r="M38" s="160">
        <v>0.86199999999999999</v>
      </c>
      <c r="N38" s="162">
        <f t="shared" si="8"/>
        <v>16912.439999999999</v>
      </c>
      <c r="O38" s="160">
        <v>113.68499999999999</v>
      </c>
      <c r="P38" s="162">
        <f t="shared" si="9"/>
        <v>2230499.6999999997</v>
      </c>
      <c r="Q38" s="24" t="s">
        <v>270</v>
      </c>
    </row>
    <row r="39" spans="2:17" x14ac:dyDescent="0.2">
      <c r="B39" s="15">
        <v>33</v>
      </c>
      <c r="C39" s="23" t="s">
        <v>1151</v>
      </c>
      <c r="D39" s="106">
        <v>5001916</v>
      </c>
      <c r="E39" s="24" t="s">
        <v>294</v>
      </c>
      <c r="F39" s="29" t="s">
        <v>424</v>
      </c>
      <c r="G39" s="100" t="s">
        <v>155</v>
      </c>
      <c r="H39" s="24" t="s">
        <v>1305</v>
      </c>
      <c r="I39" s="15">
        <v>1</v>
      </c>
      <c r="J39" s="24" t="s">
        <v>7</v>
      </c>
      <c r="K39" s="35">
        <v>9580</v>
      </c>
      <c r="L39" s="17">
        <f t="shared" si="7"/>
        <v>9580</v>
      </c>
      <c r="M39" s="160">
        <v>1.1836734693877551</v>
      </c>
      <c r="N39" s="162">
        <f t="shared" si="8"/>
        <v>11339.591836734693</v>
      </c>
      <c r="O39" s="160">
        <v>229.82504999999998</v>
      </c>
      <c r="P39" s="162">
        <f t="shared" si="9"/>
        <v>2201723.9789999998</v>
      </c>
      <c r="Q39" s="24" t="s">
        <v>278</v>
      </c>
    </row>
    <row r="40" spans="2:17" x14ac:dyDescent="0.2">
      <c r="B40" s="15">
        <v>34</v>
      </c>
      <c r="C40" s="23" t="s">
        <v>1152</v>
      </c>
      <c r="D40" s="106">
        <v>5001299</v>
      </c>
      <c r="E40" s="24" t="s">
        <v>323</v>
      </c>
      <c r="F40" s="29" t="s">
        <v>424</v>
      </c>
      <c r="G40" s="100" t="s">
        <v>155</v>
      </c>
      <c r="H40" s="24" t="s">
        <v>1312</v>
      </c>
      <c r="I40" s="15">
        <v>1</v>
      </c>
      <c r="J40" s="24" t="s">
        <v>7</v>
      </c>
      <c r="K40" s="35">
        <v>24480</v>
      </c>
      <c r="L40" s="17">
        <f t="shared" si="7"/>
        <v>24480</v>
      </c>
      <c r="M40" s="160">
        <v>0.86199999999999999</v>
      </c>
      <c r="N40" s="162">
        <f t="shared" si="8"/>
        <v>21101.759999999998</v>
      </c>
      <c r="O40" s="160">
        <v>113.68499999999999</v>
      </c>
      <c r="P40" s="162">
        <f t="shared" si="9"/>
        <v>2783008.8</v>
      </c>
      <c r="Q40" s="24" t="s">
        <v>276</v>
      </c>
    </row>
    <row r="41" spans="2:17" x14ac:dyDescent="0.2">
      <c r="B41" s="15">
        <v>35</v>
      </c>
      <c r="C41" s="23" t="s">
        <v>1152</v>
      </c>
      <c r="D41" s="106">
        <v>5001299</v>
      </c>
      <c r="E41" s="24" t="s">
        <v>323</v>
      </c>
      <c r="F41" s="29" t="s">
        <v>424</v>
      </c>
      <c r="G41" s="100" t="s">
        <v>155</v>
      </c>
      <c r="H41" s="24" t="s">
        <v>1313</v>
      </c>
      <c r="I41" s="15">
        <v>1</v>
      </c>
      <c r="J41" s="24" t="s">
        <v>7</v>
      </c>
      <c r="K41" s="35">
        <v>24480</v>
      </c>
      <c r="L41" s="17">
        <f t="shared" si="7"/>
        <v>24480</v>
      </c>
      <c r="M41" s="160">
        <v>0.86199999999999999</v>
      </c>
      <c r="N41" s="162">
        <f t="shared" si="8"/>
        <v>21101.759999999998</v>
      </c>
      <c r="O41" s="160">
        <v>113.68499999999999</v>
      </c>
      <c r="P41" s="162">
        <f t="shared" si="9"/>
        <v>2783008.8</v>
      </c>
      <c r="Q41" s="24" t="s">
        <v>276</v>
      </c>
    </row>
    <row r="42" spans="2:17" x14ac:dyDescent="0.2">
      <c r="B42" s="15">
        <v>36</v>
      </c>
      <c r="C42" s="23" t="s">
        <v>1155</v>
      </c>
      <c r="D42" s="106">
        <v>5001299</v>
      </c>
      <c r="E42" s="24" t="s">
        <v>323</v>
      </c>
      <c r="F42" s="29" t="s">
        <v>424</v>
      </c>
      <c r="G42" s="100" t="s">
        <v>155</v>
      </c>
      <c r="H42" s="24" t="s">
        <v>1314</v>
      </c>
      <c r="I42" s="15">
        <v>1</v>
      </c>
      <c r="J42" s="24" t="s">
        <v>7</v>
      </c>
      <c r="K42" s="35">
        <v>19800</v>
      </c>
      <c r="L42" s="17">
        <f t="shared" si="7"/>
        <v>19800</v>
      </c>
      <c r="M42" s="160">
        <v>0.86199999999999999</v>
      </c>
      <c r="N42" s="162">
        <f t="shared" si="8"/>
        <v>17067.599999999999</v>
      </c>
      <c r="O42" s="160">
        <v>113.68499999999999</v>
      </c>
      <c r="P42" s="162">
        <f t="shared" si="9"/>
        <v>2250962.9999999995</v>
      </c>
      <c r="Q42" s="24" t="s">
        <v>270</v>
      </c>
    </row>
    <row r="43" spans="2:17" x14ac:dyDescent="0.2">
      <c r="B43" s="15">
        <v>37</v>
      </c>
      <c r="C43" s="23" t="s">
        <v>1152</v>
      </c>
      <c r="D43" s="106">
        <v>5001299</v>
      </c>
      <c r="E43" s="24" t="s">
        <v>323</v>
      </c>
      <c r="F43" s="29" t="s">
        <v>424</v>
      </c>
      <c r="G43" s="100" t="s">
        <v>155</v>
      </c>
      <c r="H43" s="24" t="s">
        <v>1334</v>
      </c>
      <c r="I43" s="15">
        <v>1</v>
      </c>
      <c r="J43" s="24" t="s">
        <v>7</v>
      </c>
      <c r="K43" s="35">
        <v>24480</v>
      </c>
      <c r="L43" s="17">
        <f t="shared" si="7"/>
        <v>24480</v>
      </c>
      <c r="M43" s="160">
        <v>0.86199999999999999</v>
      </c>
      <c r="N43" s="162">
        <f t="shared" si="8"/>
        <v>21101.759999999998</v>
      </c>
      <c r="O43" s="160">
        <v>113.68499999999999</v>
      </c>
      <c r="P43" s="162">
        <f t="shared" si="9"/>
        <v>2783008.8</v>
      </c>
      <c r="Q43" s="24" t="s">
        <v>276</v>
      </c>
    </row>
    <row r="44" spans="2:17" x14ac:dyDescent="0.2">
      <c r="B44" s="15">
        <v>38</v>
      </c>
      <c r="C44" s="23" t="s">
        <v>1152</v>
      </c>
      <c r="D44" s="106">
        <v>5001299</v>
      </c>
      <c r="E44" s="24" t="s">
        <v>323</v>
      </c>
      <c r="F44" s="29" t="s">
        <v>424</v>
      </c>
      <c r="G44" s="100" t="s">
        <v>155</v>
      </c>
      <c r="H44" s="24" t="s">
        <v>1335</v>
      </c>
      <c r="I44" s="15">
        <v>1</v>
      </c>
      <c r="J44" s="24" t="s">
        <v>7</v>
      </c>
      <c r="K44" s="35">
        <v>24480</v>
      </c>
      <c r="L44" s="17">
        <f t="shared" si="7"/>
        <v>24480</v>
      </c>
      <c r="M44" s="160">
        <v>0.86199999999999999</v>
      </c>
      <c r="N44" s="162">
        <f t="shared" si="8"/>
        <v>21101.759999999998</v>
      </c>
      <c r="O44" s="160">
        <v>113.68499999999999</v>
      </c>
      <c r="P44" s="162">
        <f t="shared" si="9"/>
        <v>2783008.8</v>
      </c>
      <c r="Q44" s="24" t="s">
        <v>276</v>
      </c>
    </row>
    <row r="45" spans="2:17" x14ac:dyDescent="0.2">
      <c r="B45" s="15">
        <v>39</v>
      </c>
      <c r="C45" s="23" t="s">
        <v>1155</v>
      </c>
      <c r="D45" s="106">
        <v>5001299</v>
      </c>
      <c r="E45" s="24" t="s">
        <v>323</v>
      </c>
      <c r="F45" s="29" t="s">
        <v>424</v>
      </c>
      <c r="G45" s="100" t="s">
        <v>155</v>
      </c>
      <c r="H45" s="24" t="s">
        <v>1341</v>
      </c>
      <c r="I45" s="15">
        <v>1</v>
      </c>
      <c r="J45" s="24" t="s">
        <v>7</v>
      </c>
      <c r="K45" s="35">
        <v>19620</v>
      </c>
      <c r="L45" s="17">
        <f t="shared" si="7"/>
        <v>19620</v>
      </c>
      <c r="M45" s="160">
        <v>0.86199999999999999</v>
      </c>
      <c r="N45" s="162">
        <f t="shared" si="8"/>
        <v>16912.439999999999</v>
      </c>
      <c r="O45" s="160">
        <v>113.68499999999999</v>
      </c>
      <c r="P45" s="162">
        <f t="shared" si="9"/>
        <v>2230499.6999999997</v>
      </c>
      <c r="Q45" s="24" t="s">
        <v>270</v>
      </c>
    </row>
    <row r="46" spans="2:17" x14ac:dyDescent="0.2">
      <c r="B46" s="15">
        <v>40</v>
      </c>
      <c r="C46" s="23" t="s">
        <v>1155</v>
      </c>
      <c r="D46" s="106">
        <v>5001299</v>
      </c>
      <c r="E46" s="24" t="s">
        <v>323</v>
      </c>
      <c r="F46" s="29" t="s">
        <v>424</v>
      </c>
      <c r="G46" s="100" t="s">
        <v>155</v>
      </c>
      <c r="H46" s="24" t="s">
        <v>1342</v>
      </c>
      <c r="I46" s="15">
        <v>1</v>
      </c>
      <c r="J46" s="24" t="s">
        <v>7</v>
      </c>
      <c r="K46" s="35">
        <v>19620</v>
      </c>
      <c r="L46" s="17">
        <f t="shared" si="7"/>
        <v>19620</v>
      </c>
      <c r="M46" s="160">
        <v>0.86199999999999999</v>
      </c>
      <c r="N46" s="162">
        <f t="shared" si="8"/>
        <v>16912.439999999999</v>
      </c>
      <c r="O46" s="160">
        <v>113.68499999999999</v>
      </c>
      <c r="P46" s="162">
        <f t="shared" si="9"/>
        <v>2230499.6999999997</v>
      </c>
      <c r="Q46" s="24" t="s">
        <v>270</v>
      </c>
    </row>
    <row r="47" spans="2:17" x14ac:dyDescent="0.2">
      <c r="B47" s="15">
        <v>41</v>
      </c>
      <c r="C47" s="23" t="s">
        <v>1155</v>
      </c>
      <c r="D47" s="106">
        <v>5001299</v>
      </c>
      <c r="E47" s="24" t="s">
        <v>323</v>
      </c>
      <c r="F47" s="29" t="s">
        <v>424</v>
      </c>
      <c r="G47" s="100" t="s">
        <v>155</v>
      </c>
      <c r="H47" s="24" t="s">
        <v>1348</v>
      </c>
      <c r="I47" s="15">
        <v>1</v>
      </c>
      <c r="J47" s="24" t="s">
        <v>7</v>
      </c>
      <c r="K47" s="35">
        <v>19440</v>
      </c>
      <c r="L47" s="17">
        <f t="shared" si="7"/>
        <v>19440</v>
      </c>
      <c r="M47" s="160">
        <v>0.86199999999999999</v>
      </c>
      <c r="N47" s="162">
        <f t="shared" si="8"/>
        <v>16757.28</v>
      </c>
      <c r="O47" s="160">
        <v>113.68499999999999</v>
      </c>
      <c r="P47" s="162">
        <f t="shared" si="9"/>
        <v>2210036.4</v>
      </c>
      <c r="Q47" s="24" t="s">
        <v>270</v>
      </c>
    </row>
    <row r="48" spans="2:17" x14ac:dyDescent="0.2">
      <c r="B48" s="15">
        <v>42</v>
      </c>
      <c r="C48" s="23" t="s">
        <v>1151</v>
      </c>
      <c r="D48" s="106">
        <v>5002063</v>
      </c>
      <c r="E48" s="24" t="s">
        <v>229</v>
      </c>
      <c r="F48" s="29" t="s">
        <v>424</v>
      </c>
      <c r="G48" s="100" t="s">
        <v>155</v>
      </c>
      <c r="H48" s="24" t="s">
        <v>1360</v>
      </c>
      <c r="I48" s="15">
        <v>1</v>
      </c>
      <c r="J48" s="24" t="s">
        <v>7</v>
      </c>
      <c r="K48" s="35">
        <v>60000</v>
      </c>
      <c r="L48" s="17">
        <f t="shared" si="7"/>
        <v>60000</v>
      </c>
      <c r="M48" s="160">
        <v>1.1814285714285715</v>
      </c>
      <c r="N48" s="162">
        <f t="shared" si="8"/>
        <v>70885.71428571429</v>
      </c>
      <c r="O48" s="160">
        <v>76.608349999999987</v>
      </c>
      <c r="P48" s="162">
        <f t="shared" si="9"/>
        <v>4596500.9999999991</v>
      </c>
      <c r="Q48" s="24" t="s">
        <v>278</v>
      </c>
    </row>
    <row r="49" spans="2:17" x14ac:dyDescent="0.2">
      <c r="B49" s="15">
        <v>43</v>
      </c>
      <c r="C49" s="23" t="s">
        <v>1151</v>
      </c>
      <c r="D49" s="106">
        <v>5002063</v>
      </c>
      <c r="E49" s="24" t="s">
        <v>229</v>
      </c>
      <c r="F49" s="29" t="s">
        <v>424</v>
      </c>
      <c r="G49" s="100" t="s">
        <v>155</v>
      </c>
      <c r="H49" s="24" t="s">
        <v>1360</v>
      </c>
      <c r="I49" s="15">
        <v>1</v>
      </c>
      <c r="J49" s="24" t="s">
        <v>7</v>
      </c>
      <c r="K49" s="35">
        <v>18600</v>
      </c>
      <c r="L49" s="17">
        <f t="shared" si="7"/>
        <v>18600</v>
      </c>
      <c r="M49" s="160">
        <v>1.1814285714285715</v>
      </c>
      <c r="N49" s="162">
        <f t="shared" si="8"/>
        <v>21974.571428571431</v>
      </c>
      <c r="O49" s="160">
        <v>76.608349999999987</v>
      </c>
      <c r="P49" s="162">
        <f t="shared" si="9"/>
        <v>1424915.3099999998</v>
      </c>
      <c r="Q49" s="24" t="s">
        <v>278</v>
      </c>
    </row>
    <row r="50" spans="2:17" x14ac:dyDescent="0.2">
      <c r="B50" s="15">
        <v>44</v>
      </c>
      <c r="C50" s="23" t="s">
        <v>1151</v>
      </c>
      <c r="D50" s="106">
        <v>5001300</v>
      </c>
      <c r="E50" s="24" t="s">
        <v>1222</v>
      </c>
      <c r="F50" s="29" t="s">
        <v>424</v>
      </c>
      <c r="G50" s="100" t="s">
        <v>155</v>
      </c>
      <c r="H50" s="24" t="s">
        <v>1382</v>
      </c>
      <c r="I50" s="15">
        <v>1</v>
      </c>
      <c r="J50" s="24" t="s">
        <v>7</v>
      </c>
      <c r="K50" s="35">
        <v>23580</v>
      </c>
      <c r="L50" s="17">
        <f t="shared" si="7"/>
        <v>23580</v>
      </c>
      <c r="M50" s="160">
        <v>1.472</v>
      </c>
      <c r="N50" s="162">
        <f t="shared" si="8"/>
        <v>34709.760000000002</v>
      </c>
      <c r="O50" s="160">
        <v>68.622749787955897</v>
      </c>
      <c r="P50" s="162">
        <f t="shared" si="9"/>
        <v>1618124.44</v>
      </c>
      <c r="Q50" s="24" t="s">
        <v>278</v>
      </c>
    </row>
    <row r="51" spans="2:17" x14ac:dyDescent="0.2">
      <c r="B51" s="89"/>
      <c r="C51" s="69"/>
      <c r="D51" s="108"/>
      <c r="E51" s="26"/>
      <c r="F51" s="77"/>
      <c r="G51" s="102"/>
      <c r="H51" s="26"/>
      <c r="I51" s="89"/>
      <c r="J51" s="26"/>
      <c r="K51" s="71">
        <f>SUM(K26:K50)</f>
        <v>600800</v>
      </c>
      <c r="L51" s="71">
        <f>SUM(L26:L50)</f>
        <v>600800</v>
      </c>
      <c r="M51" s="150"/>
      <c r="N51" s="153">
        <f t="shared" ref="N51:P51" si="10">SUM(N26:N50)</f>
        <v>600822.80326530628</v>
      </c>
      <c r="O51" s="150"/>
      <c r="P51" s="153">
        <f t="shared" si="10"/>
        <v>69492608.363810375</v>
      </c>
      <c r="Q51" s="26"/>
    </row>
    <row r="52" spans="2:17" x14ac:dyDescent="0.2">
      <c r="B52" s="15">
        <v>45</v>
      </c>
      <c r="C52" s="23" t="s">
        <v>1149</v>
      </c>
      <c r="D52" s="106">
        <v>5500041</v>
      </c>
      <c r="E52" s="24" t="s">
        <v>49</v>
      </c>
      <c r="F52" s="29" t="s">
        <v>425</v>
      </c>
      <c r="G52" s="101" t="s">
        <v>163</v>
      </c>
      <c r="H52" s="24" t="s">
        <v>1231</v>
      </c>
      <c r="I52" s="15">
        <v>1</v>
      </c>
      <c r="J52" s="24" t="s">
        <v>39</v>
      </c>
      <c r="K52" s="35">
        <v>18760</v>
      </c>
      <c r="L52" s="17">
        <f t="shared" ref="L52:L96" si="11">K52*I52</f>
        <v>18760</v>
      </c>
      <c r="M52" s="160">
        <v>2.3580000000000001</v>
      </c>
      <c r="N52" s="162">
        <f t="shared" ref="N52:N96" si="12">+K52*M52</f>
        <v>44236.08</v>
      </c>
      <c r="O52" s="160">
        <v>25.679911338270568</v>
      </c>
      <c r="P52" s="162">
        <f t="shared" ref="P52:P96" si="13">+K52*O52</f>
        <v>481755.13670595584</v>
      </c>
      <c r="Q52" s="24" t="s">
        <v>275</v>
      </c>
    </row>
    <row r="53" spans="2:17" x14ac:dyDescent="0.2">
      <c r="B53" s="15">
        <v>46</v>
      </c>
      <c r="C53" s="23" t="s">
        <v>1149</v>
      </c>
      <c r="D53" s="106">
        <v>5500041</v>
      </c>
      <c r="E53" s="24" t="s">
        <v>49</v>
      </c>
      <c r="F53" s="29" t="s">
        <v>425</v>
      </c>
      <c r="G53" s="101" t="s">
        <v>163</v>
      </c>
      <c r="H53" s="24" t="s">
        <v>1232</v>
      </c>
      <c r="I53" s="15">
        <v>1</v>
      </c>
      <c r="J53" s="24" t="s">
        <v>39</v>
      </c>
      <c r="K53" s="35">
        <v>18990</v>
      </c>
      <c r="L53" s="17">
        <f t="shared" si="11"/>
        <v>18990</v>
      </c>
      <c r="M53" s="160">
        <v>2.3580000000000001</v>
      </c>
      <c r="N53" s="162">
        <f t="shared" si="12"/>
        <v>44778.42</v>
      </c>
      <c r="O53" s="160">
        <v>25.679911338270568</v>
      </c>
      <c r="P53" s="162">
        <f t="shared" si="13"/>
        <v>487661.5163137581</v>
      </c>
      <c r="Q53" s="24" t="s">
        <v>275</v>
      </c>
    </row>
    <row r="54" spans="2:17" x14ac:dyDescent="0.2">
      <c r="B54" s="15">
        <v>47</v>
      </c>
      <c r="C54" s="23" t="s">
        <v>1149</v>
      </c>
      <c r="D54" s="106">
        <v>5500482</v>
      </c>
      <c r="E54" s="24" t="s">
        <v>1175</v>
      </c>
      <c r="F54" s="29" t="s">
        <v>425</v>
      </c>
      <c r="G54" s="101" t="s">
        <v>163</v>
      </c>
      <c r="H54" s="24" t="s">
        <v>1233</v>
      </c>
      <c r="I54" s="15">
        <v>1</v>
      </c>
      <c r="J54" s="24" t="s">
        <v>39</v>
      </c>
      <c r="K54" s="35">
        <v>18256</v>
      </c>
      <c r="L54" s="17">
        <f t="shared" si="11"/>
        <v>18256</v>
      </c>
      <c r="M54" s="160">
        <v>1.92</v>
      </c>
      <c r="N54" s="162">
        <f t="shared" si="12"/>
        <v>35051.519999999997</v>
      </c>
      <c r="O54" s="160">
        <v>157.49964285714285</v>
      </c>
      <c r="P54" s="162">
        <f t="shared" si="13"/>
        <v>2875313.48</v>
      </c>
      <c r="Q54" s="24" t="s">
        <v>275</v>
      </c>
    </row>
    <row r="55" spans="2:17" x14ac:dyDescent="0.2">
      <c r="B55" s="15">
        <v>48</v>
      </c>
      <c r="C55" s="23" t="s">
        <v>1149</v>
      </c>
      <c r="D55" s="106">
        <v>5500004</v>
      </c>
      <c r="E55" s="24" t="s">
        <v>1177</v>
      </c>
      <c r="F55" s="29" t="s">
        <v>425</v>
      </c>
      <c r="G55" s="101" t="s">
        <v>163</v>
      </c>
      <c r="H55" s="24" t="s">
        <v>1240</v>
      </c>
      <c r="I55" s="15">
        <v>1</v>
      </c>
      <c r="J55" s="24" t="s">
        <v>39</v>
      </c>
      <c r="K55" s="35">
        <v>37016</v>
      </c>
      <c r="L55" s="17">
        <f t="shared" si="11"/>
        <v>37016</v>
      </c>
      <c r="M55" s="160">
        <v>1.9159999999999999</v>
      </c>
      <c r="N55" s="162">
        <f t="shared" si="12"/>
        <v>70922.656000000003</v>
      </c>
      <c r="O55" s="160">
        <v>172.23919684002701</v>
      </c>
      <c r="P55" s="162">
        <f t="shared" si="13"/>
        <v>6375606.1102304393</v>
      </c>
      <c r="Q55" s="24" t="s">
        <v>275</v>
      </c>
    </row>
    <row r="56" spans="2:17" x14ac:dyDescent="0.2">
      <c r="B56" s="15">
        <v>49</v>
      </c>
      <c r="C56" s="23" t="s">
        <v>1149</v>
      </c>
      <c r="D56" s="106">
        <v>5500165</v>
      </c>
      <c r="E56" s="24" t="s">
        <v>72</v>
      </c>
      <c r="F56" s="29" t="s">
        <v>425</v>
      </c>
      <c r="G56" s="101" t="s">
        <v>163</v>
      </c>
      <c r="H56" s="24" t="s">
        <v>1243</v>
      </c>
      <c r="I56" s="15">
        <v>1</v>
      </c>
      <c r="J56" s="24" t="s">
        <v>39</v>
      </c>
      <c r="K56" s="35">
        <v>19070</v>
      </c>
      <c r="L56" s="17">
        <f t="shared" si="11"/>
        <v>19070</v>
      </c>
      <c r="M56" s="160">
        <v>2.36</v>
      </c>
      <c r="N56" s="162">
        <f t="shared" si="12"/>
        <v>45005.2</v>
      </c>
      <c r="O56" s="160">
        <v>153.63997574450897</v>
      </c>
      <c r="P56" s="162">
        <f t="shared" si="13"/>
        <v>2929914.3374477862</v>
      </c>
      <c r="Q56" s="24" t="s">
        <v>275</v>
      </c>
    </row>
    <row r="57" spans="2:17" x14ac:dyDescent="0.2">
      <c r="B57" s="15">
        <v>50</v>
      </c>
      <c r="C57" s="23" t="s">
        <v>1149</v>
      </c>
      <c r="D57" s="106">
        <v>5500487</v>
      </c>
      <c r="E57" s="24" t="s">
        <v>1178</v>
      </c>
      <c r="F57" s="29" t="s">
        <v>425</v>
      </c>
      <c r="G57" s="101" t="s">
        <v>163</v>
      </c>
      <c r="H57" s="24" t="s">
        <v>1244</v>
      </c>
      <c r="I57" s="15">
        <v>1</v>
      </c>
      <c r="J57" s="24" t="s">
        <v>39</v>
      </c>
      <c r="K57" s="35">
        <v>4620</v>
      </c>
      <c r="L57" s="17">
        <f t="shared" si="11"/>
        <v>4620</v>
      </c>
      <c r="M57" s="160">
        <v>1.9159999999999999</v>
      </c>
      <c r="N57" s="162">
        <f t="shared" si="12"/>
        <v>8851.92</v>
      </c>
      <c r="O57" s="160">
        <v>217.005</v>
      </c>
      <c r="P57" s="162">
        <f t="shared" si="13"/>
        <v>1002563.1</v>
      </c>
      <c r="Q57" s="24" t="s">
        <v>275</v>
      </c>
    </row>
    <row r="58" spans="2:17" x14ac:dyDescent="0.2">
      <c r="B58" s="15">
        <v>51</v>
      </c>
      <c r="C58" s="23" t="s">
        <v>1156</v>
      </c>
      <c r="D58" s="106">
        <v>5002477</v>
      </c>
      <c r="E58" s="24" t="s">
        <v>1180</v>
      </c>
      <c r="F58" s="29" t="s">
        <v>424</v>
      </c>
      <c r="G58" s="101" t="s">
        <v>163</v>
      </c>
      <c r="H58" s="24" t="s">
        <v>1254</v>
      </c>
      <c r="I58" s="15">
        <v>1</v>
      </c>
      <c r="J58" s="24" t="s">
        <v>39</v>
      </c>
      <c r="K58" s="35">
        <v>9375</v>
      </c>
      <c r="L58" s="17">
        <f t="shared" si="11"/>
        <v>9375</v>
      </c>
      <c r="M58" s="160">
        <v>2.357894736842105</v>
      </c>
      <c r="N58" s="162">
        <f t="shared" si="12"/>
        <v>22105.263157894733</v>
      </c>
      <c r="O58" s="160">
        <v>312.076775</v>
      </c>
      <c r="P58" s="162">
        <f t="shared" si="13"/>
        <v>2925719.765625</v>
      </c>
      <c r="Q58" s="24" t="s">
        <v>279</v>
      </c>
    </row>
    <row r="59" spans="2:17" x14ac:dyDescent="0.2">
      <c r="B59" s="15">
        <v>52</v>
      </c>
      <c r="C59" s="23" t="s">
        <v>1157</v>
      </c>
      <c r="D59" s="106">
        <v>5500162</v>
      </c>
      <c r="E59" s="24" t="s">
        <v>349</v>
      </c>
      <c r="F59" s="29" t="s">
        <v>425</v>
      </c>
      <c r="G59" s="101" t="s">
        <v>163</v>
      </c>
      <c r="H59" s="24" t="s">
        <v>1255</v>
      </c>
      <c r="I59" s="15">
        <v>1</v>
      </c>
      <c r="J59" s="24" t="s">
        <v>39</v>
      </c>
      <c r="K59" s="35">
        <v>27888</v>
      </c>
      <c r="L59" s="17">
        <f t="shared" si="11"/>
        <v>27888</v>
      </c>
      <c r="M59" s="160">
        <v>1.65</v>
      </c>
      <c r="N59" s="162">
        <f t="shared" si="12"/>
        <v>46015.199999999997</v>
      </c>
      <c r="O59" s="160">
        <v>123.7500254178541</v>
      </c>
      <c r="P59" s="162">
        <f t="shared" si="13"/>
        <v>3451140.7088531153</v>
      </c>
      <c r="Q59" s="24" t="s">
        <v>274</v>
      </c>
    </row>
    <row r="60" spans="2:17" x14ac:dyDescent="0.2">
      <c r="B60" s="15">
        <v>53</v>
      </c>
      <c r="C60" s="23" t="s">
        <v>1157</v>
      </c>
      <c r="D60" s="106">
        <v>5500176</v>
      </c>
      <c r="E60" s="24" t="s">
        <v>77</v>
      </c>
      <c r="F60" s="29" t="s">
        <v>425</v>
      </c>
      <c r="G60" s="101" t="s">
        <v>163</v>
      </c>
      <c r="H60" s="24" t="s">
        <v>1256</v>
      </c>
      <c r="I60" s="15">
        <v>1</v>
      </c>
      <c r="J60" s="24" t="s">
        <v>39</v>
      </c>
      <c r="K60" s="35">
        <v>27860</v>
      </c>
      <c r="L60" s="17">
        <f t="shared" si="11"/>
        <v>27860</v>
      </c>
      <c r="M60" s="160">
        <v>1.8859999999999999</v>
      </c>
      <c r="N60" s="162">
        <f t="shared" si="12"/>
        <v>52543.96</v>
      </c>
      <c r="O60" s="160">
        <v>90.676580000000186</v>
      </c>
      <c r="P60" s="162">
        <f t="shared" si="13"/>
        <v>2526249.5188000053</v>
      </c>
      <c r="Q60" s="24" t="s">
        <v>274</v>
      </c>
    </row>
    <row r="61" spans="2:17" x14ac:dyDescent="0.2">
      <c r="B61" s="15">
        <v>54</v>
      </c>
      <c r="C61" s="23" t="s">
        <v>1149</v>
      </c>
      <c r="D61" s="106">
        <v>5500487</v>
      </c>
      <c r="E61" s="24" t="s">
        <v>1178</v>
      </c>
      <c r="F61" s="29" t="s">
        <v>425</v>
      </c>
      <c r="G61" s="101" t="s">
        <v>163</v>
      </c>
      <c r="H61" s="24" t="s">
        <v>1244</v>
      </c>
      <c r="I61" s="15">
        <v>1</v>
      </c>
      <c r="J61" s="24" t="s">
        <v>39</v>
      </c>
      <c r="K61" s="35">
        <v>31560</v>
      </c>
      <c r="L61" s="17">
        <f t="shared" si="11"/>
        <v>31560</v>
      </c>
      <c r="M61" s="160">
        <v>1.9159999999999999</v>
      </c>
      <c r="N61" s="162">
        <f t="shared" si="12"/>
        <v>60468.959999999999</v>
      </c>
      <c r="O61" s="160">
        <v>217.005</v>
      </c>
      <c r="P61" s="162">
        <f t="shared" si="13"/>
        <v>6848677.7999999998</v>
      </c>
      <c r="Q61" s="24" t="s">
        <v>275</v>
      </c>
    </row>
    <row r="62" spans="2:17" x14ac:dyDescent="0.2">
      <c r="B62" s="15">
        <v>55</v>
      </c>
      <c r="C62" s="23" t="s">
        <v>1157</v>
      </c>
      <c r="D62" s="106">
        <v>5500850</v>
      </c>
      <c r="E62" s="24" t="s">
        <v>762</v>
      </c>
      <c r="F62" s="29" t="s">
        <v>425</v>
      </c>
      <c r="G62" s="101" t="s">
        <v>163</v>
      </c>
      <c r="H62" s="24" t="s">
        <v>1257</v>
      </c>
      <c r="I62" s="15">
        <v>1</v>
      </c>
      <c r="J62" s="24" t="s">
        <v>39</v>
      </c>
      <c r="K62" s="35">
        <v>27972</v>
      </c>
      <c r="L62" s="17">
        <f t="shared" si="11"/>
        <v>27972</v>
      </c>
      <c r="M62" s="160">
        <v>1.9159999999999999</v>
      </c>
      <c r="N62" s="162">
        <f t="shared" si="12"/>
        <v>53594.351999999999</v>
      </c>
      <c r="O62" s="160">
        <v>183.76807102069998</v>
      </c>
      <c r="P62" s="162">
        <f t="shared" si="13"/>
        <v>5140360.4825910199</v>
      </c>
      <c r="Q62" s="24" t="s">
        <v>274</v>
      </c>
    </row>
    <row r="63" spans="2:17" x14ac:dyDescent="0.2">
      <c r="B63" s="15">
        <v>56</v>
      </c>
      <c r="C63" s="23" t="s">
        <v>1156</v>
      </c>
      <c r="D63" s="106">
        <v>5004662</v>
      </c>
      <c r="E63" s="24" t="s">
        <v>1181</v>
      </c>
      <c r="F63" s="29" t="s">
        <v>424</v>
      </c>
      <c r="G63" s="101" t="s">
        <v>163</v>
      </c>
      <c r="H63" s="24" t="s">
        <v>1263</v>
      </c>
      <c r="I63" s="15">
        <v>1</v>
      </c>
      <c r="J63" s="24" t="s">
        <v>39</v>
      </c>
      <c r="K63" s="35">
        <v>9450</v>
      </c>
      <c r="L63" s="17">
        <f t="shared" si="11"/>
        <v>9450</v>
      </c>
      <c r="M63" s="160">
        <v>2.36</v>
      </c>
      <c r="N63" s="162">
        <f t="shared" si="12"/>
        <v>22302</v>
      </c>
      <c r="O63" s="160">
        <v>167.625</v>
      </c>
      <c r="P63" s="162">
        <f t="shared" si="13"/>
        <v>1584056.25</v>
      </c>
      <c r="Q63" s="24" t="s">
        <v>279</v>
      </c>
    </row>
    <row r="64" spans="2:17" x14ac:dyDescent="0.2">
      <c r="B64" s="15">
        <v>57</v>
      </c>
      <c r="C64" s="23" t="s">
        <v>1156</v>
      </c>
      <c r="D64" s="106">
        <v>5004662</v>
      </c>
      <c r="E64" s="24" t="s">
        <v>1181</v>
      </c>
      <c r="F64" s="29" t="s">
        <v>424</v>
      </c>
      <c r="G64" s="101" t="s">
        <v>163</v>
      </c>
      <c r="H64" s="24" t="s">
        <v>1264</v>
      </c>
      <c r="I64" s="15">
        <v>1</v>
      </c>
      <c r="J64" s="24" t="s">
        <v>39</v>
      </c>
      <c r="K64" s="35">
        <v>9450</v>
      </c>
      <c r="L64" s="17">
        <f t="shared" si="11"/>
        <v>9450</v>
      </c>
      <c r="M64" s="160">
        <v>2.36</v>
      </c>
      <c r="N64" s="162">
        <f t="shared" si="12"/>
        <v>22302</v>
      </c>
      <c r="O64" s="160">
        <v>167.625</v>
      </c>
      <c r="P64" s="162">
        <f t="shared" si="13"/>
        <v>1584056.25</v>
      </c>
      <c r="Q64" s="24" t="s">
        <v>279</v>
      </c>
    </row>
    <row r="65" spans="2:17" x14ac:dyDescent="0.2">
      <c r="B65" s="15">
        <v>58</v>
      </c>
      <c r="C65" s="23" t="s">
        <v>1156</v>
      </c>
      <c r="D65" s="106">
        <v>5004664</v>
      </c>
      <c r="E65" s="24" t="s">
        <v>358</v>
      </c>
      <c r="F65" s="29" t="s">
        <v>424</v>
      </c>
      <c r="G65" s="101" t="s">
        <v>163</v>
      </c>
      <c r="H65" s="24" t="s">
        <v>1265</v>
      </c>
      <c r="I65" s="15">
        <v>1</v>
      </c>
      <c r="J65" s="24" t="s">
        <v>39</v>
      </c>
      <c r="K65" s="35">
        <v>19300</v>
      </c>
      <c r="L65" s="17">
        <f t="shared" si="11"/>
        <v>19300</v>
      </c>
      <c r="M65" s="160">
        <v>1.9159999999999999</v>
      </c>
      <c r="N65" s="162">
        <f t="shared" si="12"/>
        <v>36978.799999999996</v>
      </c>
      <c r="O65" s="160">
        <v>190.87499830795261</v>
      </c>
      <c r="P65" s="162">
        <f t="shared" si="13"/>
        <v>3683887.4673434854</v>
      </c>
      <c r="Q65" s="24" t="s">
        <v>279</v>
      </c>
    </row>
    <row r="66" spans="2:17" x14ac:dyDescent="0.2">
      <c r="B66" s="15">
        <v>59</v>
      </c>
      <c r="C66" s="23" t="s">
        <v>1162</v>
      </c>
      <c r="D66" s="106">
        <v>5500720</v>
      </c>
      <c r="E66" s="24" t="s">
        <v>1190</v>
      </c>
      <c r="F66" s="29" t="s">
        <v>425</v>
      </c>
      <c r="G66" s="101" t="s">
        <v>163</v>
      </c>
      <c r="H66" s="24" t="s">
        <v>1283</v>
      </c>
      <c r="I66" s="15">
        <v>1</v>
      </c>
      <c r="J66" s="24" t="s">
        <v>7</v>
      </c>
      <c r="K66" s="35">
        <v>14400</v>
      </c>
      <c r="L66" s="17">
        <f t="shared" si="11"/>
        <v>14400</v>
      </c>
      <c r="M66" s="160">
        <v>2.36</v>
      </c>
      <c r="N66" s="162">
        <f t="shared" si="12"/>
        <v>33984</v>
      </c>
      <c r="O66" s="160">
        <v>291.8601890634086</v>
      </c>
      <c r="P66" s="162">
        <f t="shared" si="13"/>
        <v>4202786.7225130834</v>
      </c>
      <c r="Q66" s="24" t="s">
        <v>277</v>
      </c>
    </row>
    <row r="67" spans="2:17" x14ac:dyDescent="0.2">
      <c r="B67" s="15">
        <v>60</v>
      </c>
      <c r="C67" s="23" t="s">
        <v>1162</v>
      </c>
      <c r="D67" s="106">
        <v>5500720</v>
      </c>
      <c r="E67" s="24" t="s">
        <v>1190</v>
      </c>
      <c r="F67" s="29" t="s">
        <v>425</v>
      </c>
      <c r="G67" s="101" t="s">
        <v>163</v>
      </c>
      <c r="H67" s="24" t="s">
        <v>1284</v>
      </c>
      <c r="I67" s="15">
        <v>1</v>
      </c>
      <c r="J67" s="24" t="s">
        <v>7</v>
      </c>
      <c r="K67" s="35">
        <v>14149</v>
      </c>
      <c r="L67" s="17">
        <f t="shared" si="11"/>
        <v>14149</v>
      </c>
      <c r="M67" s="160">
        <v>2.36</v>
      </c>
      <c r="N67" s="162">
        <f t="shared" si="12"/>
        <v>33391.64</v>
      </c>
      <c r="O67" s="160">
        <v>291.8601890634086</v>
      </c>
      <c r="P67" s="162">
        <f t="shared" si="13"/>
        <v>4129529.815058168</v>
      </c>
      <c r="Q67" s="24" t="s">
        <v>277</v>
      </c>
    </row>
    <row r="68" spans="2:17" x14ac:dyDescent="0.2">
      <c r="B68" s="15">
        <v>61</v>
      </c>
      <c r="C68" s="23" t="s">
        <v>1163</v>
      </c>
      <c r="D68" s="106">
        <v>5500873</v>
      </c>
      <c r="E68" s="24" t="s">
        <v>1191</v>
      </c>
      <c r="F68" s="29" t="s">
        <v>425</v>
      </c>
      <c r="G68" s="101" t="s">
        <v>163</v>
      </c>
      <c r="H68" s="24" t="s">
        <v>1285</v>
      </c>
      <c r="I68" s="15">
        <v>1</v>
      </c>
      <c r="J68" s="24" t="s">
        <v>39</v>
      </c>
      <c r="K68" s="35">
        <v>8510</v>
      </c>
      <c r="L68" s="17">
        <f t="shared" si="11"/>
        <v>8510</v>
      </c>
      <c r="M68" s="160">
        <v>2.357894736842105</v>
      </c>
      <c r="N68" s="162">
        <f t="shared" si="12"/>
        <v>20065.684210526313</v>
      </c>
      <c r="O68" s="160">
        <v>63.640600000000006</v>
      </c>
      <c r="P68" s="162">
        <f t="shared" si="13"/>
        <v>541581.50600000005</v>
      </c>
      <c r="Q68" s="24" t="s">
        <v>1171</v>
      </c>
    </row>
    <row r="69" spans="2:17" x14ac:dyDescent="0.2">
      <c r="B69" s="15">
        <v>62</v>
      </c>
      <c r="C69" s="23" t="s">
        <v>1162</v>
      </c>
      <c r="D69" s="106">
        <v>5500020</v>
      </c>
      <c r="E69" s="24" t="s">
        <v>1193</v>
      </c>
      <c r="F69" s="29" t="s">
        <v>425</v>
      </c>
      <c r="G69" s="101" t="s">
        <v>163</v>
      </c>
      <c r="H69" s="24" t="s">
        <v>1287</v>
      </c>
      <c r="I69" s="15">
        <v>1</v>
      </c>
      <c r="J69" s="24" t="s">
        <v>39</v>
      </c>
      <c r="K69" s="35">
        <v>29303</v>
      </c>
      <c r="L69" s="17">
        <f t="shared" si="11"/>
        <v>29303</v>
      </c>
      <c r="M69" s="160">
        <v>1.92</v>
      </c>
      <c r="N69" s="162">
        <f t="shared" si="12"/>
        <v>56261.759999999995</v>
      </c>
      <c r="O69" s="160">
        <v>187.12934684684689</v>
      </c>
      <c r="P69" s="162">
        <f t="shared" si="13"/>
        <v>5483451.2506531542</v>
      </c>
      <c r="Q69" s="24" t="s">
        <v>277</v>
      </c>
    </row>
    <row r="70" spans="2:17" x14ac:dyDescent="0.2">
      <c r="B70" s="15">
        <v>63</v>
      </c>
      <c r="C70" s="23" t="s">
        <v>1156</v>
      </c>
      <c r="D70" s="106">
        <v>5000096</v>
      </c>
      <c r="E70" s="24" t="s">
        <v>1194</v>
      </c>
      <c r="F70" s="29" t="s">
        <v>424</v>
      </c>
      <c r="G70" s="101" t="s">
        <v>163</v>
      </c>
      <c r="H70" s="24" t="s">
        <v>1290</v>
      </c>
      <c r="I70" s="15">
        <v>1</v>
      </c>
      <c r="J70" s="24" t="s">
        <v>39</v>
      </c>
      <c r="K70" s="35">
        <v>9600</v>
      </c>
      <c r="L70" s="17">
        <f t="shared" si="11"/>
        <v>9600</v>
      </c>
      <c r="M70" s="160">
        <v>1.9159999999999999</v>
      </c>
      <c r="N70" s="162">
        <f t="shared" si="12"/>
        <v>18393.599999999999</v>
      </c>
      <c r="O70" s="160">
        <v>149</v>
      </c>
      <c r="P70" s="162">
        <f t="shared" si="13"/>
        <v>1430400</v>
      </c>
      <c r="Q70" s="24" t="s">
        <v>279</v>
      </c>
    </row>
    <row r="71" spans="2:17" x14ac:dyDescent="0.2">
      <c r="B71" s="15">
        <v>64</v>
      </c>
      <c r="C71" s="23" t="s">
        <v>1156</v>
      </c>
      <c r="D71" s="106">
        <v>5000096</v>
      </c>
      <c r="E71" s="24" t="s">
        <v>1194</v>
      </c>
      <c r="F71" s="29" t="s">
        <v>424</v>
      </c>
      <c r="G71" s="101" t="s">
        <v>163</v>
      </c>
      <c r="H71" s="24" t="s">
        <v>1290</v>
      </c>
      <c r="I71" s="15">
        <v>1</v>
      </c>
      <c r="J71" s="24" t="s">
        <v>39</v>
      </c>
      <c r="K71" s="35">
        <v>9600</v>
      </c>
      <c r="L71" s="17">
        <f t="shared" si="11"/>
        <v>9600</v>
      </c>
      <c r="M71" s="160">
        <v>1.9159999999999999</v>
      </c>
      <c r="N71" s="162">
        <f t="shared" si="12"/>
        <v>18393.599999999999</v>
      </c>
      <c r="O71" s="160">
        <v>149</v>
      </c>
      <c r="P71" s="162">
        <f t="shared" si="13"/>
        <v>1430400</v>
      </c>
      <c r="Q71" s="24" t="s">
        <v>279</v>
      </c>
    </row>
    <row r="72" spans="2:17" x14ac:dyDescent="0.2">
      <c r="B72" s="15">
        <v>65</v>
      </c>
      <c r="C72" s="23" t="s">
        <v>1156</v>
      </c>
      <c r="D72" s="106">
        <v>5000096</v>
      </c>
      <c r="E72" s="24" t="s">
        <v>1194</v>
      </c>
      <c r="F72" s="29" t="s">
        <v>424</v>
      </c>
      <c r="G72" s="101" t="s">
        <v>163</v>
      </c>
      <c r="H72" s="24" t="s">
        <v>1290</v>
      </c>
      <c r="I72" s="15">
        <v>1</v>
      </c>
      <c r="J72" s="24" t="s">
        <v>39</v>
      </c>
      <c r="K72" s="35">
        <v>9775</v>
      </c>
      <c r="L72" s="17">
        <f t="shared" si="11"/>
        <v>9775</v>
      </c>
      <c r="M72" s="160">
        <v>1.9159999999999999</v>
      </c>
      <c r="N72" s="162">
        <f t="shared" si="12"/>
        <v>18728.899999999998</v>
      </c>
      <c r="O72" s="160">
        <v>149</v>
      </c>
      <c r="P72" s="162">
        <f t="shared" si="13"/>
        <v>1456475</v>
      </c>
      <c r="Q72" s="24" t="s">
        <v>279</v>
      </c>
    </row>
    <row r="73" spans="2:17" x14ac:dyDescent="0.2">
      <c r="B73" s="15">
        <v>66</v>
      </c>
      <c r="C73" s="23" t="s">
        <v>1156</v>
      </c>
      <c r="D73" s="106">
        <v>5000091</v>
      </c>
      <c r="E73" s="24" t="s">
        <v>1197</v>
      </c>
      <c r="F73" s="29" t="s">
        <v>424</v>
      </c>
      <c r="G73" s="101" t="s">
        <v>163</v>
      </c>
      <c r="H73" s="24" t="s">
        <v>1307</v>
      </c>
      <c r="I73" s="15">
        <v>1</v>
      </c>
      <c r="J73" s="24" t="s">
        <v>39</v>
      </c>
      <c r="K73" s="35">
        <v>9360</v>
      </c>
      <c r="L73" s="17">
        <f t="shared" si="11"/>
        <v>9360</v>
      </c>
      <c r="M73" s="160">
        <v>1.9159999999999999</v>
      </c>
      <c r="N73" s="162">
        <f t="shared" si="12"/>
        <v>17933.759999999998</v>
      </c>
      <c r="O73" s="160">
        <v>388.0447980295566</v>
      </c>
      <c r="P73" s="162">
        <f t="shared" si="13"/>
        <v>3632099.30955665</v>
      </c>
      <c r="Q73" s="24" t="s">
        <v>279</v>
      </c>
    </row>
    <row r="74" spans="2:17" x14ac:dyDescent="0.2">
      <c r="B74" s="15">
        <v>67</v>
      </c>
      <c r="C74" s="23" t="s">
        <v>1156</v>
      </c>
      <c r="D74" s="106">
        <v>5000091</v>
      </c>
      <c r="E74" s="24" t="s">
        <v>1197</v>
      </c>
      <c r="F74" s="29" t="s">
        <v>424</v>
      </c>
      <c r="G74" s="101" t="s">
        <v>163</v>
      </c>
      <c r="H74" s="24" t="s">
        <v>1307</v>
      </c>
      <c r="I74" s="15">
        <v>1</v>
      </c>
      <c r="J74" s="24" t="s">
        <v>39</v>
      </c>
      <c r="K74" s="35">
        <v>9320</v>
      </c>
      <c r="L74" s="17">
        <f t="shared" si="11"/>
        <v>9320</v>
      </c>
      <c r="M74" s="160">
        <v>1.9159999999999999</v>
      </c>
      <c r="N74" s="162">
        <f t="shared" si="12"/>
        <v>17857.12</v>
      </c>
      <c r="O74" s="160">
        <v>388.0447980295566</v>
      </c>
      <c r="P74" s="162">
        <f t="shared" si="13"/>
        <v>3616577.5176354675</v>
      </c>
      <c r="Q74" s="24" t="s">
        <v>279</v>
      </c>
    </row>
    <row r="75" spans="2:17" x14ac:dyDescent="0.2">
      <c r="B75" s="15">
        <v>68</v>
      </c>
      <c r="C75" s="23" t="s">
        <v>1157</v>
      </c>
      <c r="D75" s="106">
        <v>5500146</v>
      </c>
      <c r="E75" s="24" t="s">
        <v>68</v>
      </c>
      <c r="F75" s="29" t="s">
        <v>425</v>
      </c>
      <c r="G75" s="101" t="s">
        <v>163</v>
      </c>
      <c r="H75" s="24" t="s">
        <v>1315</v>
      </c>
      <c r="I75" s="15">
        <v>1</v>
      </c>
      <c r="J75" s="24" t="s">
        <v>39</v>
      </c>
      <c r="K75" s="35">
        <v>34034</v>
      </c>
      <c r="L75" s="17">
        <f t="shared" si="11"/>
        <v>34034</v>
      </c>
      <c r="M75" s="160">
        <v>1.9159999999999999</v>
      </c>
      <c r="N75" s="162">
        <f t="shared" si="12"/>
        <v>65209.144</v>
      </c>
      <c r="O75" s="160">
        <v>215.36002167978216</v>
      </c>
      <c r="P75" s="162">
        <f t="shared" si="13"/>
        <v>7329562.9778497061</v>
      </c>
      <c r="Q75" s="24" t="s">
        <v>274</v>
      </c>
    </row>
    <row r="76" spans="2:17" x14ac:dyDescent="0.2">
      <c r="B76" s="15">
        <v>69</v>
      </c>
      <c r="C76" s="23" t="s">
        <v>1157</v>
      </c>
      <c r="D76" s="106">
        <v>5500162</v>
      </c>
      <c r="E76" s="24" t="s">
        <v>349</v>
      </c>
      <c r="F76" s="29" t="s">
        <v>425</v>
      </c>
      <c r="G76" s="101" t="s">
        <v>163</v>
      </c>
      <c r="H76" s="24" t="s">
        <v>1316</v>
      </c>
      <c r="I76" s="15">
        <v>1</v>
      </c>
      <c r="J76" s="24" t="s">
        <v>39</v>
      </c>
      <c r="K76" s="35">
        <v>28042</v>
      </c>
      <c r="L76" s="17">
        <f t="shared" si="11"/>
        <v>28042</v>
      </c>
      <c r="M76" s="160">
        <v>1.65</v>
      </c>
      <c r="N76" s="162">
        <f t="shared" si="12"/>
        <v>46269.299999999996</v>
      </c>
      <c r="O76" s="160">
        <v>123.7500254178541</v>
      </c>
      <c r="P76" s="162">
        <f t="shared" si="13"/>
        <v>3470198.2127674646</v>
      </c>
      <c r="Q76" s="24" t="s">
        <v>274</v>
      </c>
    </row>
    <row r="77" spans="2:17" x14ac:dyDescent="0.2">
      <c r="B77" s="15">
        <v>70</v>
      </c>
      <c r="C77" s="23" t="s">
        <v>1157</v>
      </c>
      <c r="D77" s="106">
        <v>5500171</v>
      </c>
      <c r="E77" s="24" t="s">
        <v>76</v>
      </c>
      <c r="F77" s="29" t="s">
        <v>425</v>
      </c>
      <c r="G77" s="101" t="s">
        <v>163</v>
      </c>
      <c r="H77" s="24" t="s">
        <v>1317</v>
      </c>
      <c r="I77" s="15">
        <v>1</v>
      </c>
      <c r="J77" s="24" t="s">
        <v>39</v>
      </c>
      <c r="K77" s="35">
        <v>27426</v>
      </c>
      <c r="L77" s="17">
        <f t="shared" si="11"/>
        <v>27426</v>
      </c>
      <c r="M77" s="160">
        <v>2.2280000000000002</v>
      </c>
      <c r="N77" s="162">
        <f t="shared" si="12"/>
        <v>61105.128000000004</v>
      </c>
      <c r="O77" s="160">
        <v>104.52012547892755</v>
      </c>
      <c r="P77" s="162">
        <f t="shared" si="13"/>
        <v>2866568.9613850671</v>
      </c>
      <c r="Q77" s="24" t="s">
        <v>274</v>
      </c>
    </row>
    <row r="78" spans="2:17" x14ac:dyDescent="0.2">
      <c r="B78" s="15">
        <v>71</v>
      </c>
      <c r="C78" s="23" t="s">
        <v>1157</v>
      </c>
      <c r="D78" s="106">
        <v>5500184</v>
      </c>
      <c r="E78" s="24" t="s">
        <v>1199</v>
      </c>
      <c r="F78" s="29" t="s">
        <v>425</v>
      </c>
      <c r="G78" s="101" t="s">
        <v>163</v>
      </c>
      <c r="H78" s="24" t="s">
        <v>1318</v>
      </c>
      <c r="I78" s="15">
        <v>1</v>
      </c>
      <c r="J78" s="24" t="s">
        <v>39</v>
      </c>
      <c r="K78" s="35">
        <v>27608</v>
      </c>
      <c r="L78" s="17">
        <f t="shared" si="11"/>
        <v>27608</v>
      </c>
      <c r="M78" s="160">
        <v>1.92</v>
      </c>
      <c r="N78" s="162">
        <f t="shared" si="12"/>
        <v>53007.360000000001</v>
      </c>
      <c r="O78" s="160">
        <v>142.70999149349817</v>
      </c>
      <c r="P78" s="162">
        <f t="shared" si="13"/>
        <v>3939937.4451524974</v>
      </c>
      <c r="Q78" s="24" t="s">
        <v>274</v>
      </c>
    </row>
    <row r="79" spans="2:17" x14ac:dyDescent="0.2">
      <c r="B79" s="15">
        <v>72</v>
      </c>
      <c r="C79" s="23" t="s">
        <v>1167</v>
      </c>
      <c r="D79" s="106">
        <v>5500175</v>
      </c>
      <c r="E79" s="24" t="s">
        <v>1200</v>
      </c>
      <c r="F79" s="29" t="s">
        <v>425</v>
      </c>
      <c r="G79" s="101" t="s">
        <v>163</v>
      </c>
      <c r="H79" s="24" t="s">
        <v>1325</v>
      </c>
      <c r="I79" s="15">
        <v>1</v>
      </c>
      <c r="J79" s="24" t="s">
        <v>39</v>
      </c>
      <c r="K79" s="35">
        <v>19096</v>
      </c>
      <c r="L79" s="17">
        <f t="shared" si="11"/>
        <v>19096</v>
      </c>
      <c r="M79" s="160">
        <v>1.9159999999999999</v>
      </c>
      <c r="N79" s="162">
        <f t="shared" si="12"/>
        <v>36587.936000000002</v>
      </c>
      <c r="O79" s="160">
        <v>108.32000958058303</v>
      </c>
      <c r="P79" s="162">
        <f t="shared" si="13"/>
        <v>2068478.9029508135</v>
      </c>
      <c r="Q79" s="24" t="s">
        <v>282</v>
      </c>
    </row>
    <row r="80" spans="2:17" x14ac:dyDescent="0.2">
      <c r="B80" s="15">
        <v>73</v>
      </c>
      <c r="C80" s="23" t="s">
        <v>1167</v>
      </c>
      <c r="D80" s="106">
        <v>5500175</v>
      </c>
      <c r="E80" s="24" t="s">
        <v>1200</v>
      </c>
      <c r="F80" s="29" t="s">
        <v>425</v>
      </c>
      <c r="G80" s="101" t="s">
        <v>163</v>
      </c>
      <c r="H80" s="24" t="s">
        <v>1326</v>
      </c>
      <c r="I80" s="15">
        <v>1</v>
      </c>
      <c r="J80" s="24" t="s">
        <v>39</v>
      </c>
      <c r="K80" s="35">
        <v>19152</v>
      </c>
      <c r="L80" s="17">
        <f t="shared" si="11"/>
        <v>19152</v>
      </c>
      <c r="M80" s="160">
        <v>1.9159999999999999</v>
      </c>
      <c r="N80" s="162">
        <f t="shared" si="12"/>
        <v>36695.231999999996</v>
      </c>
      <c r="O80" s="160">
        <v>108.32000958058303</v>
      </c>
      <c r="P80" s="162">
        <f t="shared" si="13"/>
        <v>2074544.8234873263</v>
      </c>
      <c r="Q80" s="24" t="s">
        <v>282</v>
      </c>
    </row>
    <row r="81" spans="2:17" x14ac:dyDescent="0.2">
      <c r="B81" s="15">
        <v>74</v>
      </c>
      <c r="C81" s="23" t="s">
        <v>1167</v>
      </c>
      <c r="D81" s="106">
        <v>5500175</v>
      </c>
      <c r="E81" s="24" t="s">
        <v>1200</v>
      </c>
      <c r="F81" s="29" t="s">
        <v>425</v>
      </c>
      <c r="G81" s="101" t="s">
        <v>163</v>
      </c>
      <c r="H81" s="24" t="s">
        <v>1327</v>
      </c>
      <c r="I81" s="15">
        <v>1</v>
      </c>
      <c r="J81" s="24" t="s">
        <v>39</v>
      </c>
      <c r="K81" s="35">
        <v>18704</v>
      </c>
      <c r="L81" s="17">
        <f t="shared" si="11"/>
        <v>18704</v>
      </c>
      <c r="M81" s="160">
        <v>1.9159999999999999</v>
      </c>
      <c r="N81" s="162">
        <f t="shared" si="12"/>
        <v>35836.864000000001</v>
      </c>
      <c r="O81" s="160">
        <v>108.32000958058303</v>
      </c>
      <c r="P81" s="162">
        <f t="shared" si="13"/>
        <v>2026017.459195225</v>
      </c>
      <c r="Q81" s="24" t="s">
        <v>282</v>
      </c>
    </row>
    <row r="82" spans="2:17" x14ac:dyDescent="0.2">
      <c r="B82" s="15">
        <v>75</v>
      </c>
      <c r="C82" s="23" t="s">
        <v>1149</v>
      </c>
      <c r="D82" s="106">
        <v>5500149</v>
      </c>
      <c r="E82" s="24" t="s">
        <v>1201</v>
      </c>
      <c r="F82" s="29" t="s">
        <v>425</v>
      </c>
      <c r="G82" s="101" t="s">
        <v>163</v>
      </c>
      <c r="H82" s="24" t="s">
        <v>1330</v>
      </c>
      <c r="I82" s="15">
        <v>1</v>
      </c>
      <c r="J82" s="24" t="s">
        <v>39</v>
      </c>
      <c r="K82" s="35">
        <v>36344</v>
      </c>
      <c r="L82" s="17">
        <f t="shared" si="11"/>
        <v>36344</v>
      </c>
      <c r="M82" s="160">
        <v>1.9159999999999999</v>
      </c>
      <c r="N82" s="162">
        <f t="shared" si="12"/>
        <v>69635.103999999992</v>
      </c>
      <c r="O82" s="160">
        <v>223.07</v>
      </c>
      <c r="P82" s="162">
        <f t="shared" si="13"/>
        <v>8107256.0800000001</v>
      </c>
      <c r="Q82" s="24" t="s">
        <v>275</v>
      </c>
    </row>
    <row r="83" spans="2:17" x14ac:dyDescent="0.2">
      <c r="B83" s="15">
        <v>76</v>
      </c>
      <c r="C83" s="23" t="s">
        <v>1149</v>
      </c>
      <c r="D83" s="106">
        <v>5500154</v>
      </c>
      <c r="E83" s="24" t="s">
        <v>71</v>
      </c>
      <c r="F83" s="29" t="s">
        <v>425</v>
      </c>
      <c r="G83" s="101" t="s">
        <v>163</v>
      </c>
      <c r="H83" s="24" t="s">
        <v>1331</v>
      </c>
      <c r="I83" s="15">
        <v>1</v>
      </c>
      <c r="J83" s="24" t="s">
        <v>39</v>
      </c>
      <c r="K83" s="35">
        <v>29330</v>
      </c>
      <c r="L83" s="17">
        <f t="shared" si="11"/>
        <v>29330</v>
      </c>
      <c r="M83" s="160">
        <v>1.9159999999999999</v>
      </c>
      <c r="N83" s="162">
        <f t="shared" si="12"/>
        <v>56196.28</v>
      </c>
      <c r="O83" s="160">
        <v>152.36003804994056</v>
      </c>
      <c r="P83" s="162">
        <f t="shared" si="13"/>
        <v>4468719.9160047565</v>
      </c>
      <c r="Q83" s="24" t="s">
        <v>275</v>
      </c>
    </row>
    <row r="84" spans="2:17" x14ac:dyDescent="0.2">
      <c r="B84" s="15">
        <v>77</v>
      </c>
      <c r="C84" s="23" t="s">
        <v>1149</v>
      </c>
      <c r="D84" s="106">
        <v>8000118</v>
      </c>
      <c r="E84" s="24" t="s">
        <v>1202</v>
      </c>
      <c r="F84" s="29" t="s">
        <v>425</v>
      </c>
      <c r="G84" s="101" t="s">
        <v>163</v>
      </c>
      <c r="H84" s="24" t="s">
        <v>1331</v>
      </c>
      <c r="I84" s="15">
        <v>1</v>
      </c>
      <c r="J84" s="24" t="s">
        <v>39</v>
      </c>
      <c r="K84" s="35">
        <v>13006</v>
      </c>
      <c r="L84" s="17">
        <f t="shared" si="11"/>
        <v>13006</v>
      </c>
      <c r="M84" s="160">
        <v>1.92</v>
      </c>
      <c r="N84" s="162">
        <f t="shared" si="12"/>
        <v>24971.52</v>
      </c>
      <c r="O84" s="160">
        <v>0</v>
      </c>
      <c r="P84" s="162">
        <f t="shared" si="13"/>
        <v>0</v>
      </c>
      <c r="Q84" s="24" t="s">
        <v>275</v>
      </c>
    </row>
    <row r="85" spans="2:17" x14ac:dyDescent="0.2">
      <c r="B85" s="15">
        <v>78</v>
      </c>
      <c r="C85" s="23" t="s">
        <v>1149</v>
      </c>
      <c r="D85" s="106">
        <v>5000685</v>
      </c>
      <c r="E85" s="24" t="s">
        <v>1205</v>
      </c>
      <c r="F85" s="29" t="s">
        <v>424</v>
      </c>
      <c r="G85" s="101" t="s">
        <v>163</v>
      </c>
      <c r="H85" s="24" t="s">
        <v>1343</v>
      </c>
      <c r="I85" s="15">
        <v>1</v>
      </c>
      <c r="J85" s="24" t="s">
        <v>39</v>
      </c>
      <c r="K85" s="35">
        <v>17850</v>
      </c>
      <c r="L85" s="17">
        <f t="shared" si="11"/>
        <v>17850</v>
      </c>
      <c r="M85" s="160">
        <v>1.92</v>
      </c>
      <c r="N85" s="162">
        <f t="shared" si="12"/>
        <v>34272</v>
      </c>
      <c r="O85" s="160">
        <v>651.5918999999999</v>
      </c>
      <c r="P85" s="162">
        <f t="shared" si="13"/>
        <v>11630915.414999997</v>
      </c>
      <c r="Q85" s="24" t="s">
        <v>275</v>
      </c>
    </row>
    <row r="86" spans="2:17" x14ac:dyDescent="0.2">
      <c r="B86" s="15">
        <v>79</v>
      </c>
      <c r="C86" s="23" t="s">
        <v>1156</v>
      </c>
      <c r="D86" s="106">
        <v>5001232</v>
      </c>
      <c r="E86" s="24" t="s">
        <v>289</v>
      </c>
      <c r="F86" s="29" t="s">
        <v>424</v>
      </c>
      <c r="G86" s="101" t="s">
        <v>163</v>
      </c>
      <c r="H86" s="24" t="s">
        <v>1345</v>
      </c>
      <c r="I86" s="15">
        <v>1</v>
      </c>
      <c r="J86" s="24" t="s">
        <v>39</v>
      </c>
      <c r="K86" s="35">
        <v>9375</v>
      </c>
      <c r="L86" s="17">
        <f t="shared" si="11"/>
        <v>9375</v>
      </c>
      <c r="M86" s="160">
        <v>2.36</v>
      </c>
      <c r="N86" s="162">
        <f t="shared" si="12"/>
        <v>22125</v>
      </c>
      <c r="O86" s="160">
        <v>109.89549892473119</v>
      </c>
      <c r="P86" s="162">
        <f t="shared" si="13"/>
        <v>1030270.3024193549</v>
      </c>
      <c r="Q86" s="24" t="s">
        <v>279</v>
      </c>
    </row>
    <row r="87" spans="2:17" x14ac:dyDescent="0.2">
      <c r="B87" s="15">
        <v>80</v>
      </c>
      <c r="C87" s="23" t="s">
        <v>1156</v>
      </c>
      <c r="D87" s="106">
        <v>5001232</v>
      </c>
      <c r="E87" s="24" t="s">
        <v>289</v>
      </c>
      <c r="F87" s="29" t="s">
        <v>424</v>
      </c>
      <c r="G87" s="101" t="s">
        <v>163</v>
      </c>
      <c r="H87" s="24" t="s">
        <v>1346</v>
      </c>
      <c r="I87" s="15">
        <v>1</v>
      </c>
      <c r="J87" s="24" t="s">
        <v>39</v>
      </c>
      <c r="K87" s="35">
        <v>9550</v>
      </c>
      <c r="L87" s="17">
        <f t="shared" si="11"/>
        <v>9550</v>
      </c>
      <c r="M87" s="160">
        <v>2.36</v>
      </c>
      <c r="N87" s="162">
        <f t="shared" si="12"/>
        <v>22538</v>
      </c>
      <c r="O87" s="160">
        <v>109.89549892473119</v>
      </c>
      <c r="P87" s="162">
        <f t="shared" si="13"/>
        <v>1049502.0147311827</v>
      </c>
      <c r="Q87" s="24" t="s">
        <v>279</v>
      </c>
    </row>
    <row r="88" spans="2:17" x14ac:dyDescent="0.2">
      <c r="B88" s="15">
        <v>81</v>
      </c>
      <c r="C88" s="23" t="s">
        <v>1156</v>
      </c>
      <c r="D88" s="106">
        <v>5001232</v>
      </c>
      <c r="E88" s="24" t="s">
        <v>289</v>
      </c>
      <c r="F88" s="29" t="s">
        <v>424</v>
      </c>
      <c r="G88" s="101" t="s">
        <v>163</v>
      </c>
      <c r="H88" s="24" t="s">
        <v>1347</v>
      </c>
      <c r="I88" s="15">
        <v>1</v>
      </c>
      <c r="J88" s="24" t="s">
        <v>39</v>
      </c>
      <c r="K88" s="35">
        <v>9425</v>
      </c>
      <c r="L88" s="17">
        <f t="shared" si="11"/>
        <v>9425</v>
      </c>
      <c r="M88" s="160">
        <v>2.36</v>
      </c>
      <c r="N88" s="162">
        <f t="shared" si="12"/>
        <v>22243</v>
      </c>
      <c r="O88" s="160">
        <v>109.89549892473119</v>
      </c>
      <c r="P88" s="162">
        <f t="shared" si="13"/>
        <v>1035765.0773655914</v>
      </c>
      <c r="Q88" s="24" t="s">
        <v>279</v>
      </c>
    </row>
    <row r="89" spans="2:17" x14ac:dyDescent="0.2">
      <c r="B89" s="15">
        <v>82</v>
      </c>
      <c r="C89" s="23" t="s">
        <v>1149</v>
      </c>
      <c r="D89" s="106">
        <v>5001848</v>
      </c>
      <c r="E89" s="24" t="s">
        <v>1206</v>
      </c>
      <c r="F89" s="29" t="s">
        <v>424</v>
      </c>
      <c r="G89" s="101" t="s">
        <v>163</v>
      </c>
      <c r="H89" s="24" t="s">
        <v>1349</v>
      </c>
      <c r="I89" s="15">
        <v>1</v>
      </c>
      <c r="J89" s="24" t="s">
        <v>39</v>
      </c>
      <c r="K89" s="35">
        <v>13175</v>
      </c>
      <c r="L89" s="17">
        <f t="shared" si="11"/>
        <v>13175</v>
      </c>
      <c r="M89" s="160">
        <v>1.9159999999999999</v>
      </c>
      <c r="N89" s="162">
        <f t="shared" si="12"/>
        <v>25243.3</v>
      </c>
      <c r="O89" s="160">
        <v>355.36499999999995</v>
      </c>
      <c r="P89" s="162">
        <f t="shared" si="13"/>
        <v>4681933.8749999991</v>
      </c>
      <c r="Q89" s="24" t="s">
        <v>275</v>
      </c>
    </row>
    <row r="90" spans="2:17" x14ac:dyDescent="0.2">
      <c r="B90" s="15">
        <v>83</v>
      </c>
      <c r="C90" s="23" t="s">
        <v>1149</v>
      </c>
      <c r="D90" s="106">
        <v>5001849</v>
      </c>
      <c r="E90" s="24" t="s">
        <v>296</v>
      </c>
      <c r="F90" s="29" t="s">
        <v>424</v>
      </c>
      <c r="G90" s="101" t="s">
        <v>163</v>
      </c>
      <c r="H90" s="24" t="s">
        <v>1350</v>
      </c>
      <c r="I90" s="15">
        <v>1</v>
      </c>
      <c r="J90" s="24" t="s">
        <v>39</v>
      </c>
      <c r="K90" s="35">
        <v>9000</v>
      </c>
      <c r="L90" s="17">
        <f t="shared" si="11"/>
        <v>9000</v>
      </c>
      <c r="M90" s="160">
        <v>1.9159999999999999</v>
      </c>
      <c r="N90" s="162">
        <f t="shared" si="12"/>
        <v>17244</v>
      </c>
      <c r="O90" s="160">
        <v>295.683187657784</v>
      </c>
      <c r="P90" s="162">
        <f t="shared" si="13"/>
        <v>2661148.688920056</v>
      </c>
      <c r="Q90" s="24" t="s">
        <v>275</v>
      </c>
    </row>
    <row r="91" spans="2:17" x14ac:dyDescent="0.2">
      <c r="B91" s="15">
        <v>84</v>
      </c>
      <c r="C91" s="23" t="s">
        <v>1149</v>
      </c>
      <c r="D91" s="106">
        <v>5500142</v>
      </c>
      <c r="E91" s="24" t="s">
        <v>1207</v>
      </c>
      <c r="F91" s="29" t="s">
        <v>425</v>
      </c>
      <c r="G91" s="101" t="s">
        <v>163</v>
      </c>
      <c r="H91" s="24" t="s">
        <v>1351</v>
      </c>
      <c r="I91" s="15">
        <v>1</v>
      </c>
      <c r="J91" s="24" t="s">
        <v>39</v>
      </c>
      <c r="K91" s="35">
        <v>17682</v>
      </c>
      <c r="L91" s="17">
        <f t="shared" si="11"/>
        <v>17682</v>
      </c>
      <c r="M91" s="160">
        <v>1.9159999999999999</v>
      </c>
      <c r="N91" s="162">
        <f t="shared" si="12"/>
        <v>33878.712</v>
      </c>
      <c r="O91" s="160">
        <v>244.93</v>
      </c>
      <c r="P91" s="162">
        <f t="shared" si="13"/>
        <v>4330852.26</v>
      </c>
      <c r="Q91" s="24" t="s">
        <v>275</v>
      </c>
    </row>
    <row r="92" spans="2:17" x14ac:dyDescent="0.2">
      <c r="B92" s="15">
        <v>85</v>
      </c>
      <c r="C92" s="23" t="s">
        <v>1149</v>
      </c>
      <c r="D92" s="106">
        <v>5500152</v>
      </c>
      <c r="E92" s="24" t="s">
        <v>69</v>
      </c>
      <c r="F92" s="29" t="s">
        <v>425</v>
      </c>
      <c r="G92" s="101" t="s">
        <v>163</v>
      </c>
      <c r="H92" s="24" t="s">
        <v>1352</v>
      </c>
      <c r="I92" s="15">
        <v>1</v>
      </c>
      <c r="J92" s="24" t="s">
        <v>39</v>
      </c>
      <c r="K92" s="35">
        <v>36820</v>
      </c>
      <c r="L92" s="17">
        <f t="shared" si="11"/>
        <v>36820</v>
      </c>
      <c r="M92" s="160">
        <v>1.92</v>
      </c>
      <c r="N92" s="162">
        <f t="shared" si="12"/>
        <v>70694.399999999994</v>
      </c>
      <c r="O92" s="160">
        <v>70.069995368226074</v>
      </c>
      <c r="P92" s="162">
        <f t="shared" si="13"/>
        <v>2579977.2294580839</v>
      </c>
      <c r="Q92" s="24" t="s">
        <v>275</v>
      </c>
    </row>
    <row r="93" spans="2:17" x14ac:dyDescent="0.2">
      <c r="B93" s="15">
        <v>86</v>
      </c>
      <c r="C93" s="23" t="s">
        <v>1149</v>
      </c>
      <c r="D93" s="106">
        <v>8000175</v>
      </c>
      <c r="E93" s="24" t="s">
        <v>106</v>
      </c>
      <c r="F93" s="29" t="s">
        <v>425</v>
      </c>
      <c r="G93" s="101" t="s">
        <v>163</v>
      </c>
      <c r="H93" s="24" t="s">
        <v>1368</v>
      </c>
      <c r="I93" s="15">
        <v>1</v>
      </c>
      <c r="J93" s="24" t="s">
        <v>39</v>
      </c>
      <c r="K93" s="35">
        <v>56448</v>
      </c>
      <c r="L93" s="17">
        <f t="shared" si="11"/>
        <v>56448</v>
      </c>
      <c r="M93" s="160">
        <v>0.95799999999999996</v>
      </c>
      <c r="N93" s="162">
        <f t="shared" si="12"/>
        <v>54077.184000000001</v>
      </c>
      <c r="O93" s="160">
        <v>0</v>
      </c>
      <c r="P93" s="162">
        <f t="shared" si="13"/>
        <v>0</v>
      </c>
      <c r="Q93" s="24" t="s">
        <v>275</v>
      </c>
    </row>
    <row r="94" spans="2:17" x14ac:dyDescent="0.2">
      <c r="B94" s="15">
        <v>87</v>
      </c>
      <c r="C94" s="23" t="s">
        <v>1162</v>
      </c>
      <c r="D94" s="106">
        <v>5500063</v>
      </c>
      <c r="E94" s="24" t="s">
        <v>54</v>
      </c>
      <c r="F94" s="29" t="s">
        <v>425</v>
      </c>
      <c r="G94" s="101" t="s">
        <v>163</v>
      </c>
      <c r="H94" s="24" t="s">
        <v>1376</v>
      </c>
      <c r="I94" s="15">
        <v>1</v>
      </c>
      <c r="J94" s="24" t="s">
        <v>39</v>
      </c>
      <c r="K94" s="35">
        <v>37632</v>
      </c>
      <c r="L94" s="17">
        <f t="shared" si="11"/>
        <v>37632</v>
      </c>
      <c r="M94" s="160">
        <v>1.9159999999999999</v>
      </c>
      <c r="N94" s="162">
        <f t="shared" si="12"/>
        <v>72102.911999999997</v>
      </c>
      <c r="O94" s="160">
        <v>124.71002320928358</v>
      </c>
      <c r="P94" s="162">
        <f t="shared" si="13"/>
        <v>4693087.5934117595</v>
      </c>
      <c r="Q94" s="24" t="s">
        <v>277</v>
      </c>
    </row>
    <row r="95" spans="2:17" x14ac:dyDescent="0.2">
      <c r="B95" s="15">
        <v>88</v>
      </c>
      <c r="C95" s="23" t="s">
        <v>1162</v>
      </c>
      <c r="D95" s="106">
        <v>5500063</v>
      </c>
      <c r="E95" s="24" t="s">
        <v>54</v>
      </c>
      <c r="F95" s="29" t="s">
        <v>425</v>
      </c>
      <c r="G95" s="101" t="s">
        <v>163</v>
      </c>
      <c r="H95" s="24" t="s">
        <v>1377</v>
      </c>
      <c r="I95" s="15">
        <v>1</v>
      </c>
      <c r="J95" s="24" t="s">
        <v>39</v>
      </c>
      <c r="K95" s="35">
        <v>37632</v>
      </c>
      <c r="L95" s="17">
        <f t="shared" si="11"/>
        <v>37632</v>
      </c>
      <c r="M95" s="160">
        <v>1.9159999999999999</v>
      </c>
      <c r="N95" s="162">
        <f t="shared" si="12"/>
        <v>72102.911999999997</v>
      </c>
      <c r="O95" s="160">
        <v>124.71002320928358</v>
      </c>
      <c r="P95" s="162">
        <f t="shared" si="13"/>
        <v>4693087.5934117595</v>
      </c>
      <c r="Q95" s="24" t="s">
        <v>277</v>
      </c>
    </row>
    <row r="96" spans="2:17" x14ac:dyDescent="0.2">
      <c r="B96" s="15">
        <v>89</v>
      </c>
      <c r="C96" s="23" t="s">
        <v>1149</v>
      </c>
      <c r="D96" s="106">
        <v>5500486</v>
      </c>
      <c r="E96" s="24" t="s">
        <v>288</v>
      </c>
      <c r="F96" s="29" t="s">
        <v>425</v>
      </c>
      <c r="G96" s="101" t="s">
        <v>163</v>
      </c>
      <c r="H96" s="24" t="s">
        <v>359</v>
      </c>
      <c r="I96" s="15">
        <v>1</v>
      </c>
      <c r="J96" s="24" t="s">
        <v>39</v>
      </c>
      <c r="K96" s="35">
        <v>120</v>
      </c>
      <c r="L96" s="17">
        <f t="shared" si="11"/>
        <v>120</v>
      </c>
      <c r="M96" s="160">
        <v>1.9157894736842105</v>
      </c>
      <c r="N96" s="162">
        <f t="shared" si="12"/>
        <v>229.89473684210526</v>
      </c>
      <c r="O96" s="160">
        <v>306.50961400359046</v>
      </c>
      <c r="P96" s="162">
        <f t="shared" si="13"/>
        <v>36781.153680430856</v>
      </c>
      <c r="Q96" s="24" t="s">
        <v>275</v>
      </c>
    </row>
    <row r="97" spans="2:17" x14ac:dyDescent="0.2">
      <c r="B97" s="89"/>
      <c r="C97" s="69"/>
      <c r="D97" s="108"/>
      <c r="E97" s="26"/>
      <c r="F97" s="77"/>
      <c r="G97" s="110"/>
      <c r="H97" s="26"/>
      <c r="I97" s="89"/>
      <c r="J97" s="26"/>
      <c r="K97" s="71">
        <f>SUM(K52:K96)</f>
        <v>901035</v>
      </c>
      <c r="L97" s="71">
        <f>SUM(L52:L96)</f>
        <v>901035</v>
      </c>
      <c r="M97" s="150"/>
      <c r="N97" s="153">
        <f t="shared" ref="N97:P97" si="14">SUM(N52:N96)</f>
        <v>1732431.5781052634</v>
      </c>
      <c r="O97" s="150"/>
      <c r="P97" s="153">
        <f t="shared" si="14"/>
        <v>142594869.02751818</v>
      </c>
      <c r="Q97" s="26"/>
    </row>
    <row r="98" spans="2:17" x14ac:dyDescent="0.2">
      <c r="B98" s="15">
        <v>90</v>
      </c>
      <c r="C98" s="23" t="s">
        <v>1146</v>
      </c>
      <c r="D98" s="106">
        <v>5000650</v>
      </c>
      <c r="E98" s="24" t="s">
        <v>1174</v>
      </c>
      <c r="F98" s="29" t="s">
        <v>424</v>
      </c>
      <c r="G98" s="100" t="s">
        <v>1384</v>
      </c>
      <c r="H98" s="24" t="s">
        <v>1224</v>
      </c>
      <c r="I98" s="15">
        <v>1</v>
      </c>
      <c r="J98" s="24" t="s">
        <v>39</v>
      </c>
      <c r="K98" s="35">
        <v>42360</v>
      </c>
      <c r="L98" s="17">
        <f>K98*I98</f>
        <v>42360</v>
      </c>
      <c r="M98" s="160">
        <v>1.0620000000000001</v>
      </c>
      <c r="N98" s="162">
        <f t="shared" ref="N98:N99" si="15">+K98*M98</f>
        <v>44986.32</v>
      </c>
      <c r="O98" s="160">
        <v>98.426111701662279</v>
      </c>
      <c r="P98" s="162">
        <f t="shared" ref="P98:P99" si="16">+K98*O98</f>
        <v>4169330.0916824141</v>
      </c>
      <c r="Q98" s="24" t="s">
        <v>1169</v>
      </c>
    </row>
    <row r="99" spans="2:17" x14ac:dyDescent="0.2">
      <c r="B99" s="15">
        <v>91</v>
      </c>
      <c r="C99" s="23" t="s">
        <v>1146</v>
      </c>
      <c r="D99" s="106">
        <v>5000650</v>
      </c>
      <c r="E99" s="24" t="s">
        <v>1174</v>
      </c>
      <c r="F99" s="29" t="s">
        <v>424</v>
      </c>
      <c r="G99" s="100" t="s">
        <v>1384</v>
      </c>
      <c r="H99" s="24" t="s">
        <v>1224</v>
      </c>
      <c r="I99" s="15">
        <v>1</v>
      </c>
      <c r="J99" s="24" t="s">
        <v>39</v>
      </c>
      <c r="K99" s="35">
        <v>50040</v>
      </c>
      <c r="L99" s="17">
        <f>K99*I99</f>
        <v>50040</v>
      </c>
      <c r="M99" s="160">
        <v>1.0620000000000001</v>
      </c>
      <c r="N99" s="162">
        <f t="shared" si="15"/>
        <v>53142.48</v>
      </c>
      <c r="O99" s="160">
        <v>98.426111701662279</v>
      </c>
      <c r="P99" s="162">
        <f t="shared" si="16"/>
        <v>4925242.6295511806</v>
      </c>
      <c r="Q99" s="24" t="s">
        <v>1169</v>
      </c>
    </row>
    <row r="100" spans="2:17" x14ac:dyDescent="0.2">
      <c r="B100" s="89"/>
      <c r="C100" s="69"/>
      <c r="D100" s="108"/>
      <c r="E100" s="26"/>
      <c r="F100" s="77"/>
      <c r="G100" s="102"/>
      <c r="H100" s="26"/>
      <c r="I100" s="89"/>
      <c r="J100" s="26"/>
      <c r="K100" s="71">
        <f>SUM(K98:K99)</f>
        <v>92400</v>
      </c>
      <c r="L100" s="71">
        <f>SUM(L98:L99)</f>
        <v>92400</v>
      </c>
      <c r="M100" s="150"/>
      <c r="N100" s="153">
        <f t="shared" ref="N100:P100" si="17">SUM(N98:N99)</f>
        <v>98128.8</v>
      </c>
      <c r="O100" s="150"/>
      <c r="P100" s="153">
        <f t="shared" si="17"/>
        <v>9094572.7212335952</v>
      </c>
      <c r="Q100" s="26"/>
    </row>
    <row r="101" spans="2:17" x14ac:dyDescent="0.2">
      <c r="B101" s="15">
        <v>92</v>
      </c>
      <c r="C101" s="23" t="s">
        <v>1147</v>
      </c>
      <c r="D101" s="106">
        <v>5000927</v>
      </c>
      <c r="E101" s="24" t="s">
        <v>1176</v>
      </c>
      <c r="F101" s="29" t="s">
        <v>424</v>
      </c>
      <c r="G101" s="100" t="s">
        <v>162</v>
      </c>
      <c r="H101" s="24" t="s">
        <v>1236</v>
      </c>
      <c r="I101" s="15">
        <v>1</v>
      </c>
      <c r="J101" s="24" t="s">
        <v>7</v>
      </c>
      <c r="K101" s="35">
        <v>4900</v>
      </c>
      <c r="L101" s="17">
        <f t="shared" ref="L101:L106" si="18">K101*I101</f>
        <v>4900</v>
      </c>
      <c r="M101" s="160">
        <v>3.2320000000000002</v>
      </c>
      <c r="N101" s="162">
        <f t="shared" ref="N101:N106" si="19">+K101*M101</f>
        <v>15836.800000000001</v>
      </c>
      <c r="O101" s="160">
        <v>104.3</v>
      </c>
      <c r="P101" s="162">
        <f t="shared" ref="P101:P106" si="20">+K101*O101</f>
        <v>511070</v>
      </c>
      <c r="Q101" s="24" t="s">
        <v>272</v>
      </c>
    </row>
    <row r="102" spans="2:17" x14ac:dyDescent="0.2">
      <c r="B102" s="15">
        <v>93</v>
      </c>
      <c r="C102" s="23" t="s">
        <v>1147</v>
      </c>
      <c r="D102" s="106">
        <v>5000927</v>
      </c>
      <c r="E102" s="24" t="s">
        <v>1176</v>
      </c>
      <c r="F102" s="29" t="s">
        <v>424</v>
      </c>
      <c r="G102" s="100" t="s">
        <v>162</v>
      </c>
      <c r="H102" s="24" t="s">
        <v>1237</v>
      </c>
      <c r="I102" s="15">
        <v>1</v>
      </c>
      <c r="J102" s="24" t="s">
        <v>7</v>
      </c>
      <c r="K102" s="35">
        <v>4920</v>
      </c>
      <c r="L102" s="17">
        <f t="shared" si="18"/>
        <v>4920</v>
      </c>
      <c r="M102" s="160">
        <v>3.2320000000000002</v>
      </c>
      <c r="N102" s="162">
        <f t="shared" si="19"/>
        <v>15901.44</v>
      </c>
      <c r="O102" s="160">
        <v>104.3</v>
      </c>
      <c r="P102" s="162">
        <f t="shared" si="20"/>
        <v>513156</v>
      </c>
      <c r="Q102" s="24" t="s">
        <v>272</v>
      </c>
    </row>
    <row r="103" spans="2:17" x14ac:dyDescent="0.2">
      <c r="B103" s="15">
        <v>94</v>
      </c>
      <c r="C103" s="23" t="s">
        <v>1147</v>
      </c>
      <c r="D103" s="106">
        <v>5500038</v>
      </c>
      <c r="E103" s="24" t="s">
        <v>47</v>
      </c>
      <c r="F103" s="29" t="s">
        <v>425</v>
      </c>
      <c r="G103" s="100" t="s">
        <v>162</v>
      </c>
      <c r="H103" s="24" t="s">
        <v>1241</v>
      </c>
      <c r="I103" s="15">
        <v>1</v>
      </c>
      <c r="J103" s="24" t="s">
        <v>7</v>
      </c>
      <c r="K103" s="35">
        <v>4920</v>
      </c>
      <c r="L103" s="17">
        <f t="shared" si="18"/>
        <v>4920</v>
      </c>
      <c r="M103" s="160">
        <v>3.2320000000000002</v>
      </c>
      <c r="N103" s="162">
        <f t="shared" si="19"/>
        <v>15901.44</v>
      </c>
      <c r="O103" s="160">
        <v>171.45917410714284</v>
      </c>
      <c r="P103" s="162">
        <f t="shared" si="20"/>
        <v>843579.13660714275</v>
      </c>
      <c r="Q103" s="24" t="s">
        <v>272</v>
      </c>
    </row>
    <row r="104" spans="2:17" x14ac:dyDescent="0.2">
      <c r="B104" s="15">
        <v>95</v>
      </c>
      <c r="C104" s="23" t="s">
        <v>1147</v>
      </c>
      <c r="D104" s="106">
        <v>5500052</v>
      </c>
      <c r="E104" s="24" t="s">
        <v>287</v>
      </c>
      <c r="F104" s="29" t="s">
        <v>425</v>
      </c>
      <c r="G104" s="100" t="s">
        <v>162</v>
      </c>
      <c r="H104" s="24" t="s">
        <v>1242</v>
      </c>
      <c r="I104" s="15">
        <v>1</v>
      </c>
      <c r="J104" s="24" t="s">
        <v>7</v>
      </c>
      <c r="K104" s="35">
        <v>2460</v>
      </c>
      <c r="L104" s="17">
        <f t="shared" si="18"/>
        <v>2460</v>
      </c>
      <c r="M104" s="160">
        <v>6.1180000000000003</v>
      </c>
      <c r="N104" s="162">
        <f t="shared" si="19"/>
        <v>15050.28</v>
      </c>
      <c r="O104" s="160">
        <v>257.49</v>
      </c>
      <c r="P104" s="162">
        <f t="shared" si="20"/>
        <v>633425.4</v>
      </c>
      <c r="Q104" s="24" t="s">
        <v>272</v>
      </c>
    </row>
    <row r="105" spans="2:17" x14ac:dyDescent="0.2">
      <c r="B105" s="15">
        <v>96</v>
      </c>
      <c r="C105" s="23" t="s">
        <v>1147</v>
      </c>
      <c r="D105" s="106">
        <v>5000927</v>
      </c>
      <c r="E105" s="24" t="s">
        <v>1176</v>
      </c>
      <c r="F105" s="29" t="s">
        <v>424</v>
      </c>
      <c r="G105" s="100" t="s">
        <v>162</v>
      </c>
      <c r="H105" s="24" t="s">
        <v>1276</v>
      </c>
      <c r="I105" s="15">
        <v>1</v>
      </c>
      <c r="J105" s="24" t="s">
        <v>7</v>
      </c>
      <c r="K105" s="35">
        <v>4920</v>
      </c>
      <c r="L105" s="17">
        <f t="shared" si="18"/>
        <v>4920</v>
      </c>
      <c r="M105" s="160">
        <v>3.2320000000000002</v>
      </c>
      <c r="N105" s="162">
        <f t="shared" si="19"/>
        <v>15901.44</v>
      </c>
      <c r="O105" s="160">
        <v>104.3</v>
      </c>
      <c r="P105" s="162">
        <f t="shared" si="20"/>
        <v>513156</v>
      </c>
      <c r="Q105" s="24" t="s">
        <v>272</v>
      </c>
    </row>
    <row r="106" spans="2:17" x14ac:dyDescent="0.2">
      <c r="B106" s="15">
        <v>97</v>
      </c>
      <c r="C106" s="23" t="s">
        <v>1147</v>
      </c>
      <c r="D106" s="106">
        <v>5000927</v>
      </c>
      <c r="E106" s="24" t="s">
        <v>1176</v>
      </c>
      <c r="F106" s="29" t="s">
        <v>424</v>
      </c>
      <c r="G106" s="100" t="s">
        <v>162</v>
      </c>
      <c r="H106" s="24" t="s">
        <v>1277</v>
      </c>
      <c r="I106" s="15">
        <v>1</v>
      </c>
      <c r="J106" s="24" t="s">
        <v>7</v>
      </c>
      <c r="K106" s="35">
        <v>4770</v>
      </c>
      <c r="L106" s="17">
        <f t="shared" si="18"/>
        <v>4770</v>
      </c>
      <c r="M106" s="160">
        <v>3.2320000000000002</v>
      </c>
      <c r="N106" s="162">
        <f t="shared" si="19"/>
        <v>15416.640000000001</v>
      </c>
      <c r="O106" s="160">
        <v>104.3</v>
      </c>
      <c r="P106" s="162">
        <f t="shared" si="20"/>
        <v>497511</v>
      </c>
      <c r="Q106" s="24" t="s">
        <v>272</v>
      </c>
    </row>
    <row r="107" spans="2:17" x14ac:dyDescent="0.2">
      <c r="B107" s="89"/>
      <c r="C107" s="69"/>
      <c r="D107" s="108"/>
      <c r="E107" s="26"/>
      <c r="F107" s="77"/>
      <c r="G107" s="102"/>
      <c r="H107" s="26"/>
      <c r="I107" s="89"/>
      <c r="J107" s="26"/>
      <c r="K107" s="71">
        <f>SUM(K101:K106)</f>
        <v>26890</v>
      </c>
      <c r="L107" s="71">
        <f>SUM(L101:L106)</f>
        <v>26890</v>
      </c>
      <c r="M107" s="150"/>
      <c r="N107" s="153">
        <f t="shared" ref="N107:P107" si="21">SUM(N101:N106)</f>
        <v>94008.04</v>
      </c>
      <c r="O107" s="150"/>
      <c r="P107" s="153">
        <f t="shared" si="21"/>
        <v>3511897.5366071425</v>
      </c>
      <c r="Q107" s="26"/>
    </row>
    <row r="108" spans="2:17" x14ac:dyDescent="0.2">
      <c r="B108" s="15">
        <v>98</v>
      </c>
      <c r="C108" s="23" t="s">
        <v>1147</v>
      </c>
      <c r="D108" s="106">
        <v>5500040</v>
      </c>
      <c r="E108" s="24" t="s">
        <v>48</v>
      </c>
      <c r="F108" s="29" t="s">
        <v>425</v>
      </c>
      <c r="G108" s="100" t="s">
        <v>164</v>
      </c>
      <c r="H108" s="24" t="s">
        <v>1225</v>
      </c>
      <c r="I108" s="15">
        <v>1</v>
      </c>
      <c r="J108" s="24" t="s">
        <v>7</v>
      </c>
      <c r="K108" s="35">
        <v>21360</v>
      </c>
      <c r="L108" s="17">
        <f t="shared" ref="L108:L131" si="22">K108*I108</f>
        <v>21360</v>
      </c>
      <c r="M108" s="160">
        <v>1.512</v>
      </c>
      <c r="N108" s="162">
        <f t="shared" ref="N108:N131" si="23">+K108*M108</f>
        <v>32296.32</v>
      </c>
      <c r="O108" s="160">
        <v>75.359683042789229</v>
      </c>
      <c r="P108" s="162">
        <f t="shared" ref="P108:P131" si="24">+K108*O108</f>
        <v>1609682.829793978</v>
      </c>
      <c r="Q108" s="24" t="s">
        <v>272</v>
      </c>
    </row>
    <row r="109" spans="2:17" x14ac:dyDescent="0.2">
      <c r="B109" s="15">
        <v>99</v>
      </c>
      <c r="C109" s="23" t="s">
        <v>1147</v>
      </c>
      <c r="D109" s="106">
        <v>5500040</v>
      </c>
      <c r="E109" s="24" t="s">
        <v>48</v>
      </c>
      <c r="F109" s="29" t="s">
        <v>425</v>
      </c>
      <c r="G109" s="100" t="s">
        <v>164</v>
      </c>
      <c r="H109" s="24" t="s">
        <v>1226</v>
      </c>
      <c r="I109" s="15">
        <v>1</v>
      </c>
      <c r="J109" s="24" t="s">
        <v>7</v>
      </c>
      <c r="K109" s="35">
        <v>21360</v>
      </c>
      <c r="L109" s="17">
        <f t="shared" si="22"/>
        <v>21360</v>
      </c>
      <c r="M109" s="160">
        <v>1.512</v>
      </c>
      <c r="N109" s="162">
        <f t="shared" si="23"/>
        <v>32296.32</v>
      </c>
      <c r="O109" s="160">
        <v>75.359683042789229</v>
      </c>
      <c r="P109" s="162">
        <f t="shared" si="24"/>
        <v>1609682.829793978</v>
      </c>
      <c r="Q109" s="24" t="s">
        <v>272</v>
      </c>
    </row>
    <row r="110" spans="2:17" x14ac:dyDescent="0.2">
      <c r="B110" s="15">
        <v>100</v>
      </c>
      <c r="C110" s="23" t="s">
        <v>1147</v>
      </c>
      <c r="D110" s="106">
        <v>5500040</v>
      </c>
      <c r="E110" s="24" t="s">
        <v>48</v>
      </c>
      <c r="F110" s="29" t="s">
        <v>425</v>
      </c>
      <c r="G110" s="100" t="s">
        <v>164</v>
      </c>
      <c r="H110" s="24" t="s">
        <v>1227</v>
      </c>
      <c r="I110" s="15">
        <v>1</v>
      </c>
      <c r="J110" s="24" t="s">
        <v>7</v>
      </c>
      <c r="K110" s="35">
        <v>21360</v>
      </c>
      <c r="L110" s="17">
        <f t="shared" si="22"/>
        <v>21360</v>
      </c>
      <c r="M110" s="160">
        <v>1.512</v>
      </c>
      <c r="N110" s="162">
        <f t="shared" si="23"/>
        <v>32296.32</v>
      </c>
      <c r="O110" s="160">
        <v>75.359683042789229</v>
      </c>
      <c r="P110" s="162">
        <f t="shared" si="24"/>
        <v>1609682.829793978</v>
      </c>
      <c r="Q110" s="24" t="s">
        <v>272</v>
      </c>
    </row>
    <row r="111" spans="2:17" x14ac:dyDescent="0.2">
      <c r="B111" s="15">
        <v>101</v>
      </c>
      <c r="C111" s="23" t="s">
        <v>1148</v>
      </c>
      <c r="D111" s="106">
        <v>5500040</v>
      </c>
      <c r="E111" s="24" t="s">
        <v>48</v>
      </c>
      <c r="F111" s="29" t="s">
        <v>425</v>
      </c>
      <c r="G111" s="100" t="s">
        <v>164</v>
      </c>
      <c r="H111" s="24" t="s">
        <v>1228</v>
      </c>
      <c r="I111" s="15">
        <v>1</v>
      </c>
      <c r="J111" s="24" t="s">
        <v>7</v>
      </c>
      <c r="K111" s="35">
        <v>90</v>
      </c>
      <c r="L111" s="17">
        <f t="shared" si="22"/>
        <v>90</v>
      </c>
      <c r="M111" s="160">
        <v>1.512</v>
      </c>
      <c r="N111" s="162">
        <f t="shared" si="23"/>
        <v>136.08000000000001</v>
      </c>
      <c r="O111" s="160">
        <v>75.359683042789229</v>
      </c>
      <c r="P111" s="162">
        <f t="shared" si="24"/>
        <v>6782.3714738510307</v>
      </c>
      <c r="Q111" s="24" t="s">
        <v>280</v>
      </c>
    </row>
    <row r="112" spans="2:17" x14ac:dyDescent="0.2">
      <c r="B112" s="15">
        <v>102</v>
      </c>
      <c r="C112" s="23" t="s">
        <v>1148</v>
      </c>
      <c r="D112" s="106">
        <v>5500040</v>
      </c>
      <c r="E112" s="24" t="s">
        <v>48</v>
      </c>
      <c r="F112" s="29" t="s">
        <v>425</v>
      </c>
      <c r="G112" s="100" t="s">
        <v>164</v>
      </c>
      <c r="H112" s="24" t="s">
        <v>1229</v>
      </c>
      <c r="I112" s="15">
        <v>1</v>
      </c>
      <c r="J112" s="24" t="s">
        <v>7</v>
      </c>
      <c r="K112" s="35">
        <v>15840</v>
      </c>
      <c r="L112" s="17">
        <f t="shared" si="22"/>
        <v>15840</v>
      </c>
      <c r="M112" s="160">
        <v>1.512</v>
      </c>
      <c r="N112" s="162">
        <f t="shared" si="23"/>
        <v>23950.080000000002</v>
      </c>
      <c r="O112" s="160">
        <v>75.359683042789229</v>
      </c>
      <c r="P112" s="162">
        <f t="shared" si="24"/>
        <v>1193697.3793977813</v>
      </c>
      <c r="Q112" s="24" t="s">
        <v>280</v>
      </c>
    </row>
    <row r="113" spans="2:17" x14ac:dyDescent="0.2">
      <c r="B113" s="15">
        <v>103</v>
      </c>
      <c r="C113" s="23" t="s">
        <v>1148</v>
      </c>
      <c r="D113" s="106">
        <v>5500040</v>
      </c>
      <c r="E113" s="24" t="s">
        <v>48</v>
      </c>
      <c r="F113" s="29" t="s">
        <v>425</v>
      </c>
      <c r="G113" s="100" t="s">
        <v>164</v>
      </c>
      <c r="H113" s="24" t="s">
        <v>1229</v>
      </c>
      <c r="I113" s="15">
        <v>1</v>
      </c>
      <c r="J113" s="24" t="s">
        <v>7</v>
      </c>
      <c r="K113" s="35">
        <v>90</v>
      </c>
      <c r="L113" s="17">
        <f t="shared" si="22"/>
        <v>90</v>
      </c>
      <c r="M113" s="160">
        <v>1.512</v>
      </c>
      <c r="N113" s="162">
        <f t="shared" si="23"/>
        <v>136.08000000000001</v>
      </c>
      <c r="O113" s="160">
        <v>75.359683042789229</v>
      </c>
      <c r="P113" s="162">
        <f t="shared" si="24"/>
        <v>6782.3714738510307</v>
      </c>
      <c r="Q113" s="24" t="s">
        <v>280</v>
      </c>
    </row>
    <row r="114" spans="2:17" x14ac:dyDescent="0.2">
      <c r="B114" s="15">
        <v>104</v>
      </c>
      <c r="C114" s="23" t="s">
        <v>1148</v>
      </c>
      <c r="D114" s="106">
        <v>5500040</v>
      </c>
      <c r="E114" s="24" t="s">
        <v>48</v>
      </c>
      <c r="F114" s="29" t="s">
        <v>425</v>
      </c>
      <c r="G114" s="100" t="s">
        <v>164</v>
      </c>
      <c r="H114" s="24" t="s">
        <v>1230</v>
      </c>
      <c r="I114" s="15">
        <v>1</v>
      </c>
      <c r="J114" s="24" t="s">
        <v>7</v>
      </c>
      <c r="K114" s="35">
        <v>15840</v>
      </c>
      <c r="L114" s="17">
        <f t="shared" si="22"/>
        <v>15840</v>
      </c>
      <c r="M114" s="160">
        <v>1.512</v>
      </c>
      <c r="N114" s="162">
        <f t="shared" si="23"/>
        <v>23950.080000000002</v>
      </c>
      <c r="O114" s="160">
        <v>75.359683042789229</v>
      </c>
      <c r="P114" s="162">
        <f t="shared" si="24"/>
        <v>1193697.3793977813</v>
      </c>
      <c r="Q114" s="24" t="s">
        <v>280</v>
      </c>
    </row>
    <row r="115" spans="2:17" x14ac:dyDescent="0.2">
      <c r="B115" s="15">
        <v>105</v>
      </c>
      <c r="C115" s="23" t="s">
        <v>1148</v>
      </c>
      <c r="D115" s="106">
        <v>5500040</v>
      </c>
      <c r="E115" s="24" t="s">
        <v>48</v>
      </c>
      <c r="F115" s="29" t="s">
        <v>425</v>
      </c>
      <c r="G115" s="100" t="s">
        <v>164</v>
      </c>
      <c r="H115" s="24" t="s">
        <v>1230</v>
      </c>
      <c r="I115" s="15">
        <v>1</v>
      </c>
      <c r="J115" s="24" t="s">
        <v>7</v>
      </c>
      <c r="K115" s="35">
        <v>120</v>
      </c>
      <c r="L115" s="17">
        <f t="shared" si="22"/>
        <v>120</v>
      </c>
      <c r="M115" s="160">
        <v>1.512</v>
      </c>
      <c r="N115" s="162">
        <f t="shared" si="23"/>
        <v>181.44</v>
      </c>
      <c r="O115" s="160">
        <v>75.359683042789229</v>
      </c>
      <c r="P115" s="162">
        <f t="shared" si="24"/>
        <v>9043.1619651347082</v>
      </c>
      <c r="Q115" s="24" t="s">
        <v>280</v>
      </c>
    </row>
    <row r="116" spans="2:17" x14ac:dyDescent="0.2">
      <c r="B116" s="15">
        <v>106</v>
      </c>
      <c r="C116" s="23" t="s">
        <v>1148</v>
      </c>
      <c r="D116" s="106">
        <v>5500040</v>
      </c>
      <c r="E116" s="24" t="s">
        <v>48</v>
      </c>
      <c r="F116" s="29" t="s">
        <v>425</v>
      </c>
      <c r="G116" s="100" t="s">
        <v>164</v>
      </c>
      <c r="H116" s="24" t="s">
        <v>1228</v>
      </c>
      <c r="I116" s="15">
        <v>1</v>
      </c>
      <c r="J116" s="24" t="s">
        <v>7</v>
      </c>
      <c r="K116" s="35">
        <v>15840</v>
      </c>
      <c r="L116" s="17">
        <f t="shared" si="22"/>
        <v>15840</v>
      </c>
      <c r="M116" s="160">
        <v>1.512</v>
      </c>
      <c r="N116" s="162">
        <f t="shared" si="23"/>
        <v>23950.080000000002</v>
      </c>
      <c r="O116" s="160">
        <v>75.359683042789229</v>
      </c>
      <c r="P116" s="162">
        <f t="shared" si="24"/>
        <v>1193697.3793977813</v>
      </c>
      <c r="Q116" s="24" t="s">
        <v>280</v>
      </c>
    </row>
    <row r="117" spans="2:17" x14ac:dyDescent="0.2">
      <c r="B117" s="15">
        <v>107</v>
      </c>
      <c r="C117" s="23" t="s">
        <v>1147</v>
      </c>
      <c r="D117" s="106">
        <v>5500614</v>
      </c>
      <c r="E117" s="24" t="s">
        <v>1188</v>
      </c>
      <c r="F117" s="29" t="s">
        <v>425</v>
      </c>
      <c r="G117" s="100" t="s">
        <v>164</v>
      </c>
      <c r="H117" s="24" t="s">
        <v>1280</v>
      </c>
      <c r="I117" s="15">
        <v>1</v>
      </c>
      <c r="J117" s="24" t="s">
        <v>7</v>
      </c>
      <c r="K117" s="35">
        <v>8550</v>
      </c>
      <c r="L117" s="17">
        <f t="shared" si="22"/>
        <v>8550</v>
      </c>
      <c r="M117" s="160">
        <v>1.464</v>
      </c>
      <c r="N117" s="162">
        <f t="shared" si="23"/>
        <v>12517.199999999999</v>
      </c>
      <c r="O117" s="160">
        <v>192.19984615384615</v>
      </c>
      <c r="P117" s="162">
        <f t="shared" si="24"/>
        <v>1643308.6846153846</v>
      </c>
      <c r="Q117" s="24" t="s">
        <v>272</v>
      </c>
    </row>
    <row r="118" spans="2:17" x14ac:dyDescent="0.2">
      <c r="B118" s="15">
        <v>108</v>
      </c>
      <c r="C118" s="23" t="s">
        <v>1147</v>
      </c>
      <c r="D118" s="106">
        <v>5500614</v>
      </c>
      <c r="E118" s="24" t="s">
        <v>1188</v>
      </c>
      <c r="F118" s="29" t="s">
        <v>425</v>
      </c>
      <c r="G118" s="100" t="s">
        <v>164</v>
      </c>
      <c r="H118" s="24" t="s">
        <v>1281</v>
      </c>
      <c r="I118" s="15">
        <v>1</v>
      </c>
      <c r="J118" s="24" t="s">
        <v>7</v>
      </c>
      <c r="K118" s="35">
        <v>8550</v>
      </c>
      <c r="L118" s="17">
        <f t="shared" si="22"/>
        <v>8550</v>
      </c>
      <c r="M118" s="160">
        <v>1.464</v>
      </c>
      <c r="N118" s="162">
        <f t="shared" si="23"/>
        <v>12517.199999999999</v>
      </c>
      <c r="O118" s="160">
        <v>192.19984615384615</v>
      </c>
      <c r="P118" s="162">
        <f t="shared" si="24"/>
        <v>1643308.6846153846</v>
      </c>
      <c r="Q118" s="24" t="s">
        <v>272</v>
      </c>
    </row>
    <row r="119" spans="2:17" x14ac:dyDescent="0.2">
      <c r="B119" s="15">
        <v>109</v>
      </c>
      <c r="C119" s="23" t="s">
        <v>1147</v>
      </c>
      <c r="D119" s="106">
        <v>5500614</v>
      </c>
      <c r="E119" s="24" t="s">
        <v>1188</v>
      </c>
      <c r="F119" s="29" t="s">
        <v>425</v>
      </c>
      <c r="G119" s="100" t="s">
        <v>164</v>
      </c>
      <c r="H119" s="24" t="s">
        <v>1292</v>
      </c>
      <c r="I119" s="15">
        <v>1</v>
      </c>
      <c r="J119" s="24" t="s">
        <v>7</v>
      </c>
      <c r="K119" s="35">
        <v>8550</v>
      </c>
      <c r="L119" s="17">
        <f t="shared" si="22"/>
        <v>8550</v>
      </c>
      <c r="M119" s="160">
        <v>1.464</v>
      </c>
      <c r="N119" s="162">
        <f t="shared" si="23"/>
        <v>12517.199999999999</v>
      </c>
      <c r="O119" s="160">
        <v>192.19984615384615</v>
      </c>
      <c r="P119" s="162">
        <f t="shared" si="24"/>
        <v>1643308.6846153846</v>
      </c>
      <c r="Q119" s="24" t="s">
        <v>272</v>
      </c>
    </row>
    <row r="120" spans="2:17" x14ac:dyDescent="0.2">
      <c r="B120" s="15">
        <v>110</v>
      </c>
      <c r="C120" s="23" t="s">
        <v>1147</v>
      </c>
      <c r="D120" s="106">
        <v>5500614</v>
      </c>
      <c r="E120" s="24" t="s">
        <v>1188</v>
      </c>
      <c r="F120" s="29" t="s">
        <v>425</v>
      </c>
      <c r="G120" s="100" t="s">
        <v>164</v>
      </c>
      <c r="H120" s="24" t="s">
        <v>1293</v>
      </c>
      <c r="I120" s="15">
        <v>1</v>
      </c>
      <c r="J120" s="24" t="s">
        <v>7</v>
      </c>
      <c r="K120" s="35">
        <v>8550</v>
      </c>
      <c r="L120" s="17">
        <f t="shared" si="22"/>
        <v>8550</v>
      </c>
      <c r="M120" s="160">
        <v>1.464</v>
      </c>
      <c r="N120" s="162">
        <f t="shared" si="23"/>
        <v>12517.199999999999</v>
      </c>
      <c r="O120" s="160">
        <v>192.19984615384615</v>
      </c>
      <c r="P120" s="162">
        <f t="shared" si="24"/>
        <v>1643308.6846153846</v>
      </c>
      <c r="Q120" s="24" t="s">
        <v>272</v>
      </c>
    </row>
    <row r="121" spans="2:17" x14ac:dyDescent="0.2">
      <c r="B121" s="15">
        <v>111</v>
      </c>
      <c r="C121" s="23" t="s">
        <v>1147</v>
      </c>
      <c r="D121" s="106">
        <v>5500614</v>
      </c>
      <c r="E121" s="24" t="s">
        <v>1188</v>
      </c>
      <c r="F121" s="29" t="s">
        <v>425</v>
      </c>
      <c r="G121" s="100" t="s">
        <v>164</v>
      </c>
      <c r="H121" s="24" t="s">
        <v>1294</v>
      </c>
      <c r="I121" s="15">
        <v>1</v>
      </c>
      <c r="J121" s="24" t="s">
        <v>7</v>
      </c>
      <c r="K121" s="35">
        <v>8550</v>
      </c>
      <c r="L121" s="17">
        <f t="shared" si="22"/>
        <v>8550</v>
      </c>
      <c r="M121" s="160">
        <v>1.464</v>
      </c>
      <c r="N121" s="162">
        <f t="shared" si="23"/>
        <v>12517.199999999999</v>
      </c>
      <c r="O121" s="160">
        <v>192.19984615384615</v>
      </c>
      <c r="P121" s="162">
        <f t="shared" si="24"/>
        <v>1643308.6846153846</v>
      </c>
      <c r="Q121" s="24" t="s">
        <v>272</v>
      </c>
    </row>
    <row r="122" spans="2:17" x14ac:dyDescent="0.2">
      <c r="B122" s="15">
        <v>112</v>
      </c>
      <c r="C122" s="23" t="s">
        <v>1147</v>
      </c>
      <c r="D122" s="106">
        <v>5500614</v>
      </c>
      <c r="E122" s="24" t="s">
        <v>1188</v>
      </c>
      <c r="F122" s="29" t="s">
        <v>425</v>
      </c>
      <c r="G122" s="100" t="s">
        <v>164</v>
      </c>
      <c r="H122" s="24" t="s">
        <v>1319</v>
      </c>
      <c r="I122" s="15">
        <v>1</v>
      </c>
      <c r="J122" s="24" t="s">
        <v>7</v>
      </c>
      <c r="K122" s="35">
        <v>8525</v>
      </c>
      <c r="L122" s="17">
        <f t="shared" si="22"/>
        <v>8525</v>
      </c>
      <c r="M122" s="160">
        <v>1.464</v>
      </c>
      <c r="N122" s="162">
        <f t="shared" si="23"/>
        <v>12480.6</v>
      </c>
      <c r="O122" s="160">
        <v>192.19984615384615</v>
      </c>
      <c r="P122" s="162">
        <f t="shared" si="24"/>
        <v>1638503.6884615384</v>
      </c>
      <c r="Q122" s="24" t="s">
        <v>272</v>
      </c>
    </row>
    <row r="123" spans="2:17" x14ac:dyDescent="0.2">
      <c r="B123" s="15">
        <v>113</v>
      </c>
      <c r="C123" s="23" t="s">
        <v>1147</v>
      </c>
      <c r="D123" s="106">
        <v>5500614</v>
      </c>
      <c r="E123" s="24" t="s">
        <v>1188</v>
      </c>
      <c r="F123" s="29" t="s">
        <v>425</v>
      </c>
      <c r="G123" s="100" t="s">
        <v>164</v>
      </c>
      <c r="H123" s="24" t="s">
        <v>1320</v>
      </c>
      <c r="I123" s="15">
        <v>1</v>
      </c>
      <c r="J123" s="24" t="s">
        <v>7</v>
      </c>
      <c r="K123" s="35">
        <v>8550</v>
      </c>
      <c r="L123" s="17">
        <f t="shared" si="22"/>
        <v>8550</v>
      </c>
      <c r="M123" s="160">
        <v>1.464</v>
      </c>
      <c r="N123" s="162">
        <f t="shared" si="23"/>
        <v>12517.199999999999</v>
      </c>
      <c r="O123" s="160">
        <v>192.19984615384615</v>
      </c>
      <c r="P123" s="162">
        <f t="shared" si="24"/>
        <v>1643308.6846153846</v>
      </c>
      <c r="Q123" s="24" t="s">
        <v>272</v>
      </c>
    </row>
    <row r="124" spans="2:17" x14ac:dyDescent="0.2">
      <c r="B124" s="15">
        <v>114</v>
      </c>
      <c r="C124" s="23" t="s">
        <v>1147</v>
      </c>
      <c r="D124" s="106">
        <v>5500614</v>
      </c>
      <c r="E124" s="24" t="s">
        <v>1188</v>
      </c>
      <c r="F124" s="29" t="s">
        <v>425</v>
      </c>
      <c r="G124" s="100" t="s">
        <v>164</v>
      </c>
      <c r="H124" s="24" t="s">
        <v>1321</v>
      </c>
      <c r="I124" s="15">
        <v>1</v>
      </c>
      <c r="J124" s="24" t="s">
        <v>7</v>
      </c>
      <c r="K124" s="35">
        <v>8550</v>
      </c>
      <c r="L124" s="17">
        <f t="shared" si="22"/>
        <v>8550</v>
      </c>
      <c r="M124" s="160">
        <v>1.464</v>
      </c>
      <c r="N124" s="162">
        <f t="shared" si="23"/>
        <v>12517.199999999999</v>
      </c>
      <c r="O124" s="160">
        <v>192.19984615384615</v>
      </c>
      <c r="P124" s="162">
        <f t="shared" si="24"/>
        <v>1643308.6846153846</v>
      </c>
      <c r="Q124" s="24" t="s">
        <v>272</v>
      </c>
    </row>
    <row r="125" spans="2:17" x14ac:dyDescent="0.2">
      <c r="B125" s="15">
        <v>115</v>
      </c>
      <c r="C125" s="23" t="s">
        <v>1147</v>
      </c>
      <c r="D125" s="106">
        <v>5500614</v>
      </c>
      <c r="E125" s="24" t="s">
        <v>1188</v>
      </c>
      <c r="F125" s="29" t="s">
        <v>425</v>
      </c>
      <c r="G125" s="100" t="s">
        <v>164</v>
      </c>
      <c r="H125" s="24" t="s">
        <v>1322</v>
      </c>
      <c r="I125" s="15">
        <v>1</v>
      </c>
      <c r="J125" s="24" t="s">
        <v>7</v>
      </c>
      <c r="K125" s="35">
        <v>8550</v>
      </c>
      <c r="L125" s="17">
        <f t="shared" si="22"/>
        <v>8550</v>
      </c>
      <c r="M125" s="160">
        <v>1.464</v>
      </c>
      <c r="N125" s="162">
        <f t="shared" si="23"/>
        <v>12517.199999999999</v>
      </c>
      <c r="O125" s="160">
        <v>192.19984615384615</v>
      </c>
      <c r="P125" s="162">
        <f t="shared" si="24"/>
        <v>1643308.6846153846</v>
      </c>
      <c r="Q125" s="24" t="s">
        <v>272</v>
      </c>
    </row>
    <row r="126" spans="2:17" x14ac:dyDescent="0.2">
      <c r="B126" s="15">
        <v>116</v>
      </c>
      <c r="C126" s="23" t="s">
        <v>1147</v>
      </c>
      <c r="D126" s="106">
        <v>5500614</v>
      </c>
      <c r="E126" s="24" t="s">
        <v>1188</v>
      </c>
      <c r="F126" s="29" t="s">
        <v>425</v>
      </c>
      <c r="G126" s="100" t="s">
        <v>164</v>
      </c>
      <c r="H126" s="24" t="s">
        <v>1323</v>
      </c>
      <c r="I126" s="15">
        <v>1</v>
      </c>
      <c r="J126" s="24" t="s">
        <v>7</v>
      </c>
      <c r="K126" s="35">
        <v>8550</v>
      </c>
      <c r="L126" s="17">
        <f t="shared" si="22"/>
        <v>8550</v>
      </c>
      <c r="M126" s="160">
        <v>1.464</v>
      </c>
      <c r="N126" s="162">
        <f t="shared" si="23"/>
        <v>12517.199999999999</v>
      </c>
      <c r="O126" s="160">
        <v>192.19984615384615</v>
      </c>
      <c r="P126" s="162">
        <f t="shared" si="24"/>
        <v>1643308.6846153846</v>
      </c>
      <c r="Q126" s="24" t="s">
        <v>272</v>
      </c>
    </row>
    <row r="127" spans="2:17" x14ac:dyDescent="0.2">
      <c r="B127" s="15">
        <v>117</v>
      </c>
      <c r="C127" s="23" t="s">
        <v>1147</v>
      </c>
      <c r="D127" s="106">
        <v>5500040</v>
      </c>
      <c r="E127" s="24" t="s">
        <v>48</v>
      </c>
      <c r="F127" s="29" t="s">
        <v>425</v>
      </c>
      <c r="G127" s="100" t="s">
        <v>164</v>
      </c>
      <c r="H127" s="24" t="s">
        <v>1337</v>
      </c>
      <c r="I127" s="15">
        <v>1</v>
      </c>
      <c r="J127" s="24" t="s">
        <v>7</v>
      </c>
      <c r="K127" s="35">
        <v>21360</v>
      </c>
      <c r="L127" s="17">
        <f t="shared" si="22"/>
        <v>21360</v>
      </c>
      <c r="M127" s="160">
        <v>1.512</v>
      </c>
      <c r="N127" s="162">
        <f t="shared" si="23"/>
        <v>32296.32</v>
      </c>
      <c r="O127" s="160">
        <v>75.359683042789229</v>
      </c>
      <c r="P127" s="162">
        <f t="shared" si="24"/>
        <v>1609682.829793978</v>
      </c>
      <c r="Q127" s="24" t="s">
        <v>272</v>
      </c>
    </row>
    <row r="128" spans="2:17" x14ac:dyDescent="0.2">
      <c r="B128" s="15">
        <v>118</v>
      </c>
      <c r="C128" s="23" t="s">
        <v>1147</v>
      </c>
      <c r="D128" s="106">
        <v>5500040</v>
      </c>
      <c r="E128" s="24" t="s">
        <v>48</v>
      </c>
      <c r="F128" s="29" t="s">
        <v>425</v>
      </c>
      <c r="G128" s="100" t="s">
        <v>164</v>
      </c>
      <c r="H128" s="24" t="s">
        <v>1338</v>
      </c>
      <c r="I128" s="15">
        <v>1</v>
      </c>
      <c r="J128" s="24" t="s">
        <v>7</v>
      </c>
      <c r="K128" s="35">
        <v>21360</v>
      </c>
      <c r="L128" s="17">
        <f t="shared" si="22"/>
        <v>21360</v>
      </c>
      <c r="M128" s="160">
        <v>1.512</v>
      </c>
      <c r="N128" s="162">
        <f t="shared" si="23"/>
        <v>32296.32</v>
      </c>
      <c r="O128" s="160">
        <v>75.359683042789229</v>
      </c>
      <c r="P128" s="162">
        <f t="shared" si="24"/>
        <v>1609682.829793978</v>
      </c>
      <c r="Q128" s="24" t="s">
        <v>272</v>
      </c>
    </row>
    <row r="129" spans="2:17" x14ac:dyDescent="0.2">
      <c r="B129" s="15">
        <v>119</v>
      </c>
      <c r="C129" s="23" t="s">
        <v>1147</v>
      </c>
      <c r="D129" s="106">
        <v>5500040</v>
      </c>
      <c r="E129" s="24" t="s">
        <v>48</v>
      </c>
      <c r="F129" s="29" t="s">
        <v>425</v>
      </c>
      <c r="G129" s="100" t="s">
        <v>164</v>
      </c>
      <c r="H129" s="24" t="s">
        <v>1339</v>
      </c>
      <c r="I129" s="15">
        <v>1</v>
      </c>
      <c r="J129" s="24" t="s">
        <v>7</v>
      </c>
      <c r="K129" s="35">
        <v>21360</v>
      </c>
      <c r="L129" s="17">
        <f t="shared" si="22"/>
        <v>21360</v>
      </c>
      <c r="M129" s="160">
        <v>1.512</v>
      </c>
      <c r="N129" s="162">
        <f t="shared" si="23"/>
        <v>32296.32</v>
      </c>
      <c r="O129" s="160">
        <v>75.359683042789229</v>
      </c>
      <c r="P129" s="162">
        <f t="shared" si="24"/>
        <v>1609682.829793978</v>
      </c>
      <c r="Q129" s="24" t="s">
        <v>272</v>
      </c>
    </row>
    <row r="130" spans="2:17" x14ac:dyDescent="0.2">
      <c r="B130" s="15">
        <v>120</v>
      </c>
      <c r="C130" s="23" t="s">
        <v>1147</v>
      </c>
      <c r="D130" s="106">
        <v>5500040</v>
      </c>
      <c r="E130" s="24" t="s">
        <v>48</v>
      </c>
      <c r="F130" s="29" t="s">
        <v>425</v>
      </c>
      <c r="G130" s="100" t="s">
        <v>164</v>
      </c>
      <c r="H130" s="24" t="s">
        <v>1361</v>
      </c>
      <c r="I130" s="15">
        <v>1</v>
      </c>
      <c r="J130" s="24" t="s">
        <v>7</v>
      </c>
      <c r="K130" s="35">
        <v>21300</v>
      </c>
      <c r="L130" s="17">
        <f t="shared" si="22"/>
        <v>21300</v>
      </c>
      <c r="M130" s="160">
        <v>1.512</v>
      </c>
      <c r="N130" s="162">
        <f t="shared" si="23"/>
        <v>32205.599999999999</v>
      </c>
      <c r="O130" s="160">
        <v>75.359683042789229</v>
      </c>
      <c r="P130" s="162">
        <f t="shared" si="24"/>
        <v>1605161.2488114105</v>
      </c>
      <c r="Q130" s="24" t="s">
        <v>272</v>
      </c>
    </row>
    <row r="131" spans="2:17" x14ac:dyDescent="0.2">
      <c r="B131" s="15">
        <v>121</v>
      </c>
      <c r="C131" s="23" t="s">
        <v>1147</v>
      </c>
      <c r="D131" s="106">
        <v>5500040</v>
      </c>
      <c r="E131" s="24" t="s">
        <v>48</v>
      </c>
      <c r="F131" s="29" t="s">
        <v>425</v>
      </c>
      <c r="G131" s="100" t="s">
        <v>164</v>
      </c>
      <c r="H131" s="24" t="s">
        <v>1362</v>
      </c>
      <c r="I131" s="15">
        <v>1</v>
      </c>
      <c r="J131" s="24" t="s">
        <v>7</v>
      </c>
      <c r="K131" s="35">
        <v>21360</v>
      </c>
      <c r="L131" s="17">
        <f t="shared" si="22"/>
        <v>21360</v>
      </c>
      <c r="M131" s="160">
        <v>1.512</v>
      </c>
      <c r="N131" s="162">
        <f t="shared" si="23"/>
        <v>32296.32</v>
      </c>
      <c r="O131" s="160">
        <v>75.359683042789229</v>
      </c>
      <c r="P131" s="162">
        <f t="shared" si="24"/>
        <v>1609682.829793978</v>
      </c>
      <c r="Q131" s="24" t="s">
        <v>272</v>
      </c>
    </row>
    <row r="132" spans="2:17" x14ac:dyDescent="0.2">
      <c r="B132" s="89"/>
      <c r="C132" s="69"/>
      <c r="D132" s="108"/>
      <c r="E132" s="26"/>
      <c r="F132" s="77"/>
      <c r="G132" s="102"/>
      <c r="H132" s="26"/>
      <c r="I132" s="89"/>
      <c r="J132" s="26"/>
      <c r="K132" s="71">
        <f>SUM(K108:K131)</f>
        <v>304115</v>
      </c>
      <c r="L132" s="71">
        <f>SUM(L108:L131)</f>
        <v>304115</v>
      </c>
      <c r="M132" s="150"/>
      <c r="N132" s="153">
        <f t="shared" ref="N132:P132" si="25">SUM(N108:N131)</f>
        <v>455719.08000000007</v>
      </c>
      <c r="O132" s="150"/>
      <c r="P132" s="153">
        <f t="shared" si="25"/>
        <v>32904922.950475439</v>
      </c>
      <c r="Q132" s="26"/>
    </row>
    <row r="133" spans="2:17" x14ac:dyDescent="0.2">
      <c r="B133" s="15">
        <v>122</v>
      </c>
      <c r="C133" s="23" t="s">
        <v>1154</v>
      </c>
      <c r="D133" s="106">
        <v>5000746</v>
      </c>
      <c r="E133" s="24" t="s">
        <v>21</v>
      </c>
      <c r="F133" s="29" t="s">
        <v>424</v>
      </c>
      <c r="G133" s="100" t="s">
        <v>156</v>
      </c>
      <c r="H133" s="24" t="s">
        <v>1248</v>
      </c>
      <c r="I133" s="15">
        <v>1</v>
      </c>
      <c r="J133" s="24" t="s">
        <v>9</v>
      </c>
      <c r="K133" s="35">
        <v>2940</v>
      </c>
      <c r="L133" s="17">
        <f t="shared" ref="L133:L142" si="26">K133*I133</f>
        <v>2940</v>
      </c>
      <c r="M133" s="160">
        <v>2.61</v>
      </c>
      <c r="N133" s="162">
        <f t="shared" ref="N133:N142" si="27">+K133*M133</f>
        <v>7673.4</v>
      </c>
      <c r="O133" s="160">
        <v>104.3</v>
      </c>
      <c r="P133" s="162">
        <f t="shared" ref="P133:P142" si="28">+K133*O133</f>
        <v>306642</v>
      </c>
      <c r="Q133" s="24" t="s">
        <v>283</v>
      </c>
    </row>
    <row r="134" spans="2:17" x14ac:dyDescent="0.2">
      <c r="B134" s="15">
        <v>123</v>
      </c>
      <c r="C134" s="23" t="s">
        <v>1154</v>
      </c>
      <c r="D134" s="106">
        <v>5000746</v>
      </c>
      <c r="E134" s="24" t="s">
        <v>21</v>
      </c>
      <c r="F134" s="29" t="s">
        <v>424</v>
      </c>
      <c r="G134" s="100" t="s">
        <v>156</v>
      </c>
      <c r="H134" s="24" t="s">
        <v>1249</v>
      </c>
      <c r="I134" s="15">
        <v>1</v>
      </c>
      <c r="J134" s="24" t="s">
        <v>9</v>
      </c>
      <c r="K134" s="35">
        <v>2940</v>
      </c>
      <c r="L134" s="17">
        <f t="shared" si="26"/>
        <v>2940</v>
      </c>
      <c r="M134" s="160">
        <v>2.61</v>
      </c>
      <c r="N134" s="162">
        <f t="shared" si="27"/>
        <v>7673.4</v>
      </c>
      <c r="O134" s="160">
        <v>104.3</v>
      </c>
      <c r="P134" s="162">
        <f t="shared" si="28"/>
        <v>306642</v>
      </c>
      <c r="Q134" s="24" t="s">
        <v>283</v>
      </c>
    </row>
    <row r="135" spans="2:17" x14ac:dyDescent="0.2">
      <c r="B135" s="15">
        <v>124</v>
      </c>
      <c r="C135" s="23" t="s">
        <v>1154</v>
      </c>
      <c r="D135" s="106">
        <v>5000746</v>
      </c>
      <c r="E135" s="24" t="s">
        <v>21</v>
      </c>
      <c r="F135" s="29" t="s">
        <v>424</v>
      </c>
      <c r="G135" s="100" t="s">
        <v>156</v>
      </c>
      <c r="H135" s="24" t="s">
        <v>1250</v>
      </c>
      <c r="I135" s="15">
        <v>1</v>
      </c>
      <c r="J135" s="24" t="s">
        <v>9</v>
      </c>
      <c r="K135" s="35">
        <v>2940</v>
      </c>
      <c r="L135" s="17">
        <f t="shared" si="26"/>
        <v>2940</v>
      </c>
      <c r="M135" s="160">
        <v>2.61</v>
      </c>
      <c r="N135" s="162">
        <f t="shared" si="27"/>
        <v>7673.4</v>
      </c>
      <c r="O135" s="160">
        <v>104.3</v>
      </c>
      <c r="P135" s="162">
        <f t="shared" si="28"/>
        <v>306642</v>
      </c>
      <c r="Q135" s="24" t="s">
        <v>283</v>
      </c>
    </row>
    <row r="136" spans="2:17" x14ac:dyDescent="0.2">
      <c r="B136" s="15">
        <v>125</v>
      </c>
      <c r="C136" s="23" t="s">
        <v>1154</v>
      </c>
      <c r="D136" s="106">
        <v>5000746</v>
      </c>
      <c r="E136" s="24" t="s">
        <v>21</v>
      </c>
      <c r="F136" s="29" t="s">
        <v>424</v>
      </c>
      <c r="G136" s="100" t="s">
        <v>156</v>
      </c>
      <c r="H136" s="24" t="s">
        <v>1251</v>
      </c>
      <c r="I136" s="15">
        <v>1</v>
      </c>
      <c r="J136" s="24" t="s">
        <v>9</v>
      </c>
      <c r="K136" s="35">
        <v>2940</v>
      </c>
      <c r="L136" s="17">
        <f t="shared" si="26"/>
        <v>2940</v>
      </c>
      <c r="M136" s="160">
        <v>2.61</v>
      </c>
      <c r="N136" s="162">
        <f t="shared" si="27"/>
        <v>7673.4</v>
      </c>
      <c r="O136" s="160">
        <v>104.3</v>
      </c>
      <c r="P136" s="162">
        <f t="shared" si="28"/>
        <v>306642</v>
      </c>
      <c r="Q136" s="24" t="s">
        <v>283</v>
      </c>
    </row>
    <row r="137" spans="2:17" x14ac:dyDescent="0.2">
      <c r="B137" s="15">
        <v>126</v>
      </c>
      <c r="C137" s="23" t="s">
        <v>1154</v>
      </c>
      <c r="D137" s="106">
        <v>5000746</v>
      </c>
      <c r="E137" s="24" t="s">
        <v>21</v>
      </c>
      <c r="F137" s="29" t="s">
        <v>424</v>
      </c>
      <c r="G137" s="100" t="s">
        <v>156</v>
      </c>
      <c r="H137" s="24" t="s">
        <v>1252</v>
      </c>
      <c r="I137" s="15">
        <v>1</v>
      </c>
      <c r="J137" s="24" t="s">
        <v>9</v>
      </c>
      <c r="K137" s="35">
        <v>2940</v>
      </c>
      <c r="L137" s="17">
        <f t="shared" si="26"/>
        <v>2940</v>
      </c>
      <c r="M137" s="160">
        <v>2.61</v>
      </c>
      <c r="N137" s="162">
        <f t="shared" si="27"/>
        <v>7673.4</v>
      </c>
      <c r="O137" s="160">
        <v>104.3</v>
      </c>
      <c r="P137" s="162">
        <f t="shared" si="28"/>
        <v>306642</v>
      </c>
      <c r="Q137" s="24" t="s">
        <v>283</v>
      </c>
    </row>
    <row r="138" spans="2:17" x14ac:dyDescent="0.2">
      <c r="B138" s="15">
        <v>127</v>
      </c>
      <c r="C138" s="23" t="s">
        <v>1158</v>
      </c>
      <c r="D138" s="106">
        <v>5000753</v>
      </c>
      <c r="E138" s="24" t="s">
        <v>292</v>
      </c>
      <c r="F138" s="29" t="s">
        <v>424</v>
      </c>
      <c r="G138" s="100" t="s">
        <v>156</v>
      </c>
      <c r="H138" s="24" t="s">
        <v>1260</v>
      </c>
      <c r="I138" s="15">
        <v>1</v>
      </c>
      <c r="J138" s="24" t="s">
        <v>9</v>
      </c>
      <c r="K138" s="35">
        <v>25860</v>
      </c>
      <c r="L138" s="17">
        <f t="shared" si="26"/>
        <v>25860</v>
      </c>
      <c r="M138" s="160">
        <v>1.8129999999999999</v>
      </c>
      <c r="N138" s="162">
        <f t="shared" si="27"/>
        <v>46884.18</v>
      </c>
      <c r="O138" s="160">
        <v>81.853200000000001</v>
      </c>
      <c r="P138" s="162">
        <f t="shared" si="28"/>
        <v>2116723.7519999999</v>
      </c>
      <c r="Q138" s="24" t="s">
        <v>348</v>
      </c>
    </row>
    <row r="139" spans="2:17" x14ac:dyDescent="0.2">
      <c r="B139" s="15">
        <v>128</v>
      </c>
      <c r="C139" s="23" t="s">
        <v>1158</v>
      </c>
      <c r="D139" s="106">
        <v>5000753</v>
      </c>
      <c r="E139" s="24" t="s">
        <v>292</v>
      </c>
      <c r="F139" s="29" t="s">
        <v>424</v>
      </c>
      <c r="G139" s="100" t="s">
        <v>156</v>
      </c>
      <c r="H139" s="24" t="s">
        <v>1261</v>
      </c>
      <c r="I139" s="15">
        <v>1</v>
      </c>
      <c r="J139" s="24" t="s">
        <v>9</v>
      </c>
      <c r="K139" s="35">
        <v>25870</v>
      </c>
      <c r="L139" s="17">
        <f t="shared" si="26"/>
        <v>25870</v>
      </c>
      <c r="M139" s="160">
        <v>1.8129999999999999</v>
      </c>
      <c r="N139" s="162">
        <f t="shared" si="27"/>
        <v>46902.31</v>
      </c>
      <c r="O139" s="160">
        <v>81.853200000000001</v>
      </c>
      <c r="P139" s="162">
        <f t="shared" si="28"/>
        <v>2117542.284</v>
      </c>
      <c r="Q139" s="24" t="s">
        <v>348</v>
      </c>
    </row>
    <row r="140" spans="2:17" x14ac:dyDescent="0.2">
      <c r="B140" s="15">
        <v>129</v>
      </c>
      <c r="C140" s="23" t="s">
        <v>1158</v>
      </c>
      <c r="D140" s="106">
        <v>5000753</v>
      </c>
      <c r="E140" s="24" t="s">
        <v>292</v>
      </c>
      <c r="F140" s="29" t="s">
        <v>424</v>
      </c>
      <c r="G140" s="100" t="s">
        <v>156</v>
      </c>
      <c r="H140" s="24" t="s">
        <v>1300</v>
      </c>
      <c r="I140" s="15">
        <v>1</v>
      </c>
      <c r="J140" s="24" t="s">
        <v>9</v>
      </c>
      <c r="K140" s="35">
        <v>25860</v>
      </c>
      <c r="L140" s="17">
        <f t="shared" si="26"/>
        <v>25860</v>
      </c>
      <c r="M140" s="160">
        <v>1.8129999999999999</v>
      </c>
      <c r="N140" s="162">
        <f t="shared" si="27"/>
        <v>46884.18</v>
      </c>
      <c r="O140" s="160">
        <v>81.853200000000001</v>
      </c>
      <c r="P140" s="162">
        <f t="shared" si="28"/>
        <v>2116723.7519999999</v>
      </c>
      <c r="Q140" s="24" t="s">
        <v>348</v>
      </c>
    </row>
    <row r="141" spans="2:17" x14ac:dyDescent="0.2">
      <c r="B141" s="15">
        <v>130</v>
      </c>
      <c r="C141" s="23" t="s">
        <v>1158</v>
      </c>
      <c r="D141" s="106">
        <v>5000753</v>
      </c>
      <c r="E141" s="24" t="s">
        <v>292</v>
      </c>
      <c r="F141" s="29" t="s">
        <v>424</v>
      </c>
      <c r="G141" s="100" t="s">
        <v>156</v>
      </c>
      <c r="H141" s="24" t="s">
        <v>1310</v>
      </c>
      <c r="I141" s="15">
        <v>1</v>
      </c>
      <c r="J141" s="24" t="s">
        <v>9</v>
      </c>
      <c r="K141" s="35">
        <v>25860</v>
      </c>
      <c r="L141" s="17">
        <f t="shared" si="26"/>
        <v>25860</v>
      </c>
      <c r="M141" s="160">
        <v>1.8129999999999999</v>
      </c>
      <c r="N141" s="162">
        <f t="shared" si="27"/>
        <v>46884.18</v>
      </c>
      <c r="O141" s="160">
        <v>81.853200000000001</v>
      </c>
      <c r="P141" s="162">
        <f t="shared" si="28"/>
        <v>2116723.7519999999</v>
      </c>
      <c r="Q141" s="24" t="s">
        <v>348</v>
      </c>
    </row>
    <row r="142" spans="2:17" x14ac:dyDescent="0.2">
      <c r="B142" s="15">
        <v>131</v>
      </c>
      <c r="C142" s="23" t="s">
        <v>1158</v>
      </c>
      <c r="D142" s="106">
        <v>5000753</v>
      </c>
      <c r="E142" s="24" t="s">
        <v>292</v>
      </c>
      <c r="F142" s="29" t="s">
        <v>424</v>
      </c>
      <c r="G142" s="100" t="s">
        <v>156</v>
      </c>
      <c r="H142" s="24" t="s">
        <v>1311</v>
      </c>
      <c r="I142" s="15">
        <v>1</v>
      </c>
      <c r="J142" s="24" t="s">
        <v>9</v>
      </c>
      <c r="K142" s="35">
        <v>25860</v>
      </c>
      <c r="L142" s="17">
        <f t="shared" si="26"/>
        <v>25860</v>
      </c>
      <c r="M142" s="160">
        <v>1.8129999999999999</v>
      </c>
      <c r="N142" s="162">
        <f t="shared" si="27"/>
        <v>46884.18</v>
      </c>
      <c r="O142" s="160">
        <v>81.853200000000001</v>
      </c>
      <c r="P142" s="162">
        <f t="shared" si="28"/>
        <v>2116723.7519999999</v>
      </c>
      <c r="Q142" s="24" t="s">
        <v>348</v>
      </c>
    </row>
    <row r="143" spans="2:17" x14ac:dyDescent="0.2">
      <c r="B143" s="89"/>
      <c r="C143" s="69"/>
      <c r="D143" s="108"/>
      <c r="E143" s="26"/>
      <c r="F143" s="77"/>
      <c r="G143" s="102"/>
      <c r="H143" s="26"/>
      <c r="I143" s="89"/>
      <c r="J143" s="26"/>
      <c r="K143" s="71">
        <f>SUM(K133:K142)</f>
        <v>144010</v>
      </c>
      <c r="L143" s="71">
        <f>SUM(L133:L142)</f>
        <v>144010</v>
      </c>
      <c r="M143" s="150"/>
      <c r="N143" s="153">
        <f t="shared" ref="N143:P143" si="29">SUM(N133:N142)</f>
        <v>272806.02999999997</v>
      </c>
      <c r="O143" s="150"/>
      <c r="P143" s="153">
        <f t="shared" si="29"/>
        <v>12117647.292000001</v>
      </c>
      <c r="Q143" s="26"/>
    </row>
    <row r="144" spans="2:17" x14ac:dyDescent="0.2">
      <c r="B144" s="15">
        <v>132</v>
      </c>
      <c r="C144" s="23" t="s">
        <v>1153</v>
      </c>
      <c r="D144" s="106">
        <v>5000665</v>
      </c>
      <c r="E144" s="24" t="s">
        <v>17</v>
      </c>
      <c r="F144" s="29" t="s">
        <v>424</v>
      </c>
      <c r="G144" s="100" t="s">
        <v>157</v>
      </c>
      <c r="H144" s="24" t="s">
        <v>1246</v>
      </c>
      <c r="I144" s="15">
        <v>1</v>
      </c>
      <c r="J144" s="24" t="s">
        <v>7</v>
      </c>
      <c r="K144" s="35">
        <v>26040</v>
      </c>
      <c r="L144" s="17">
        <f t="shared" ref="L144:L169" si="30">K144*I144</f>
        <v>26040</v>
      </c>
      <c r="M144" s="160">
        <v>1.82</v>
      </c>
      <c r="N144" s="162">
        <f t="shared" ref="N144:N169" si="31">+K144*M144</f>
        <v>47392.800000000003</v>
      </c>
      <c r="O144" s="160">
        <v>56.772970873786399</v>
      </c>
      <c r="P144" s="162">
        <f t="shared" ref="P144:P169" si="32">+K144*O144</f>
        <v>1478368.1615533978</v>
      </c>
      <c r="Q144" s="24" t="s">
        <v>345</v>
      </c>
    </row>
    <row r="145" spans="2:17" x14ac:dyDescent="0.2">
      <c r="B145" s="15">
        <v>133</v>
      </c>
      <c r="C145" s="23" t="s">
        <v>1153</v>
      </c>
      <c r="D145" s="106">
        <v>5000665</v>
      </c>
      <c r="E145" s="24" t="s">
        <v>17</v>
      </c>
      <c r="F145" s="29" t="s">
        <v>424</v>
      </c>
      <c r="G145" s="100" t="s">
        <v>157</v>
      </c>
      <c r="H145" s="24" t="s">
        <v>1246</v>
      </c>
      <c r="I145" s="15">
        <v>1</v>
      </c>
      <c r="J145" s="24" t="s">
        <v>7</v>
      </c>
      <c r="K145" s="35">
        <v>13020</v>
      </c>
      <c r="L145" s="17">
        <f t="shared" si="30"/>
        <v>13020</v>
      </c>
      <c r="M145" s="160">
        <v>1.82</v>
      </c>
      <c r="N145" s="162">
        <f t="shared" si="31"/>
        <v>23696.400000000001</v>
      </c>
      <c r="O145" s="160">
        <v>56.772970873786399</v>
      </c>
      <c r="P145" s="162">
        <f t="shared" si="32"/>
        <v>739184.08077669889</v>
      </c>
      <c r="Q145" s="24" t="s">
        <v>345</v>
      </c>
    </row>
    <row r="146" spans="2:17" x14ac:dyDescent="0.2">
      <c r="B146" s="15">
        <v>134</v>
      </c>
      <c r="C146" s="23" t="s">
        <v>1153</v>
      </c>
      <c r="D146" s="106">
        <v>5000665</v>
      </c>
      <c r="E146" s="24" t="s">
        <v>17</v>
      </c>
      <c r="F146" s="29" t="s">
        <v>424</v>
      </c>
      <c r="G146" s="100" t="s">
        <v>157</v>
      </c>
      <c r="H146" s="24" t="s">
        <v>1247</v>
      </c>
      <c r="I146" s="15">
        <v>1</v>
      </c>
      <c r="J146" s="24" t="s">
        <v>7</v>
      </c>
      <c r="K146" s="35">
        <v>13020</v>
      </c>
      <c r="L146" s="17">
        <f t="shared" si="30"/>
        <v>13020</v>
      </c>
      <c r="M146" s="160">
        <v>1.82</v>
      </c>
      <c r="N146" s="162">
        <f t="shared" si="31"/>
        <v>23696.400000000001</v>
      </c>
      <c r="O146" s="160">
        <v>56.772970873786399</v>
      </c>
      <c r="P146" s="162">
        <f t="shared" si="32"/>
        <v>739184.08077669889</v>
      </c>
      <c r="Q146" s="24" t="s">
        <v>345</v>
      </c>
    </row>
    <row r="147" spans="2:17" x14ac:dyDescent="0.2">
      <c r="B147" s="15">
        <v>135</v>
      </c>
      <c r="C147" s="23" t="s">
        <v>1153</v>
      </c>
      <c r="D147" s="106">
        <v>5000665</v>
      </c>
      <c r="E147" s="24" t="s">
        <v>17</v>
      </c>
      <c r="F147" s="29" t="s">
        <v>424</v>
      </c>
      <c r="G147" s="100" t="s">
        <v>157</v>
      </c>
      <c r="H147" s="24" t="s">
        <v>1247</v>
      </c>
      <c r="I147" s="15">
        <v>1</v>
      </c>
      <c r="J147" s="24" t="s">
        <v>7</v>
      </c>
      <c r="K147" s="35">
        <v>26040</v>
      </c>
      <c r="L147" s="17">
        <f t="shared" si="30"/>
        <v>26040</v>
      </c>
      <c r="M147" s="160">
        <v>1.82</v>
      </c>
      <c r="N147" s="162">
        <f t="shared" si="31"/>
        <v>47392.800000000003</v>
      </c>
      <c r="O147" s="160">
        <v>56.772970873786399</v>
      </c>
      <c r="P147" s="162">
        <f t="shared" si="32"/>
        <v>1478368.1615533978</v>
      </c>
      <c r="Q147" s="24" t="s">
        <v>345</v>
      </c>
    </row>
    <row r="148" spans="2:17" x14ac:dyDescent="0.2">
      <c r="B148" s="15">
        <v>136</v>
      </c>
      <c r="C148" s="23" t="s">
        <v>1153</v>
      </c>
      <c r="D148" s="106">
        <v>5000665</v>
      </c>
      <c r="E148" s="24" t="s">
        <v>17</v>
      </c>
      <c r="F148" s="29" t="s">
        <v>424</v>
      </c>
      <c r="G148" s="100" t="s">
        <v>157</v>
      </c>
      <c r="H148" s="24" t="s">
        <v>1259</v>
      </c>
      <c r="I148" s="15">
        <v>1</v>
      </c>
      <c r="J148" s="24" t="s">
        <v>7</v>
      </c>
      <c r="K148" s="35">
        <v>19500</v>
      </c>
      <c r="L148" s="17">
        <f t="shared" si="30"/>
        <v>19500</v>
      </c>
      <c r="M148" s="160">
        <v>1.82</v>
      </c>
      <c r="N148" s="162">
        <f t="shared" si="31"/>
        <v>35490</v>
      </c>
      <c r="O148" s="160">
        <v>56.772970873786399</v>
      </c>
      <c r="P148" s="162">
        <f t="shared" si="32"/>
        <v>1107072.9320388348</v>
      </c>
      <c r="Q148" s="24" t="s">
        <v>345</v>
      </c>
    </row>
    <row r="149" spans="2:17" x14ac:dyDescent="0.2">
      <c r="B149" s="15">
        <v>137</v>
      </c>
      <c r="C149" s="23" t="s">
        <v>1153</v>
      </c>
      <c r="D149" s="106">
        <v>5000665</v>
      </c>
      <c r="E149" s="24" t="s">
        <v>17</v>
      </c>
      <c r="F149" s="29" t="s">
        <v>424</v>
      </c>
      <c r="G149" s="100" t="s">
        <v>157</v>
      </c>
      <c r="H149" s="24" t="s">
        <v>1259</v>
      </c>
      <c r="I149" s="15">
        <v>1</v>
      </c>
      <c r="J149" s="24" t="s">
        <v>7</v>
      </c>
      <c r="K149" s="35">
        <v>19500</v>
      </c>
      <c r="L149" s="17">
        <f t="shared" si="30"/>
        <v>19500</v>
      </c>
      <c r="M149" s="160">
        <v>1.82</v>
      </c>
      <c r="N149" s="162">
        <f t="shared" si="31"/>
        <v>35490</v>
      </c>
      <c r="O149" s="160">
        <v>56.772970873786399</v>
      </c>
      <c r="P149" s="162">
        <f t="shared" si="32"/>
        <v>1107072.9320388348</v>
      </c>
      <c r="Q149" s="24" t="s">
        <v>345</v>
      </c>
    </row>
    <row r="150" spans="2:17" x14ac:dyDescent="0.2">
      <c r="B150" s="15">
        <v>138</v>
      </c>
      <c r="C150" s="23" t="s">
        <v>1153</v>
      </c>
      <c r="D150" s="106">
        <v>5000460</v>
      </c>
      <c r="E150" s="24" t="s">
        <v>10</v>
      </c>
      <c r="F150" s="29" t="s">
        <v>424</v>
      </c>
      <c r="G150" s="100" t="s">
        <v>157</v>
      </c>
      <c r="H150" s="24" t="s">
        <v>1309</v>
      </c>
      <c r="I150" s="15">
        <v>1</v>
      </c>
      <c r="J150" s="24" t="s">
        <v>7</v>
      </c>
      <c r="K150" s="35">
        <v>9744</v>
      </c>
      <c r="L150" s="17">
        <f t="shared" si="30"/>
        <v>9744</v>
      </c>
      <c r="M150" s="160">
        <v>2.06</v>
      </c>
      <c r="N150" s="162">
        <f t="shared" si="31"/>
        <v>20072.64</v>
      </c>
      <c r="O150" s="160">
        <v>99.505603164817103</v>
      </c>
      <c r="P150" s="162">
        <f t="shared" si="32"/>
        <v>969582.5972379779</v>
      </c>
      <c r="Q150" s="24" t="s">
        <v>345</v>
      </c>
    </row>
    <row r="151" spans="2:17" x14ac:dyDescent="0.2">
      <c r="B151" s="15">
        <v>139</v>
      </c>
      <c r="C151" s="23" t="s">
        <v>1153</v>
      </c>
      <c r="D151" s="106">
        <v>5000460</v>
      </c>
      <c r="E151" s="24" t="s">
        <v>10</v>
      </c>
      <c r="F151" s="29" t="s">
        <v>424</v>
      </c>
      <c r="G151" s="100" t="s">
        <v>157</v>
      </c>
      <c r="H151" s="24" t="s">
        <v>1309</v>
      </c>
      <c r="I151" s="15">
        <v>1</v>
      </c>
      <c r="J151" s="24" t="s">
        <v>7</v>
      </c>
      <c r="K151" s="35">
        <v>9744</v>
      </c>
      <c r="L151" s="17">
        <f t="shared" si="30"/>
        <v>9744</v>
      </c>
      <c r="M151" s="160">
        <v>2.06</v>
      </c>
      <c r="N151" s="162">
        <f t="shared" si="31"/>
        <v>20072.64</v>
      </c>
      <c r="O151" s="160">
        <v>99.505603164817103</v>
      </c>
      <c r="P151" s="162">
        <f t="shared" si="32"/>
        <v>969582.5972379779</v>
      </c>
      <c r="Q151" s="24" t="s">
        <v>345</v>
      </c>
    </row>
    <row r="152" spans="2:17" x14ac:dyDescent="0.2">
      <c r="B152" s="15">
        <v>140</v>
      </c>
      <c r="C152" s="23" t="s">
        <v>1153</v>
      </c>
      <c r="D152" s="106">
        <v>5000460</v>
      </c>
      <c r="E152" s="24" t="s">
        <v>10</v>
      </c>
      <c r="F152" s="29" t="s">
        <v>424</v>
      </c>
      <c r="G152" s="100" t="s">
        <v>157</v>
      </c>
      <c r="H152" s="24" t="s">
        <v>1324</v>
      </c>
      <c r="I152" s="15">
        <v>1</v>
      </c>
      <c r="J152" s="24" t="s">
        <v>7</v>
      </c>
      <c r="K152" s="35">
        <v>12288</v>
      </c>
      <c r="L152" s="17">
        <f t="shared" si="30"/>
        <v>12288</v>
      </c>
      <c r="M152" s="160">
        <v>2.06</v>
      </c>
      <c r="N152" s="162">
        <f t="shared" si="31"/>
        <v>25313.279999999999</v>
      </c>
      <c r="O152" s="160">
        <v>99.505603164817103</v>
      </c>
      <c r="P152" s="162">
        <f t="shared" si="32"/>
        <v>1222724.8516892726</v>
      </c>
      <c r="Q152" s="24" t="s">
        <v>345</v>
      </c>
    </row>
    <row r="153" spans="2:17" x14ac:dyDescent="0.2">
      <c r="B153" s="15">
        <v>141</v>
      </c>
      <c r="C153" s="23" t="s">
        <v>1153</v>
      </c>
      <c r="D153" s="106">
        <v>5000460</v>
      </c>
      <c r="E153" s="24" t="s">
        <v>10</v>
      </c>
      <c r="F153" s="29" t="s">
        <v>424</v>
      </c>
      <c r="G153" s="100" t="s">
        <v>157</v>
      </c>
      <c r="H153" s="24" t="s">
        <v>1324</v>
      </c>
      <c r="I153" s="15">
        <v>1</v>
      </c>
      <c r="J153" s="24" t="s">
        <v>7</v>
      </c>
      <c r="K153" s="35">
        <v>7200</v>
      </c>
      <c r="L153" s="17">
        <f t="shared" si="30"/>
        <v>7200</v>
      </c>
      <c r="M153" s="160">
        <v>2.06</v>
      </c>
      <c r="N153" s="162">
        <f t="shared" si="31"/>
        <v>14832</v>
      </c>
      <c r="O153" s="160">
        <v>99.505603164817103</v>
      </c>
      <c r="P153" s="162">
        <f t="shared" si="32"/>
        <v>716440.34278668312</v>
      </c>
      <c r="Q153" s="24" t="s">
        <v>345</v>
      </c>
    </row>
    <row r="154" spans="2:17" x14ac:dyDescent="0.2">
      <c r="B154" s="15">
        <v>142</v>
      </c>
      <c r="C154" s="23" t="s">
        <v>1153</v>
      </c>
      <c r="D154" s="106">
        <v>5000460</v>
      </c>
      <c r="E154" s="24" t="s">
        <v>10</v>
      </c>
      <c r="F154" s="29" t="s">
        <v>424</v>
      </c>
      <c r="G154" s="100" t="s">
        <v>157</v>
      </c>
      <c r="H154" s="24" t="s">
        <v>1328</v>
      </c>
      <c r="I154" s="15">
        <v>1</v>
      </c>
      <c r="J154" s="24" t="s">
        <v>7</v>
      </c>
      <c r="K154" s="35">
        <v>9744</v>
      </c>
      <c r="L154" s="17">
        <f t="shared" si="30"/>
        <v>9744</v>
      </c>
      <c r="M154" s="160">
        <v>2.06</v>
      </c>
      <c r="N154" s="162">
        <f t="shared" si="31"/>
        <v>20072.64</v>
      </c>
      <c r="O154" s="160">
        <v>99.505603164817103</v>
      </c>
      <c r="P154" s="162">
        <f t="shared" si="32"/>
        <v>969582.5972379779</v>
      </c>
      <c r="Q154" s="24" t="s">
        <v>345</v>
      </c>
    </row>
    <row r="155" spans="2:17" x14ac:dyDescent="0.2">
      <c r="B155" s="15">
        <v>143</v>
      </c>
      <c r="C155" s="23" t="s">
        <v>1153</v>
      </c>
      <c r="D155" s="106">
        <v>5000460</v>
      </c>
      <c r="E155" s="24" t="s">
        <v>10</v>
      </c>
      <c r="F155" s="29" t="s">
        <v>424</v>
      </c>
      <c r="G155" s="100" t="s">
        <v>157</v>
      </c>
      <c r="H155" s="24" t="s">
        <v>1328</v>
      </c>
      <c r="I155" s="15">
        <v>1</v>
      </c>
      <c r="J155" s="24" t="s">
        <v>7</v>
      </c>
      <c r="K155" s="35">
        <v>9744</v>
      </c>
      <c r="L155" s="17">
        <f t="shared" si="30"/>
        <v>9744</v>
      </c>
      <c r="M155" s="160">
        <v>2.06</v>
      </c>
      <c r="N155" s="162">
        <f t="shared" si="31"/>
        <v>20072.64</v>
      </c>
      <c r="O155" s="160">
        <v>99.505603164817103</v>
      </c>
      <c r="P155" s="162">
        <f t="shared" si="32"/>
        <v>969582.5972379779</v>
      </c>
      <c r="Q155" s="24" t="s">
        <v>345</v>
      </c>
    </row>
    <row r="156" spans="2:17" x14ac:dyDescent="0.2">
      <c r="B156" s="15">
        <v>144</v>
      </c>
      <c r="C156" s="23" t="s">
        <v>1153</v>
      </c>
      <c r="D156" s="106">
        <v>5000460</v>
      </c>
      <c r="E156" s="24" t="s">
        <v>10</v>
      </c>
      <c r="F156" s="29" t="s">
        <v>424</v>
      </c>
      <c r="G156" s="100" t="s">
        <v>157</v>
      </c>
      <c r="H156" s="24" t="s">
        <v>1329</v>
      </c>
      <c r="I156" s="15">
        <v>1</v>
      </c>
      <c r="J156" s="24" t="s">
        <v>7</v>
      </c>
      <c r="K156" s="35">
        <v>9744</v>
      </c>
      <c r="L156" s="17">
        <f t="shared" si="30"/>
        <v>9744</v>
      </c>
      <c r="M156" s="160">
        <v>2.06</v>
      </c>
      <c r="N156" s="162">
        <f t="shared" si="31"/>
        <v>20072.64</v>
      </c>
      <c r="O156" s="160">
        <v>99.505603164817103</v>
      </c>
      <c r="P156" s="162">
        <f t="shared" si="32"/>
        <v>969582.5972379779</v>
      </c>
      <c r="Q156" s="24" t="s">
        <v>345</v>
      </c>
    </row>
    <row r="157" spans="2:17" x14ac:dyDescent="0.2">
      <c r="B157" s="15">
        <v>145</v>
      </c>
      <c r="C157" s="23" t="s">
        <v>1153</v>
      </c>
      <c r="D157" s="106">
        <v>5000460</v>
      </c>
      <c r="E157" s="24" t="s">
        <v>10</v>
      </c>
      <c r="F157" s="29" t="s">
        <v>424</v>
      </c>
      <c r="G157" s="100" t="s">
        <v>157</v>
      </c>
      <c r="H157" s="24" t="s">
        <v>1329</v>
      </c>
      <c r="I157" s="15">
        <v>1</v>
      </c>
      <c r="J157" s="24" t="s">
        <v>7</v>
      </c>
      <c r="K157" s="35">
        <v>9744</v>
      </c>
      <c r="L157" s="17">
        <f t="shared" si="30"/>
        <v>9744</v>
      </c>
      <c r="M157" s="160">
        <v>2.06</v>
      </c>
      <c r="N157" s="162">
        <f t="shared" si="31"/>
        <v>20072.64</v>
      </c>
      <c r="O157" s="160">
        <v>99.505603164817103</v>
      </c>
      <c r="P157" s="162">
        <f t="shared" si="32"/>
        <v>969582.5972379779</v>
      </c>
      <c r="Q157" s="24" t="s">
        <v>345</v>
      </c>
    </row>
    <row r="158" spans="2:17" x14ac:dyDescent="0.2">
      <c r="B158" s="15">
        <v>146</v>
      </c>
      <c r="C158" s="23" t="s">
        <v>1153</v>
      </c>
      <c r="D158" s="106">
        <v>5000460</v>
      </c>
      <c r="E158" s="24" t="s">
        <v>10</v>
      </c>
      <c r="F158" s="29" t="s">
        <v>424</v>
      </c>
      <c r="G158" s="100" t="s">
        <v>157</v>
      </c>
      <c r="H158" s="24" t="s">
        <v>1333</v>
      </c>
      <c r="I158" s="15">
        <v>1</v>
      </c>
      <c r="J158" s="24" t="s">
        <v>7</v>
      </c>
      <c r="K158" s="35">
        <v>12216</v>
      </c>
      <c r="L158" s="17">
        <f t="shared" si="30"/>
        <v>12216</v>
      </c>
      <c r="M158" s="160">
        <v>2.06</v>
      </c>
      <c r="N158" s="162">
        <f t="shared" si="31"/>
        <v>25164.959999999999</v>
      </c>
      <c r="O158" s="160">
        <v>99.505603164817103</v>
      </c>
      <c r="P158" s="162">
        <f t="shared" si="32"/>
        <v>1215560.4482614058</v>
      </c>
      <c r="Q158" s="24" t="s">
        <v>345</v>
      </c>
    </row>
    <row r="159" spans="2:17" x14ac:dyDescent="0.2">
      <c r="B159" s="15">
        <v>147</v>
      </c>
      <c r="C159" s="23" t="s">
        <v>1153</v>
      </c>
      <c r="D159" s="106">
        <v>5000460</v>
      </c>
      <c r="E159" s="24" t="s">
        <v>10</v>
      </c>
      <c r="F159" s="29" t="s">
        <v>424</v>
      </c>
      <c r="G159" s="100" t="s">
        <v>157</v>
      </c>
      <c r="H159" s="24" t="s">
        <v>1333</v>
      </c>
      <c r="I159" s="15">
        <v>1</v>
      </c>
      <c r="J159" s="24" t="s">
        <v>7</v>
      </c>
      <c r="K159" s="35">
        <v>7200</v>
      </c>
      <c r="L159" s="17">
        <f t="shared" si="30"/>
        <v>7200</v>
      </c>
      <c r="M159" s="160">
        <v>2.06</v>
      </c>
      <c r="N159" s="162">
        <f t="shared" si="31"/>
        <v>14832</v>
      </c>
      <c r="O159" s="160">
        <v>99.505603164817103</v>
      </c>
      <c r="P159" s="162">
        <f t="shared" si="32"/>
        <v>716440.34278668312</v>
      </c>
      <c r="Q159" s="24" t="s">
        <v>345</v>
      </c>
    </row>
    <row r="160" spans="2:17" x14ac:dyDescent="0.2">
      <c r="B160" s="15">
        <v>148</v>
      </c>
      <c r="C160" s="23" t="s">
        <v>1153</v>
      </c>
      <c r="D160" s="106">
        <v>5000665</v>
      </c>
      <c r="E160" s="24" t="s">
        <v>17</v>
      </c>
      <c r="F160" s="29" t="s">
        <v>424</v>
      </c>
      <c r="G160" s="100" t="s">
        <v>157</v>
      </c>
      <c r="H160" s="24" t="s">
        <v>1364</v>
      </c>
      <c r="I160" s="15">
        <v>1</v>
      </c>
      <c r="J160" s="24" t="s">
        <v>7</v>
      </c>
      <c r="K160" s="35">
        <v>19560</v>
      </c>
      <c r="L160" s="17">
        <f t="shared" si="30"/>
        <v>19560</v>
      </c>
      <c r="M160" s="160">
        <v>1.82</v>
      </c>
      <c r="N160" s="162">
        <f t="shared" si="31"/>
        <v>35599.200000000004</v>
      </c>
      <c r="O160" s="160">
        <v>56.772970873786399</v>
      </c>
      <c r="P160" s="162">
        <f t="shared" si="32"/>
        <v>1110479.3102912619</v>
      </c>
      <c r="Q160" s="24" t="s">
        <v>345</v>
      </c>
    </row>
    <row r="161" spans="2:17" x14ac:dyDescent="0.2">
      <c r="B161" s="15">
        <v>149</v>
      </c>
      <c r="C161" s="23" t="s">
        <v>1153</v>
      </c>
      <c r="D161" s="106">
        <v>5000665</v>
      </c>
      <c r="E161" s="24" t="s">
        <v>17</v>
      </c>
      <c r="F161" s="29" t="s">
        <v>424</v>
      </c>
      <c r="G161" s="100" t="s">
        <v>157</v>
      </c>
      <c r="H161" s="24" t="s">
        <v>1364</v>
      </c>
      <c r="I161" s="15">
        <v>1</v>
      </c>
      <c r="J161" s="24" t="s">
        <v>7</v>
      </c>
      <c r="K161" s="35">
        <v>19500</v>
      </c>
      <c r="L161" s="17">
        <f t="shared" si="30"/>
        <v>19500</v>
      </c>
      <c r="M161" s="160">
        <v>1.82</v>
      </c>
      <c r="N161" s="162">
        <f t="shared" si="31"/>
        <v>35490</v>
      </c>
      <c r="O161" s="160">
        <v>56.772970873786399</v>
      </c>
      <c r="P161" s="162">
        <f t="shared" si="32"/>
        <v>1107072.9320388348</v>
      </c>
      <c r="Q161" s="24" t="s">
        <v>345</v>
      </c>
    </row>
    <row r="162" spans="2:17" x14ac:dyDescent="0.2">
      <c r="B162" s="15">
        <v>150</v>
      </c>
      <c r="C162" s="23" t="s">
        <v>1153</v>
      </c>
      <c r="D162" s="106">
        <v>5000665</v>
      </c>
      <c r="E162" s="24" t="s">
        <v>17</v>
      </c>
      <c r="F162" s="29" t="s">
        <v>424</v>
      </c>
      <c r="G162" s="100" t="s">
        <v>157</v>
      </c>
      <c r="H162" s="24" t="s">
        <v>1370</v>
      </c>
      <c r="I162" s="15">
        <v>1</v>
      </c>
      <c r="J162" s="24" t="s">
        <v>7</v>
      </c>
      <c r="K162" s="35">
        <v>13020</v>
      </c>
      <c r="L162" s="17">
        <f t="shared" si="30"/>
        <v>13020</v>
      </c>
      <c r="M162" s="160">
        <v>1.82</v>
      </c>
      <c r="N162" s="162">
        <f t="shared" si="31"/>
        <v>23696.400000000001</v>
      </c>
      <c r="O162" s="160">
        <v>56.772970873786399</v>
      </c>
      <c r="P162" s="162">
        <f t="shared" si="32"/>
        <v>739184.08077669889</v>
      </c>
      <c r="Q162" s="24" t="s">
        <v>345</v>
      </c>
    </row>
    <row r="163" spans="2:17" x14ac:dyDescent="0.2">
      <c r="B163" s="15">
        <v>151</v>
      </c>
      <c r="C163" s="23" t="s">
        <v>1153</v>
      </c>
      <c r="D163" s="106">
        <v>5000665</v>
      </c>
      <c r="E163" s="24" t="s">
        <v>17</v>
      </c>
      <c r="F163" s="29" t="s">
        <v>424</v>
      </c>
      <c r="G163" s="100" t="s">
        <v>157</v>
      </c>
      <c r="H163" s="24" t="s">
        <v>1371</v>
      </c>
      <c r="I163" s="15">
        <v>1</v>
      </c>
      <c r="J163" s="24" t="s">
        <v>7</v>
      </c>
      <c r="K163" s="35">
        <v>13020</v>
      </c>
      <c r="L163" s="17">
        <f t="shared" si="30"/>
        <v>13020</v>
      </c>
      <c r="M163" s="160">
        <v>1.82</v>
      </c>
      <c r="N163" s="162">
        <f t="shared" si="31"/>
        <v>23696.400000000001</v>
      </c>
      <c r="O163" s="160">
        <v>56.772970873786399</v>
      </c>
      <c r="P163" s="162">
        <f t="shared" si="32"/>
        <v>739184.08077669889</v>
      </c>
      <c r="Q163" s="24" t="s">
        <v>345</v>
      </c>
    </row>
    <row r="164" spans="2:17" x14ac:dyDescent="0.2">
      <c r="B164" s="15">
        <v>152</v>
      </c>
      <c r="C164" s="23" t="s">
        <v>1153</v>
      </c>
      <c r="D164" s="106">
        <v>5000665</v>
      </c>
      <c r="E164" s="24" t="s">
        <v>17</v>
      </c>
      <c r="F164" s="29" t="s">
        <v>424</v>
      </c>
      <c r="G164" s="100" t="s">
        <v>157</v>
      </c>
      <c r="H164" s="24" t="s">
        <v>1370</v>
      </c>
      <c r="I164" s="15">
        <v>1</v>
      </c>
      <c r="J164" s="24" t="s">
        <v>7</v>
      </c>
      <c r="K164" s="35">
        <v>26040</v>
      </c>
      <c r="L164" s="17">
        <f t="shared" si="30"/>
        <v>26040</v>
      </c>
      <c r="M164" s="160">
        <v>1.82</v>
      </c>
      <c r="N164" s="162">
        <f t="shared" si="31"/>
        <v>47392.800000000003</v>
      </c>
      <c r="O164" s="160">
        <v>56.772970873786399</v>
      </c>
      <c r="P164" s="162">
        <f t="shared" si="32"/>
        <v>1478368.1615533978</v>
      </c>
      <c r="Q164" s="24" t="s">
        <v>345</v>
      </c>
    </row>
    <row r="165" spans="2:17" x14ac:dyDescent="0.2">
      <c r="B165" s="15">
        <v>153</v>
      </c>
      <c r="C165" s="23" t="s">
        <v>1153</v>
      </c>
      <c r="D165" s="106">
        <v>5000665</v>
      </c>
      <c r="E165" s="24" t="s">
        <v>17</v>
      </c>
      <c r="F165" s="29" t="s">
        <v>424</v>
      </c>
      <c r="G165" s="100" t="s">
        <v>157</v>
      </c>
      <c r="H165" s="24" t="s">
        <v>1371</v>
      </c>
      <c r="I165" s="15">
        <v>1</v>
      </c>
      <c r="J165" s="24" t="s">
        <v>7</v>
      </c>
      <c r="K165" s="35">
        <v>26040</v>
      </c>
      <c r="L165" s="17">
        <f t="shared" si="30"/>
        <v>26040</v>
      </c>
      <c r="M165" s="160">
        <v>1.82</v>
      </c>
      <c r="N165" s="162">
        <f t="shared" si="31"/>
        <v>47392.800000000003</v>
      </c>
      <c r="O165" s="160">
        <v>56.772970873786399</v>
      </c>
      <c r="P165" s="162">
        <f t="shared" si="32"/>
        <v>1478368.1615533978</v>
      </c>
      <c r="Q165" s="24" t="s">
        <v>345</v>
      </c>
    </row>
    <row r="166" spans="2:17" x14ac:dyDescent="0.2">
      <c r="B166" s="15">
        <v>154</v>
      </c>
      <c r="C166" s="23" t="s">
        <v>1153</v>
      </c>
      <c r="D166" s="106">
        <v>5000665</v>
      </c>
      <c r="E166" s="24" t="s">
        <v>17</v>
      </c>
      <c r="F166" s="29" t="s">
        <v>424</v>
      </c>
      <c r="G166" s="100" t="s">
        <v>157</v>
      </c>
      <c r="H166" s="24" t="s">
        <v>1380</v>
      </c>
      <c r="I166" s="15">
        <v>1</v>
      </c>
      <c r="J166" s="24" t="s">
        <v>7</v>
      </c>
      <c r="K166" s="35">
        <v>26040</v>
      </c>
      <c r="L166" s="17">
        <f t="shared" si="30"/>
        <v>26040</v>
      </c>
      <c r="M166" s="160">
        <v>1.82</v>
      </c>
      <c r="N166" s="162">
        <f t="shared" si="31"/>
        <v>47392.800000000003</v>
      </c>
      <c r="O166" s="160">
        <v>56.772970873786399</v>
      </c>
      <c r="P166" s="162">
        <f t="shared" si="32"/>
        <v>1478368.1615533978</v>
      </c>
      <c r="Q166" s="24" t="s">
        <v>345</v>
      </c>
    </row>
    <row r="167" spans="2:17" x14ac:dyDescent="0.2">
      <c r="B167" s="15">
        <v>155</v>
      </c>
      <c r="C167" s="23" t="s">
        <v>1153</v>
      </c>
      <c r="D167" s="106">
        <v>5000665</v>
      </c>
      <c r="E167" s="24" t="s">
        <v>17</v>
      </c>
      <c r="F167" s="29" t="s">
        <v>424</v>
      </c>
      <c r="G167" s="100" t="s">
        <v>157</v>
      </c>
      <c r="H167" s="24" t="s">
        <v>1381</v>
      </c>
      <c r="I167" s="15">
        <v>1</v>
      </c>
      <c r="J167" s="24" t="s">
        <v>7</v>
      </c>
      <c r="K167" s="35">
        <v>26040</v>
      </c>
      <c r="L167" s="17">
        <f t="shared" si="30"/>
        <v>26040</v>
      </c>
      <c r="M167" s="160">
        <v>1.82</v>
      </c>
      <c r="N167" s="162">
        <f t="shared" si="31"/>
        <v>47392.800000000003</v>
      </c>
      <c r="O167" s="160">
        <v>56.772970873786399</v>
      </c>
      <c r="P167" s="162">
        <f t="shared" si="32"/>
        <v>1478368.1615533978</v>
      </c>
      <c r="Q167" s="24" t="s">
        <v>345</v>
      </c>
    </row>
    <row r="168" spans="2:17" x14ac:dyDescent="0.2">
      <c r="B168" s="15">
        <v>156</v>
      </c>
      <c r="C168" s="23" t="s">
        <v>1153</v>
      </c>
      <c r="D168" s="106">
        <v>5000665</v>
      </c>
      <c r="E168" s="24" t="s">
        <v>17</v>
      </c>
      <c r="F168" s="29" t="s">
        <v>424</v>
      </c>
      <c r="G168" s="100" t="s">
        <v>157</v>
      </c>
      <c r="H168" s="24" t="s">
        <v>1380</v>
      </c>
      <c r="I168" s="15">
        <v>1</v>
      </c>
      <c r="J168" s="24" t="s">
        <v>7</v>
      </c>
      <c r="K168" s="35">
        <v>13020</v>
      </c>
      <c r="L168" s="17">
        <f t="shared" si="30"/>
        <v>13020</v>
      </c>
      <c r="M168" s="160">
        <v>1.82</v>
      </c>
      <c r="N168" s="162">
        <f t="shared" si="31"/>
        <v>23696.400000000001</v>
      </c>
      <c r="O168" s="160">
        <v>56.772970873786399</v>
      </c>
      <c r="P168" s="162">
        <f t="shared" si="32"/>
        <v>739184.08077669889</v>
      </c>
      <c r="Q168" s="24" t="s">
        <v>345</v>
      </c>
    </row>
    <row r="169" spans="2:17" x14ac:dyDescent="0.2">
      <c r="B169" s="15">
        <v>157</v>
      </c>
      <c r="C169" s="23" t="s">
        <v>1153</v>
      </c>
      <c r="D169" s="106">
        <v>5000665</v>
      </c>
      <c r="E169" s="24" t="s">
        <v>17</v>
      </c>
      <c r="F169" s="29" t="s">
        <v>424</v>
      </c>
      <c r="G169" s="100" t="s">
        <v>157</v>
      </c>
      <c r="H169" s="24" t="s">
        <v>1381</v>
      </c>
      <c r="I169" s="15">
        <v>1</v>
      </c>
      <c r="J169" s="24" t="s">
        <v>7</v>
      </c>
      <c r="K169" s="35">
        <v>13020</v>
      </c>
      <c r="L169" s="17">
        <f t="shared" si="30"/>
        <v>13020</v>
      </c>
      <c r="M169" s="160">
        <v>1.82</v>
      </c>
      <c r="N169" s="162">
        <f t="shared" si="31"/>
        <v>23696.400000000001</v>
      </c>
      <c r="O169" s="160">
        <v>56.772970873786399</v>
      </c>
      <c r="P169" s="162">
        <f t="shared" si="32"/>
        <v>739184.08077669889</v>
      </c>
      <c r="Q169" s="24" t="s">
        <v>345</v>
      </c>
    </row>
    <row r="170" spans="2:17" x14ac:dyDescent="0.2">
      <c r="B170" s="89"/>
      <c r="C170" s="69"/>
      <c r="D170" s="108"/>
      <c r="E170" s="26"/>
      <c r="F170" s="77"/>
      <c r="G170" s="102"/>
      <c r="H170" s="26"/>
      <c r="I170" s="89"/>
      <c r="J170" s="26"/>
      <c r="K170" s="71">
        <f>SUM(K144:K169)</f>
        <v>409788</v>
      </c>
      <c r="L170" s="71">
        <f>SUM(L144:L169)</f>
        <v>409788</v>
      </c>
      <c r="M170" s="150"/>
      <c r="N170" s="153">
        <f t="shared" ref="N170:P170" si="33">SUM(N144:N169)</f>
        <v>769182.48000000045</v>
      </c>
      <c r="O170" s="150"/>
      <c r="P170" s="153">
        <f t="shared" si="33"/>
        <v>27425673.129340257</v>
      </c>
      <c r="Q170" s="26"/>
    </row>
    <row r="171" spans="2:17" x14ac:dyDescent="0.2">
      <c r="B171" s="15">
        <v>158</v>
      </c>
      <c r="C171" s="23" t="s">
        <v>1150</v>
      </c>
      <c r="D171" s="106">
        <v>5501211</v>
      </c>
      <c r="E171" s="24" t="s">
        <v>293</v>
      </c>
      <c r="F171" s="29" t="s">
        <v>425</v>
      </c>
      <c r="G171" s="47" t="s">
        <v>158</v>
      </c>
      <c r="H171" s="24" t="s">
        <v>1234</v>
      </c>
      <c r="I171" s="15">
        <v>10</v>
      </c>
      <c r="J171" s="24" t="s">
        <v>3</v>
      </c>
      <c r="K171" s="35">
        <v>47900</v>
      </c>
      <c r="L171" s="17">
        <f t="shared" ref="L171:L212" si="34">K171*I171</f>
        <v>479000</v>
      </c>
      <c r="M171" s="160">
        <v>0.61062499999999997</v>
      </c>
      <c r="N171" s="162">
        <f t="shared" ref="N171:N212" si="35">+K171*M171</f>
        <v>29248.9375</v>
      </c>
      <c r="O171" s="160">
        <v>31.329983333333335</v>
      </c>
      <c r="P171" s="162">
        <f t="shared" ref="P171:P212" si="36">+K171*O171</f>
        <v>1500706.2016666667</v>
      </c>
      <c r="Q171" s="24" t="s">
        <v>271</v>
      </c>
    </row>
    <row r="172" spans="2:17" x14ac:dyDescent="0.2">
      <c r="B172" s="15">
        <v>159</v>
      </c>
      <c r="C172" s="23" t="s">
        <v>1151</v>
      </c>
      <c r="D172" s="106">
        <v>5000679</v>
      </c>
      <c r="E172" s="24" t="s">
        <v>18</v>
      </c>
      <c r="F172" s="29" t="s">
        <v>424</v>
      </c>
      <c r="G172" s="47" t="s">
        <v>158</v>
      </c>
      <c r="H172" s="24" t="s">
        <v>1235</v>
      </c>
      <c r="I172" s="15">
        <v>10</v>
      </c>
      <c r="J172" s="24" t="s">
        <v>3</v>
      </c>
      <c r="K172" s="35">
        <v>58940</v>
      </c>
      <c r="L172" s="17">
        <f t="shared" si="34"/>
        <v>589400</v>
      </c>
      <c r="M172" s="160">
        <v>0.61</v>
      </c>
      <c r="N172" s="162">
        <f t="shared" si="35"/>
        <v>35953.4</v>
      </c>
      <c r="O172" s="160">
        <v>185.28630894549764</v>
      </c>
      <c r="P172" s="162">
        <f t="shared" si="36"/>
        <v>10920775.04924763</v>
      </c>
      <c r="Q172" s="24" t="s">
        <v>278</v>
      </c>
    </row>
    <row r="173" spans="2:17" x14ac:dyDescent="0.2">
      <c r="B173" s="15">
        <v>160</v>
      </c>
      <c r="C173" s="23" t="s">
        <v>1155</v>
      </c>
      <c r="D173" s="106">
        <v>5000596</v>
      </c>
      <c r="E173" s="24" t="s">
        <v>1182</v>
      </c>
      <c r="F173" s="29" t="s">
        <v>424</v>
      </c>
      <c r="G173" s="47" t="s">
        <v>158</v>
      </c>
      <c r="H173" s="24" t="s">
        <v>1267</v>
      </c>
      <c r="I173" s="15">
        <v>10</v>
      </c>
      <c r="J173" s="24" t="s">
        <v>3</v>
      </c>
      <c r="K173" s="35">
        <v>59040</v>
      </c>
      <c r="L173" s="17">
        <f t="shared" si="34"/>
        <v>590400</v>
      </c>
      <c r="M173" s="160">
        <v>0.46399999999999997</v>
      </c>
      <c r="N173" s="162">
        <f t="shared" si="35"/>
        <v>27394.559999999998</v>
      </c>
      <c r="O173" s="160">
        <v>28.682500000000001</v>
      </c>
      <c r="P173" s="162">
        <f t="shared" si="36"/>
        <v>1693414.8</v>
      </c>
      <c r="Q173" s="24" t="s">
        <v>270</v>
      </c>
    </row>
    <row r="174" spans="2:17" x14ac:dyDescent="0.2">
      <c r="B174" s="15">
        <v>161</v>
      </c>
      <c r="C174" s="23" t="s">
        <v>1155</v>
      </c>
      <c r="D174" s="106">
        <v>5000596</v>
      </c>
      <c r="E174" s="24" t="s">
        <v>1182</v>
      </c>
      <c r="F174" s="29" t="s">
        <v>424</v>
      </c>
      <c r="G174" s="47" t="s">
        <v>158</v>
      </c>
      <c r="H174" s="24" t="s">
        <v>1268</v>
      </c>
      <c r="I174" s="15">
        <v>10</v>
      </c>
      <c r="J174" s="24" t="s">
        <v>3</v>
      </c>
      <c r="K174" s="35">
        <v>59040</v>
      </c>
      <c r="L174" s="17">
        <f t="shared" si="34"/>
        <v>590400</v>
      </c>
      <c r="M174" s="160">
        <v>0.46399999999999997</v>
      </c>
      <c r="N174" s="162">
        <f t="shared" si="35"/>
        <v>27394.559999999998</v>
      </c>
      <c r="O174" s="160">
        <v>28.682500000000001</v>
      </c>
      <c r="P174" s="162">
        <f t="shared" si="36"/>
        <v>1693414.8</v>
      </c>
      <c r="Q174" s="24" t="s">
        <v>270</v>
      </c>
    </row>
    <row r="175" spans="2:17" x14ac:dyDescent="0.2">
      <c r="B175" s="15">
        <v>162</v>
      </c>
      <c r="C175" s="23" t="s">
        <v>1160</v>
      </c>
      <c r="D175" s="106">
        <v>5002007</v>
      </c>
      <c r="E175" s="24" t="s">
        <v>295</v>
      </c>
      <c r="F175" s="29" t="s">
        <v>424</v>
      </c>
      <c r="G175" s="47" t="s">
        <v>158</v>
      </c>
      <c r="H175" s="24" t="s">
        <v>1271</v>
      </c>
      <c r="I175" s="15">
        <v>8</v>
      </c>
      <c r="J175" s="24" t="s">
        <v>34</v>
      </c>
      <c r="K175" s="35">
        <v>18180</v>
      </c>
      <c r="L175" s="17">
        <f t="shared" si="34"/>
        <v>145440</v>
      </c>
      <c r="M175" s="160">
        <v>2</v>
      </c>
      <c r="N175" s="162">
        <f t="shared" si="35"/>
        <v>36360</v>
      </c>
      <c r="O175" s="160">
        <v>68.177013513513515</v>
      </c>
      <c r="P175" s="162">
        <f t="shared" si="36"/>
        <v>1239458.1056756757</v>
      </c>
      <c r="Q175" s="24" t="s">
        <v>1170</v>
      </c>
    </row>
    <row r="176" spans="2:17" x14ac:dyDescent="0.2">
      <c r="B176" s="15">
        <v>163</v>
      </c>
      <c r="C176" s="23" t="s">
        <v>1160</v>
      </c>
      <c r="D176" s="106">
        <v>5002007</v>
      </c>
      <c r="E176" s="24" t="s">
        <v>295</v>
      </c>
      <c r="F176" s="29" t="s">
        <v>424</v>
      </c>
      <c r="G176" s="47" t="s">
        <v>158</v>
      </c>
      <c r="H176" s="24" t="s">
        <v>1272</v>
      </c>
      <c r="I176" s="15">
        <v>8</v>
      </c>
      <c r="J176" s="24" t="s">
        <v>34</v>
      </c>
      <c r="K176" s="35">
        <v>18000</v>
      </c>
      <c r="L176" s="17">
        <f t="shared" si="34"/>
        <v>144000</v>
      </c>
      <c r="M176" s="160">
        <v>2</v>
      </c>
      <c r="N176" s="162">
        <f t="shared" si="35"/>
        <v>36000</v>
      </c>
      <c r="O176" s="160">
        <v>68.177013513513515</v>
      </c>
      <c r="P176" s="162">
        <f t="shared" si="36"/>
        <v>1227186.2432432433</v>
      </c>
      <c r="Q176" s="24" t="s">
        <v>1170</v>
      </c>
    </row>
    <row r="177" spans="2:17" x14ac:dyDescent="0.2">
      <c r="B177" s="15">
        <v>164</v>
      </c>
      <c r="C177" s="23" t="s">
        <v>1150</v>
      </c>
      <c r="D177" s="106">
        <v>5500328</v>
      </c>
      <c r="E177" s="24" t="s">
        <v>1187</v>
      </c>
      <c r="F177" s="29" t="s">
        <v>425</v>
      </c>
      <c r="G177" s="47" t="s">
        <v>158</v>
      </c>
      <c r="H177" s="24" t="s">
        <v>1279</v>
      </c>
      <c r="I177" s="15">
        <v>10</v>
      </c>
      <c r="J177" s="24" t="s">
        <v>3</v>
      </c>
      <c r="K177" s="35">
        <v>28960</v>
      </c>
      <c r="L177" s="17">
        <f t="shared" si="34"/>
        <v>289600</v>
      </c>
      <c r="M177" s="160">
        <v>0.29395833333333332</v>
      </c>
      <c r="N177" s="162">
        <f t="shared" si="35"/>
        <v>8513.0333333333328</v>
      </c>
      <c r="O177" s="160">
        <v>56.25</v>
      </c>
      <c r="P177" s="162">
        <f t="shared" si="36"/>
        <v>1629000</v>
      </c>
      <c r="Q177" s="24" t="s">
        <v>271</v>
      </c>
    </row>
    <row r="178" spans="2:17" x14ac:dyDescent="0.2">
      <c r="B178" s="15">
        <v>165</v>
      </c>
      <c r="C178" s="23" t="s">
        <v>1150</v>
      </c>
      <c r="D178" s="106">
        <v>5500665</v>
      </c>
      <c r="E178" s="24" t="s">
        <v>1189</v>
      </c>
      <c r="F178" s="29" t="s">
        <v>425</v>
      </c>
      <c r="G178" s="47" t="s">
        <v>158</v>
      </c>
      <c r="H178" s="24" t="s">
        <v>1282</v>
      </c>
      <c r="I178" s="15">
        <v>10</v>
      </c>
      <c r="J178" s="24" t="s">
        <v>3</v>
      </c>
      <c r="K178" s="35">
        <v>48180</v>
      </c>
      <c r="L178" s="17">
        <f t="shared" si="34"/>
        <v>481800</v>
      </c>
      <c r="M178" s="160">
        <v>0.34177083333333336</v>
      </c>
      <c r="N178" s="162">
        <f t="shared" si="35"/>
        <v>16466.518750000003</v>
      </c>
      <c r="O178" s="160">
        <v>84.21</v>
      </c>
      <c r="P178" s="162">
        <f t="shared" si="36"/>
        <v>4057237.8</v>
      </c>
      <c r="Q178" s="24" t="s">
        <v>271</v>
      </c>
    </row>
    <row r="179" spans="2:17" x14ac:dyDescent="0.2">
      <c r="B179" s="15">
        <v>166</v>
      </c>
      <c r="C179" s="23" t="s">
        <v>1150</v>
      </c>
      <c r="D179" s="106">
        <v>8001020</v>
      </c>
      <c r="E179" s="24" t="s">
        <v>1192</v>
      </c>
      <c r="F179" s="29" t="s">
        <v>425</v>
      </c>
      <c r="G179" s="47" t="s">
        <v>158</v>
      </c>
      <c r="H179" s="24" t="s">
        <v>1286</v>
      </c>
      <c r="I179" s="15">
        <v>2</v>
      </c>
      <c r="J179" s="24" t="s">
        <v>3</v>
      </c>
      <c r="K179" s="35">
        <v>19680</v>
      </c>
      <c r="L179" s="17">
        <f t="shared" si="34"/>
        <v>39360</v>
      </c>
      <c r="M179" s="160">
        <v>0.34177083333333336</v>
      </c>
      <c r="N179" s="162">
        <f t="shared" si="35"/>
        <v>6726.05</v>
      </c>
      <c r="O179" s="160">
        <v>0</v>
      </c>
      <c r="P179" s="162">
        <f t="shared" si="36"/>
        <v>0</v>
      </c>
      <c r="Q179" s="24" t="s">
        <v>271</v>
      </c>
    </row>
    <row r="180" spans="2:17" x14ac:dyDescent="0.2">
      <c r="B180" s="15">
        <v>167</v>
      </c>
      <c r="C180" s="23" t="s">
        <v>1164</v>
      </c>
      <c r="D180" s="106">
        <v>5000391</v>
      </c>
      <c r="E180" s="24" t="s">
        <v>1195</v>
      </c>
      <c r="F180" s="29" t="s">
        <v>424</v>
      </c>
      <c r="G180" s="47" t="s">
        <v>158</v>
      </c>
      <c r="H180" s="24" t="s">
        <v>1295</v>
      </c>
      <c r="I180" s="15">
        <v>10</v>
      </c>
      <c r="J180" s="24" t="s">
        <v>3</v>
      </c>
      <c r="K180" s="35">
        <v>100</v>
      </c>
      <c r="L180" s="17">
        <f t="shared" si="34"/>
        <v>1000</v>
      </c>
      <c r="M180" s="160">
        <v>0.42</v>
      </c>
      <c r="N180" s="162">
        <f t="shared" si="35"/>
        <v>42</v>
      </c>
      <c r="O180" s="160">
        <v>6.7794999999999996</v>
      </c>
      <c r="P180" s="162">
        <f t="shared" si="36"/>
        <v>677.94999999999993</v>
      </c>
      <c r="Q180" s="24" t="s">
        <v>1172</v>
      </c>
    </row>
    <row r="181" spans="2:17" x14ac:dyDescent="0.2">
      <c r="B181" s="15">
        <v>168</v>
      </c>
      <c r="C181" s="23" t="s">
        <v>1164</v>
      </c>
      <c r="D181" s="106">
        <v>5000391</v>
      </c>
      <c r="E181" s="24" t="s">
        <v>1195</v>
      </c>
      <c r="F181" s="29" t="s">
        <v>424</v>
      </c>
      <c r="G181" s="47" t="s">
        <v>158</v>
      </c>
      <c r="H181" s="24" t="s">
        <v>1296</v>
      </c>
      <c r="I181" s="15">
        <v>10</v>
      </c>
      <c r="J181" s="24" t="s">
        <v>3</v>
      </c>
      <c r="K181" s="35">
        <v>200</v>
      </c>
      <c r="L181" s="17">
        <f t="shared" si="34"/>
        <v>2000</v>
      </c>
      <c r="M181" s="160">
        <v>0.42</v>
      </c>
      <c r="N181" s="162">
        <f t="shared" si="35"/>
        <v>84</v>
      </c>
      <c r="O181" s="160">
        <v>6.7794999999999996</v>
      </c>
      <c r="P181" s="162">
        <f t="shared" si="36"/>
        <v>1355.8999999999999</v>
      </c>
      <c r="Q181" s="24" t="s">
        <v>1172</v>
      </c>
    </row>
    <row r="182" spans="2:17" x14ac:dyDescent="0.2">
      <c r="B182" s="15">
        <v>169</v>
      </c>
      <c r="C182" s="23" t="s">
        <v>1164</v>
      </c>
      <c r="D182" s="106">
        <v>5000391</v>
      </c>
      <c r="E182" s="24" t="s">
        <v>1195</v>
      </c>
      <c r="F182" s="29" t="s">
        <v>424</v>
      </c>
      <c r="G182" s="47" t="s">
        <v>158</v>
      </c>
      <c r="H182" s="24" t="s">
        <v>1297</v>
      </c>
      <c r="I182" s="15">
        <v>10</v>
      </c>
      <c r="J182" s="24" t="s">
        <v>3</v>
      </c>
      <c r="K182" s="35">
        <v>200</v>
      </c>
      <c r="L182" s="17">
        <f t="shared" si="34"/>
        <v>2000</v>
      </c>
      <c r="M182" s="160">
        <v>0.42</v>
      </c>
      <c r="N182" s="162">
        <f t="shared" si="35"/>
        <v>84</v>
      </c>
      <c r="O182" s="160">
        <v>6.7794999999999996</v>
      </c>
      <c r="P182" s="162">
        <f t="shared" si="36"/>
        <v>1355.8999999999999</v>
      </c>
      <c r="Q182" s="24" t="s">
        <v>1172</v>
      </c>
    </row>
    <row r="183" spans="2:17" x14ac:dyDescent="0.2">
      <c r="B183" s="15">
        <v>170</v>
      </c>
      <c r="C183" s="23" t="s">
        <v>1164</v>
      </c>
      <c r="D183" s="106">
        <v>5000391</v>
      </c>
      <c r="E183" s="24" t="s">
        <v>1195</v>
      </c>
      <c r="F183" s="29" t="s">
        <v>424</v>
      </c>
      <c r="G183" s="47" t="s">
        <v>158</v>
      </c>
      <c r="H183" s="24" t="s">
        <v>1298</v>
      </c>
      <c r="I183" s="15">
        <v>10</v>
      </c>
      <c r="J183" s="24" t="s">
        <v>3</v>
      </c>
      <c r="K183" s="35">
        <v>300</v>
      </c>
      <c r="L183" s="17">
        <f t="shared" si="34"/>
        <v>3000</v>
      </c>
      <c r="M183" s="160">
        <v>0.42</v>
      </c>
      <c r="N183" s="162">
        <f t="shared" si="35"/>
        <v>126</v>
      </c>
      <c r="O183" s="160">
        <v>6.7794999999999996</v>
      </c>
      <c r="P183" s="162">
        <f t="shared" si="36"/>
        <v>2033.85</v>
      </c>
      <c r="Q183" s="24" t="s">
        <v>1172</v>
      </c>
    </row>
    <row r="184" spans="2:17" x14ac:dyDescent="0.2">
      <c r="B184" s="15">
        <v>171</v>
      </c>
      <c r="C184" s="23" t="s">
        <v>1164</v>
      </c>
      <c r="D184" s="106">
        <v>5000391</v>
      </c>
      <c r="E184" s="24" t="s">
        <v>1195</v>
      </c>
      <c r="F184" s="29" t="s">
        <v>424</v>
      </c>
      <c r="G184" s="47" t="s">
        <v>158</v>
      </c>
      <c r="H184" s="24" t="s">
        <v>1299</v>
      </c>
      <c r="I184" s="15">
        <v>10</v>
      </c>
      <c r="J184" s="24" t="s">
        <v>3</v>
      </c>
      <c r="K184" s="35">
        <v>200</v>
      </c>
      <c r="L184" s="17">
        <f t="shared" si="34"/>
        <v>2000</v>
      </c>
      <c r="M184" s="160">
        <v>0.42</v>
      </c>
      <c r="N184" s="162">
        <f t="shared" si="35"/>
        <v>84</v>
      </c>
      <c r="O184" s="160">
        <v>6.7794999999999996</v>
      </c>
      <c r="P184" s="162">
        <f t="shared" si="36"/>
        <v>1355.8999999999999</v>
      </c>
      <c r="Q184" s="24" t="s">
        <v>1172</v>
      </c>
    </row>
    <row r="185" spans="2:17" x14ac:dyDescent="0.2">
      <c r="B185" s="15">
        <v>172</v>
      </c>
      <c r="C185" s="23" t="s">
        <v>1151</v>
      </c>
      <c r="D185" s="106">
        <v>5000679</v>
      </c>
      <c r="E185" s="24" t="s">
        <v>18</v>
      </c>
      <c r="F185" s="29" t="s">
        <v>424</v>
      </c>
      <c r="G185" s="47" t="s">
        <v>158</v>
      </c>
      <c r="H185" s="24" t="s">
        <v>1303</v>
      </c>
      <c r="I185" s="15">
        <v>10</v>
      </c>
      <c r="J185" s="24" t="s">
        <v>3</v>
      </c>
      <c r="K185" s="35">
        <v>59040</v>
      </c>
      <c r="L185" s="17">
        <f t="shared" si="34"/>
        <v>590400</v>
      </c>
      <c r="M185" s="160">
        <v>0.61</v>
      </c>
      <c r="N185" s="162">
        <f t="shared" si="35"/>
        <v>36014.400000000001</v>
      </c>
      <c r="O185" s="160">
        <v>185.28630894549764</v>
      </c>
      <c r="P185" s="162">
        <f t="shared" si="36"/>
        <v>10939303.680142181</v>
      </c>
      <c r="Q185" s="24" t="s">
        <v>278</v>
      </c>
    </row>
    <row r="186" spans="2:17" x14ac:dyDescent="0.2">
      <c r="B186" s="15">
        <v>173</v>
      </c>
      <c r="C186" s="23" t="s">
        <v>1165</v>
      </c>
      <c r="D186" s="106">
        <v>5500138</v>
      </c>
      <c r="E186" s="24" t="s">
        <v>1196</v>
      </c>
      <c r="F186" s="29" t="s">
        <v>425</v>
      </c>
      <c r="G186" s="47" t="s">
        <v>158</v>
      </c>
      <c r="H186" s="24" t="s">
        <v>1306</v>
      </c>
      <c r="I186" s="15">
        <v>4</v>
      </c>
      <c r="J186" s="24" t="s">
        <v>3</v>
      </c>
      <c r="K186" s="35">
        <v>97920</v>
      </c>
      <c r="L186" s="17">
        <f t="shared" si="34"/>
        <v>391680</v>
      </c>
      <c r="M186" s="160">
        <v>0.24</v>
      </c>
      <c r="N186" s="162">
        <f t="shared" si="35"/>
        <v>23500.799999999999</v>
      </c>
      <c r="O186" s="160">
        <v>13.390004166666666</v>
      </c>
      <c r="P186" s="162">
        <f t="shared" si="36"/>
        <v>1311149.2079999999</v>
      </c>
      <c r="Q186" s="24" t="s">
        <v>1173</v>
      </c>
    </row>
    <row r="187" spans="2:17" x14ac:dyDescent="0.2">
      <c r="B187" s="15">
        <v>174</v>
      </c>
      <c r="C187" s="23" t="s">
        <v>1166</v>
      </c>
      <c r="D187" s="106">
        <v>5000312</v>
      </c>
      <c r="E187" s="24" t="s">
        <v>1198</v>
      </c>
      <c r="F187" s="29" t="s">
        <v>424</v>
      </c>
      <c r="G187" s="47" t="s">
        <v>158</v>
      </c>
      <c r="H187" s="24" t="s">
        <v>1308</v>
      </c>
      <c r="I187" s="15">
        <v>10</v>
      </c>
      <c r="J187" s="24" t="s">
        <v>3</v>
      </c>
      <c r="K187" s="35">
        <v>39060</v>
      </c>
      <c r="L187" s="17">
        <f t="shared" si="34"/>
        <v>390600</v>
      </c>
      <c r="M187" s="160">
        <v>0.40066666666666667</v>
      </c>
      <c r="N187" s="162">
        <f t="shared" si="35"/>
        <v>15650.04</v>
      </c>
      <c r="O187" s="160">
        <v>142.79166666666669</v>
      </c>
      <c r="P187" s="162">
        <f t="shared" si="36"/>
        <v>5577442.5000000009</v>
      </c>
      <c r="Q187" s="24" t="s">
        <v>273</v>
      </c>
    </row>
    <row r="188" spans="2:17" x14ac:dyDescent="0.2">
      <c r="B188" s="15">
        <v>175</v>
      </c>
      <c r="C188" s="23" t="s">
        <v>1164</v>
      </c>
      <c r="D188" s="106">
        <v>5000391</v>
      </c>
      <c r="E188" s="24" t="s">
        <v>1195</v>
      </c>
      <c r="F188" s="29" t="s">
        <v>424</v>
      </c>
      <c r="G188" s="47" t="s">
        <v>158</v>
      </c>
      <c r="H188" s="24" t="s">
        <v>1299</v>
      </c>
      <c r="I188" s="15">
        <v>10</v>
      </c>
      <c r="J188" s="24" t="s">
        <v>3</v>
      </c>
      <c r="K188" s="35">
        <v>78400</v>
      </c>
      <c r="L188" s="17">
        <f t="shared" si="34"/>
        <v>784000</v>
      </c>
      <c r="M188" s="160">
        <v>0.42</v>
      </c>
      <c r="N188" s="162">
        <f t="shared" si="35"/>
        <v>32928</v>
      </c>
      <c r="O188" s="160">
        <v>6.7794999999999996</v>
      </c>
      <c r="P188" s="162">
        <f t="shared" si="36"/>
        <v>531512.79999999993</v>
      </c>
      <c r="Q188" s="24" t="s">
        <v>1172</v>
      </c>
    </row>
    <row r="189" spans="2:17" x14ac:dyDescent="0.2">
      <c r="B189" s="15">
        <v>176</v>
      </c>
      <c r="C189" s="23" t="s">
        <v>1164</v>
      </c>
      <c r="D189" s="106">
        <v>5000391</v>
      </c>
      <c r="E189" s="24" t="s">
        <v>1195</v>
      </c>
      <c r="F189" s="29" t="s">
        <v>424</v>
      </c>
      <c r="G189" s="47" t="s">
        <v>158</v>
      </c>
      <c r="H189" s="24" t="s">
        <v>1297</v>
      </c>
      <c r="I189" s="15">
        <v>10</v>
      </c>
      <c r="J189" s="24" t="s">
        <v>3</v>
      </c>
      <c r="K189" s="35">
        <v>78400</v>
      </c>
      <c r="L189" s="17">
        <f t="shared" si="34"/>
        <v>784000</v>
      </c>
      <c r="M189" s="160">
        <v>0.42</v>
      </c>
      <c r="N189" s="162">
        <f t="shared" si="35"/>
        <v>32928</v>
      </c>
      <c r="O189" s="160">
        <v>6.7794999999999996</v>
      </c>
      <c r="P189" s="162">
        <f t="shared" si="36"/>
        <v>531512.79999999993</v>
      </c>
      <c r="Q189" s="24" t="s">
        <v>1172</v>
      </c>
    </row>
    <row r="190" spans="2:17" x14ac:dyDescent="0.2">
      <c r="B190" s="15">
        <v>177</v>
      </c>
      <c r="C190" s="23" t="s">
        <v>1164</v>
      </c>
      <c r="D190" s="106">
        <v>5000391</v>
      </c>
      <c r="E190" s="24" t="s">
        <v>1195</v>
      </c>
      <c r="F190" s="29" t="s">
        <v>424</v>
      </c>
      <c r="G190" s="47" t="s">
        <v>158</v>
      </c>
      <c r="H190" s="24" t="s">
        <v>1298</v>
      </c>
      <c r="I190" s="15">
        <v>10</v>
      </c>
      <c r="J190" s="24" t="s">
        <v>3</v>
      </c>
      <c r="K190" s="35">
        <v>78400</v>
      </c>
      <c r="L190" s="17">
        <f t="shared" si="34"/>
        <v>784000</v>
      </c>
      <c r="M190" s="160">
        <v>0.42</v>
      </c>
      <c r="N190" s="162">
        <f t="shared" si="35"/>
        <v>32928</v>
      </c>
      <c r="O190" s="160">
        <v>6.7794999999999996</v>
      </c>
      <c r="P190" s="162">
        <f t="shared" si="36"/>
        <v>531512.79999999993</v>
      </c>
      <c r="Q190" s="24" t="s">
        <v>1172</v>
      </c>
    </row>
    <row r="191" spans="2:17" x14ac:dyDescent="0.2">
      <c r="B191" s="15">
        <v>178</v>
      </c>
      <c r="C191" s="23" t="s">
        <v>1164</v>
      </c>
      <c r="D191" s="106">
        <v>5000391</v>
      </c>
      <c r="E191" s="24" t="s">
        <v>1195</v>
      </c>
      <c r="F191" s="29" t="s">
        <v>424</v>
      </c>
      <c r="G191" s="47" t="s">
        <v>158</v>
      </c>
      <c r="H191" s="24" t="s">
        <v>1295</v>
      </c>
      <c r="I191" s="15">
        <v>10</v>
      </c>
      <c r="J191" s="24" t="s">
        <v>3</v>
      </c>
      <c r="K191" s="35">
        <v>78400</v>
      </c>
      <c r="L191" s="17">
        <f t="shared" si="34"/>
        <v>784000</v>
      </c>
      <c r="M191" s="160">
        <v>0.42</v>
      </c>
      <c r="N191" s="162">
        <f t="shared" si="35"/>
        <v>32928</v>
      </c>
      <c r="O191" s="160">
        <v>6.7794999999999996</v>
      </c>
      <c r="P191" s="162">
        <f t="shared" si="36"/>
        <v>531512.79999999993</v>
      </c>
      <c r="Q191" s="24" t="s">
        <v>1172</v>
      </c>
    </row>
    <row r="192" spans="2:17" x14ac:dyDescent="0.2">
      <c r="B192" s="15">
        <v>179</v>
      </c>
      <c r="C192" s="23" t="s">
        <v>1164</v>
      </c>
      <c r="D192" s="106">
        <v>5000391</v>
      </c>
      <c r="E192" s="24" t="s">
        <v>1195</v>
      </c>
      <c r="F192" s="29" t="s">
        <v>424</v>
      </c>
      <c r="G192" s="47" t="s">
        <v>158</v>
      </c>
      <c r="H192" s="24" t="s">
        <v>1296</v>
      </c>
      <c r="I192" s="15">
        <v>10</v>
      </c>
      <c r="J192" s="24" t="s">
        <v>3</v>
      </c>
      <c r="K192" s="35">
        <v>78400</v>
      </c>
      <c r="L192" s="17">
        <f t="shared" si="34"/>
        <v>784000</v>
      </c>
      <c r="M192" s="160">
        <v>0.42</v>
      </c>
      <c r="N192" s="162">
        <f t="shared" si="35"/>
        <v>32928</v>
      </c>
      <c r="O192" s="160">
        <v>6.7794999999999996</v>
      </c>
      <c r="P192" s="162">
        <f t="shared" si="36"/>
        <v>531512.79999999993</v>
      </c>
      <c r="Q192" s="24" t="s">
        <v>1172</v>
      </c>
    </row>
    <row r="193" spans="2:17" x14ac:dyDescent="0.2">
      <c r="B193" s="15">
        <v>180</v>
      </c>
      <c r="C193" s="23" t="s">
        <v>1150</v>
      </c>
      <c r="D193" s="106">
        <v>5001226</v>
      </c>
      <c r="E193" s="24" t="s">
        <v>356</v>
      </c>
      <c r="F193" s="29" t="s">
        <v>424</v>
      </c>
      <c r="G193" s="47" t="s">
        <v>158</v>
      </c>
      <c r="H193" s="24" t="s">
        <v>1344</v>
      </c>
      <c r="I193" s="15">
        <v>10</v>
      </c>
      <c r="J193" s="24" t="s">
        <v>3</v>
      </c>
      <c r="K193" s="35">
        <v>19320</v>
      </c>
      <c r="L193" s="17">
        <f t="shared" si="34"/>
        <v>193200</v>
      </c>
      <c r="M193" s="160">
        <v>0.31</v>
      </c>
      <c r="N193" s="162">
        <f t="shared" si="35"/>
        <v>5989.2</v>
      </c>
      <c r="O193" s="160">
        <v>76.608349999999987</v>
      </c>
      <c r="P193" s="162">
        <f t="shared" si="36"/>
        <v>1480073.3219999997</v>
      </c>
      <c r="Q193" s="24" t="s">
        <v>271</v>
      </c>
    </row>
    <row r="194" spans="2:17" x14ac:dyDescent="0.2">
      <c r="B194" s="15">
        <v>181</v>
      </c>
      <c r="C194" s="23" t="s">
        <v>1150</v>
      </c>
      <c r="D194" s="106">
        <v>5500329</v>
      </c>
      <c r="E194" s="24" t="s">
        <v>1208</v>
      </c>
      <c r="F194" s="29" t="s">
        <v>425</v>
      </c>
      <c r="G194" s="47" t="s">
        <v>158</v>
      </c>
      <c r="H194" s="24" t="s">
        <v>1353</v>
      </c>
      <c r="I194" s="15">
        <v>10</v>
      </c>
      <c r="J194" s="24" t="s">
        <v>3</v>
      </c>
      <c r="K194" s="35">
        <v>28300</v>
      </c>
      <c r="L194" s="17">
        <f t="shared" si="34"/>
        <v>283000</v>
      </c>
      <c r="M194" s="160">
        <v>0.29395833333333332</v>
      </c>
      <c r="N194" s="162">
        <f t="shared" si="35"/>
        <v>8319.0208333333321</v>
      </c>
      <c r="O194" s="160">
        <v>84.210019681164979</v>
      </c>
      <c r="P194" s="162">
        <f t="shared" si="36"/>
        <v>2383143.5569769689</v>
      </c>
      <c r="Q194" s="24" t="s">
        <v>271</v>
      </c>
    </row>
    <row r="195" spans="2:17" x14ac:dyDescent="0.2">
      <c r="B195" s="15">
        <v>182</v>
      </c>
      <c r="C195" s="23" t="s">
        <v>1150</v>
      </c>
      <c r="D195" s="106">
        <v>5500785</v>
      </c>
      <c r="E195" s="24" t="s">
        <v>351</v>
      </c>
      <c r="F195" s="29" t="s">
        <v>425</v>
      </c>
      <c r="G195" s="47" t="s">
        <v>158</v>
      </c>
      <c r="H195" s="24" t="s">
        <v>1354</v>
      </c>
      <c r="I195" s="15">
        <v>20</v>
      </c>
      <c r="J195" s="24" t="s">
        <v>3</v>
      </c>
      <c r="K195" s="35">
        <v>24700</v>
      </c>
      <c r="L195" s="17">
        <f t="shared" si="34"/>
        <v>494000</v>
      </c>
      <c r="M195" s="160">
        <v>0.47489999999999999</v>
      </c>
      <c r="N195" s="162">
        <f t="shared" si="35"/>
        <v>11730.029999999999</v>
      </c>
      <c r="O195" s="160">
        <v>174.20998740554157</v>
      </c>
      <c r="P195" s="162">
        <f t="shared" si="36"/>
        <v>4302986.6889168769</v>
      </c>
      <c r="Q195" s="24" t="s">
        <v>271</v>
      </c>
    </row>
    <row r="196" spans="2:17" x14ac:dyDescent="0.2">
      <c r="B196" s="15">
        <v>183</v>
      </c>
      <c r="C196" s="23" t="s">
        <v>1150</v>
      </c>
      <c r="D196" s="106">
        <v>5501211</v>
      </c>
      <c r="E196" s="24" t="s">
        <v>293</v>
      </c>
      <c r="F196" s="29" t="s">
        <v>425</v>
      </c>
      <c r="G196" s="47" t="s">
        <v>158</v>
      </c>
      <c r="H196" s="24" t="s">
        <v>1355</v>
      </c>
      <c r="I196" s="15">
        <v>10</v>
      </c>
      <c r="J196" s="24" t="s">
        <v>3</v>
      </c>
      <c r="K196" s="35">
        <v>28800</v>
      </c>
      <c r="L196" s="17">
        <f t="shared" si="34"/>
        <v>288000</v>
      </c>
      <c r="M196" s="160">
        <v>0.61062499999999997</v>
      </c>
      <c r="N196" s="162">
        <f t="shared" si="35"/>
        <v>17586</v>
      </c>
      <c r="O196" s="160">
        <v>31.329983333333335</v>
      </c>
      <c r="P196" s="162">
        <f t="shared" si="36"/>
        <v>902303.52</v>
      </c>
      <c r="Q196" s="24" t="s">
        <v>271</v>
      </c>
    </row>
    <row r="197" spans="2:17" x14ac:dyDescent="0.2">
      <c r="B197" s="15">
        <v>184</v>
      </c>
      <c r="C197" s="23" t="s">
        <v>1150</v>
      </c>
      <c r="D197" s="106">
        <v>5501212</v>
      </c>
      <c r="E197" s="24" t="s">
        <v>1209</v>
      </c>
      <c r="F197" s="29" t="s">
        <v>425</v>
      </c>
      <c r="G197" s="47" t="s">
        <v>158</v>
      </c>
      <c r="H197" s="24" t="s">
        <v>1356</v>
      </c>
      <c r="I197" s="15">
        <v>10</v>
      </c>
      <c r="J197" s="24" t="s">
        <v>3</v>
      </c>
      <c r="K197" s="35">
        <v>18890</v>
      </c>
      <c r="L197" s="17">
        <f t="shared" si="34"/>
        <v>188900</v>
      </c>
      <c r="M197" s="160">
        <v>0.61062499999999997</v>
      </c>
      <c r="N197" s="162">
        <f t="shared" si="35"/>
        <v>11534.706249999999</v>
      </c>
      <c r="O197" s="160">
        <v>31.330024351508737</v>
      </c>
      <c r="P197" s="162">
        <f t="shared" si="36"/>
        <v>591824.16</v>
      </c>
      <c r="Q197" s="24" t="s">
        <v>271</v>
      </c>
    </row>
    <row r="198" spans="2:17" x14ac:dyDescent="0.2">
      <c r="B198" s="15">
        <v>185</v>
      </c>
      <c r="C198" s="23" t="s">
        <v>1150</v>
      </c>
      <c r="D198" s="106">
        <v>5501214</v>
      </c>
      <c r="E198" s="24" t="s">
        <v>285</v>
      </c>
      <c r="F198" s="29" t="s">
        <v>425</v>
      </c>
      <c r="G198" s="47" t="s">
        <v>158</v>
      </c>
      <c r="H198" s="24" t="s">
        <v>1357</v>
      </c>
      <c r="I198" s="15">
        <v>10</v>
      </c>
      <c r="J198" s="24" t="s">
        <v>3</v>
      </c>
      <c r="K198" s="35">
        <v>24000</v>
      </c>
      <c r="L198" s="17">
        <f t="shared" si="34"/>
        <v>240000</v>
      </c>
      <c r="M198" s="160">
        <v>0.34177083333333336</v>
      </c>
      <c r="N198" s="162">
        <f t="shared" si="35"/>
        <v>8202.5</v>
      </c>
      <c r="O198" s="160">
        <v>23.939991666666668</v>
      </c>
      <c r="P198" s="162">
        <f t="shared" si="36"/>
        <v>574559.80000000005</v>
      </c>
      <c r="Q198" s="24" t="s">
        <v>271</v>
      </c>
    </row>
    <row r="199" spans="2:17" x14ac:dyDescent="0.2">
      <c r="B199" s="15">
        <v>186</v>
      </c>
      <c r="C199" s="23" t="s">
        <v>1150</v>
      </c>
      <c r="D199" s="106">
        <v>5501217</v>
      </c>
      <c r="E199" s="24" t="s">
        <v>286</v>
      </c>
      <c r="F199" s="29" t="s">
        <v>425</v>
      </c>
      <c r="G199" s="47" t="s">
        <v>158</v>
      </c>
      <c r="H199" s="24" t="s">
        <v>1358</v>
      </c>
      <c r="I199" s="15">
        <v>10</v>
      </c>
      <c r="J199" s="24" t="s">
        <v>3</v>
      </c>
      <c r="K199" s="35">
        <v>24000</v>
      </c>
      <c r="L199" s="17">
        <f t="shared" si="34"/>
        <v>240000</v>
      </c>
      <c r="M199" s="160">
        <v>0.61062499999999997</v>
      </c>
      <c r="N199" s="162">
        <f t="shared" si="35"/>
        <v>14655</v>
      </c>
      <c r="O199" s="160">
        <v>23.94</v>
      </c>
      <c r="P199" s="162">
        <f t="shared" si="36"/>
        <v>574560</v>
      </c>
      <c r="Q199" s="24" t="s">
        <v>271</v>
      </c>
    </row>
    <row r="200" spans="2:17" x14ac:dyDescent="0.2">
      <c r="B200" s="15">
        <v>187</v>
      </c>
      <c r="C200" s="23" t="s">
        <v>1151</v>
      </c>
      <c r="D200" s="106">
        <v>5000679</v>
      </c>
      <c r="E200" s="24" t="s">
        <v>18</v>
      </c>
      <c r="F200" s="29" t="s">
        <v>424</v>
      </c>
      <c r="G200" s="47" t="s">
        <v>158</v>
      </c>
      <c r="H200" s="24" t="s">
        <v>1359</v>
      </c>
      <c r="I200" s="15">
        <v>10</v>
      </c>
      <c r="J200" s="24" t="s">
        <v>3</v>
      </c>
      <c r="K200" s="35">
        <v>58960</v>
      </c>
      <c r="L200" s="17">
        <f t="shared" si="34"/>
        <v>589600</v>
      </c>
      <c r="M200" s="160">
        <v>0.61</v>
      </c>
      <c r="N200" s="162">
        <f t="shared" si="35"/>
        <v>35965.599999999999</v>
      </c>
      <c r="O200" s="160">
        <v>185.28630894549764</v>
      </c>
      <c r="P200" s="162">
        <f t="shared" si="36"/>
        <v>10924480.775426541</v>
      </c>
      <c r="Q200" s="24" t="s">
        <v>278</v>
      </c>
    </row>
    <row r="201" spans="2:17" x14ac:dyDescent="0.2">
      <c r="B201" s="15">
        <v>188</v>
      </c>
      <c r="C201" s="23" t="s">
        <v>1150</v>
      </c>
      <c r="D201" s="106">
        <v>5500789</v>
      </c>
      <c r="E201" s="24" t="s">
        <v>1211</v>
      </c>
      <c r="F201" s="29" t="s">
        <v>425</v>
      </c>
      <c r="G201" s="47" t="s">
        <v>158</v>
      </c>
      <c r="H201" s="24" t="s">
        <v>1365</v>
      </c>
      <c r="I201" s="15">
        <v>20</v>
      </c>
      <c r="J201" s="24" t="s">
        <v>3</v>
      </c>
      <c r="K201" s="35">
        <v>19360</v>
      </c>
      <c r="L201" s="17">
        <f t="shared" si="34"/>
        <v>387200</v>
      </c>
      <c r="M201" s="160">
        <v>0.47489999999999999</v>
      </c>
      <c r="N201" s="162">
        <f t="shared" si="35"/>
        <v>9194.0640000000003</v>
      </c>
      <c r="O201" s="160">
        <v>113.7916923076923</v>
      </c>
      <c r="P201" s="162">
        <f t="shared" si="36"/>
        <v>2203007.1630769228</v>
      </c>
      <c r="Q201" s="24" t="s">
        <v>271</v>
      </c>
    </row>
    <row r="202" spans="2:17" x14ac:dyDescent="0.2">
      <c r="B202" s="15">
        <v>189</v>
      </c>
      <c r="C202" s="23" t="s">
        <v>1150</v>
      </c>
      <c r="D202" s="106">
        <v>5501215</v>
      </c>
      <c r="E202" s="24" t="s">
        <v>1212</v>
      </c>
      <c r="F202" s="29" t="s">
        <v>425</v>
      </c>
      <c r="G202" s="47" t="s">
        <v>158</v>
      </c>
      <c r="H202" s="24" t="s">
        <v>1366</v>
      </c>
      <c r="I202" s="15">
        <v>10</v>
      </c>
      <c r="J202" s="24" t="s">
        <v>3</v>
      </c>
      <c r="K202" s="35">
        <v>28770</v>
      </c>
      <c r="L202" s="17">
        <f t="shared" si="34"/>
        <v>287700</v>
      </c>
      <c r="M202" s="160">
        <v>0.61062499999999997</v>
      </c>
      <c r="N202" s="162">
        <f t="shared" si="35"/>
        <v>17567.681249999998</v>
      </c>
      <c r="O202" s="160">
        <v>23.790003475842894</v>
      </c>
      <c r="P202" s="162">
        <f t="shared" si="36"/>
        <v>684438.4</v>
      </c>
      <c r="Q202" s="24" t="s">
        <v>271</v>
      </c>
    </row>
    <row r="203" spans="2:17" x14ac:dyDescent="0.2">
      <c r="B203" s="15">
        <v>190</v>
      </c>
      <c r="C203" s="23" t="s">
        <v>1150</v>
      </c>
      <c r="D203" s="106">
        <v>5501218</v>
      </c>
      <c r="E203" s="24" t="s">
        <v>1213</v>
      </c>
      <c r="F203" s="29" t="s">
        <v>425</v>
      </c>
      <c r="G203" s="47" t="s">
        <v>158</v>
      </c>
      <c r="H203" s="24" t="s">
        <v>1367</v>
      </c>
      <c r="I203" s="15">
        <v>10</v>
      </c>
      <c r="J203" s="24" t="s">
        <v>3</v>
      </c>
      <c r="K203" s="35">
        <v>18960</v>
      </c>
      <c r="L203" s="17">
        <f t="shared" si="34"/>
        <v>189600</v>
      </c>
      <c r="M203" s="160">
        <v>0.61062499999999997</v>
      </c>
      <c r="N203" s="162">
        <f t="shared" si="35"/>
        <v>11577.449999999999</v>
      </c>
      <c r="O203" s="160">
        <v>23.789978902953585</v>
      </c>
      <c r="P203" s="162">
        <f t="shared" si="36"/>
        <v>451058</v>
      </c>
      <c r="Q203" s="24" t="s">
        <v>271</v>
      </c>
    </row>
    <row r="204" spans="2:17" x14ac:dyDescent="0.2">
      <c r="B204" s="15">
        <v>191</v>
      </c>
      <c r="C204" s="23" t="s">
        <v>1155</v>
      </c>
      <c r="D204" s="106">
        <v>5005276</v>
      </c>
      <c r="E204" s="24" t="s">
        <v>1214</v>
      </c>
      <c r="F204" s="29" t="s">
        <v>424</v>
      </c>
      <c r="G204" s="47" t="s">
        <v>158</v>
      </c>
      <c r="H204" s="24" t="s">
        <v>1369</v>
      </c>
      <c r="I204" s="15">
        <v>10</v>
      </c>
      <c r="J204" s="24" t="s">
        <v>3</v>
      </c>
      <c r="K204" s="35">
        <v>58860</v>
      </c>
      <c r="L204" s="17">
        <f t="shared" si="34"/>
        <v>588600</v>
      </c>
      <c r="M204" s="160">
        <v>0.49708333333333332</v>
      </c>
      <c r="N204" s="162">
        <f t="shared" si="35"/>
        <v>29258.325000000001</v>
      </c>
      <c r="O204" s="160">
        <v>23.668499999999998</v>
      </c>
      <c r="P204" s="162">
        <f t="shared" si="36"/>
        <v>1393127.91</v>
      </c>
      <c r="Q204" s="24" t="s">
        <v>270</v>
      </c>
    </row>
    <row r="205" spans="2:17" x14ac:dyDescent="0.2">
      <c r="B205" s="15">
        <v>192</v>
      </c>
      <c r="C205" s="23" t="s">
        <v>1151</v>
      </c>
      <c r="D205" s="106">
        <v>5000679</v>
      </c>
      <c r="E205" s="24" t="s">
        <v>18</v>
      </c>
      <c r="F205" s="29" t="s">
        <v>424</v>
      </c>
      <c r="G205" s="47" t="s">
        <v>158</v>
      </c>
      <c r="H205" s="24" t="s">
        <v>1372</v>
      </c>
      <c r="I205" s="15">
        <v>10</v>
      </c>
      <c r="J205" s="24" t="s">
        <v>3</v>
      </c>
      <c r="K205" s="35">
        <v>58840</v>
      </c>
      <c r="L205" s="17">
        <f t="shared" si="34"/>
        <v>588400</v>
      </c>
      <c r="M205" s="160">
        <v>0.61</v>
      </c>
      <c r="N205" s="162">
        <f t="shared" si="35"/>
        <v>35892.400000000001</v>
      </c>
      <c r="O205" s="160">
        <v>185.28630894549764</v>
      </c>
      <c r="P205" s="162">
        <f t="shared" si="36"/>
        <v>10902246.418353081</v>
      </c>
      <c r="Q205" s="24" t="s">
        <v>278</v>
      </c>
    </row>
    <row r="206" spans="2:17" x14ac:dyDescent="0.2">
      <c r="B206" s="15">
        <v>193</v>
      </c>
      <c r="C206" s="23" t="s">
        <v>1151</v>
      </c>
      <c r="D206" s="106">
        <v>5002687</v>
      </c>
      <c r="E206" s="24" t="s">
        <v>1216</v>
      </c>
      <c r="F206" s="29" t="s">
        <v>424</v>
      </c>
      <c r="G206" s="47" t="s">
        <v>158</v>
      </c>
      <c r="H206" s="24" t="s">
        <v>1374</v>
      </c>
      <c r="I206" s="15">
        <v>10</v>
      </c>
      <c r="J206" s="24" t="s">
        <v>3</v>
      </c>
      <c r="K206" s="35">
        <v>720</v>
      </c>
      <c r="L206" s="17">
        <f t="shared" si="34"/>
        <v>7200</v>
      </c>
      <c r="M206" s="160">
        <v>0.34177083333333336</v>
      </c>
      <c r="N206" s="162">
        <f t="shared" si="35"/>
        <v>246.07500000000002</v>
      </c>
      <c r="O206" s="160">
        <v>244.97834999999998</v>
      </c>
      <c r="P206" s="162">
        <f t="shared" si="36"/>
        <v>176384.41199999998</v>
      </c>
      <c r="Q206" s="24" t="s">
        <v>278</v>
      </c>
    </row>
    <row r="207" spans="2:17" x14ac:dyDescent="0.2">
      <c r="B207" s="15">
        <v>194</v>
      </c>
      <c r="C207" s="23" t="s">
        <v>1151</v>
      </c>
      <c r="D207" s="106">
        <v>5002687</v>
      </c>
      <c r="E207" s="24" t="s">
        <v>1216</v>
      </c>
      <c r="F207" s="29" t="s">
        <v>424</v>
      </c>
      <c r="G207" s="47" t="s">
        <v>158</v>
      </c>
      <c r="H207" s="24" t="s">
        <v>1374</v>
      </c>
      <c r="I207" s="15">
        <v>10</v>
      </c>
      <c r="J207" s="24" t="s">
        <v>3</v>
      </c>
      <c r="K207" s="35">
        <v>2820</v>
      </c>
      <c r="L207" s="17">
        <f t="shared" si="34"/>
        <v>28200</v>
      </c>
      <c r="M207" s="160">
        <v>0.34177083333333336</v>
      </c>
      <c r="N207" s="162">
        <f t="shared" si="35"/>
        <v>963.79375000000005</v>
      </c>
      <c r="O207" s="160">
        <v>244.97834999999998</v>
      </c>
      <c r="P207" s="162">
        <f t="shared" si="36"/>
        <v>690838.94699999993</v>
      </c>
      <c r="Q207" s="24" t="s">
        <v>278</v>
      </c>
    </row>
    <row r="208" spans="2:17" x14ac:dyDescent="0.2">
      <c r="B208" s="15">
        <v>195</v>
      </c>
      <c r="C208" s="23" t="s">
        <v>1151</v>
      </c>
      <c r="D208" s="106">
        <v>5002688</v>
      </c>
      <c r="E208" s="24" t="s">
        <v>1217</v>
      </c>
      <c r="F208" s="29" t="s">
        <v>424</v>
      </c>
      <c r="G208" s="47" t="s">
        <v>158</v>
      </c>
      <c r="H208" s="24" t="s">
        <v>1375</v>
      </c>
      <c r="I208" s="15">
        <v>10</v>
      </c>
      <c r="J208" s="24" t="s">
        <v>3</v>
      </c>
      <c r="K208" s="35">
        <v>7560</v>
      </c>
      <c r="L208" s="17">
        <f t="shared" si="34"/>
        <v>75600</v>
      </c>
      <c r="M208" s="160">
        <v>0.40052083333333333</v>
      </c>
      <c r="N208" s="162">
        <f t="shared" si="35"/>
        <v>3027.9375</v>
      </c>
      <c r="O208" s="160">
        <v>306.43339999999995</v>
      </c>
      <c r="P208" s="162">
        <f t="shared" si="36"/>
        <v>2316636.5039999997</v>
      </c>
      <c r="Q208" s="24" t="s">
        <v>278</v>
      </c>
    </row>
    <row r="209" spans="2:17" x14ac:dyDescent="0.2">
      <c r="B209" s="15">
        <v>196</v>
      </c>
      <c r="C209" s="23" t="s">
        <v>1151</v>
      </c>
      <c r="D209" s="106">
        <v>5002688</v>
      </c>
      <c r="E209" s="24" t="s">
        <v>1217</v>
      </c>
      <c r="F209" s="29" t="s">
        <v>424</v>
      </c>
      <c r="G209" s="47" t="s">
        <v>158</v>
      </c>
      <c r="H209" s="24" t="s">
        <v>1375</v>
      </c>
      <c r="I209" s="15">
        <v>10</v>
      </c>
      <c r="J209" s="24" t="s">
        <v>3</v>
      </c>
      <c r="K209" s="35">
        <v>720</v>
      </c>
      <c r="L209" s="17">
        <f t="shared" si="34"/>
        <v>7200</v>
      </c>
      <c r="M209" s="160">
        <v>0.40052083333333333</v>
      </c>
      <c r="N209" s="162">
        <f t="shared" si="35"/>
        <v>288.375</v>
      </c>
      <c r="O209" s="160">
        <v>306.43339999999995</v>
      </c>
      <c r="P209" s="162">
        <f t="shared" si="36"/>
        <v>220632.04799999995</v>
      </c>
      <c r="Q209" s="24" t="s">
        <v>278</v>
      </c>
    </row>
    <row r="210" spans="2:17" x14ac:dyDescent="0.2">
      <c r="B210" s="15">
        <v>197</v>
      </c>
      <c r="C210" s="23" t="s">
        <v>1151</v>
      </c>
      <c r="D210" s="106">
        <v>8001372</v>
      </c>
      <c r="E210" s="24" t="s">
        <v>1220</v>
      </c>
      <c r="F210" s="29" t="s">
        <v>424</v>
      </c>
      <c r="G210" s="47" t="s">
        <v>158</v>
      </c>
      <c r="H210" s="24" t="s">
        <v>1374</v>
      </c>
      <c r="I210" s="15">
        <v>10</v>
      </c>
      <c r="J210" s="24" t="s">
        <v>3</v>
      </c>
      <c r="K210" s="35">
        <v>936</v>
      </c>
      <c r="L210" s="17">
        <f t="shared" si="34"/>
        <v>9360</v>
      </c>
      <c r="M210" s="160">
        <v>0.34177083333333336</v>
      </c>
      <c r="N210" s="162">
        <f t="shared" si="35"/>
        <v>319.89750000000004</v>
      </c>
      <c r="O210" s="160">
        <v>81.659449999999993</v>
      </c>
      <c r="P210" s="162">
        <f t="shared" si="36"/>
        <v>76433.24519999999</v>
      </c>
      <c r="Q210" s="24" t="s">
        <v>278</v>
      </c>
    </row>
    <row r="211" spans="2:17" x14ac:dyDescent="0.2">
      <c r="B211" s="15">
        <v>198</v>
      </c>
      <c r="C211" s="23" t="s">
        <v>1151</v>
      </c>
      <c r="D211" s="106">
        <v>8001373</v>
      </c>
      <c r="E211" s="24" t="s">
        <v>1221</v>
      </c>
      <c r="F211" s="29" t="s">
        <v>424</v>
      </c>
      <c r="G211" s="47" t="s">
        <v>158</v>
      </c>
      <c r="H211" s="24" t="s">
        <v>1375</v>
      </c>
      <c r="I211" s="15">
        <v>10</v>
      </c>
      <c r="J211" s="24" t="s">
        <v>3</v>
      </c>
      <c r="K211" s="35">
        <v>920</v>
      </c>
      <c r="L211" s="17">
        <f t="shared" si="34"/>
        <v>9200</v>
      </c>
      <c r="M211" s="160">
        <v>0.40052083333333333</v>
      </c>
      <c r="N211" s="162">
        <f t="shared" si="35"/>
        <v>368.47916666666669</v>
      </c>
      <c r="O211" s="160">
        <v>102.14446666666666</v>
      </c>
      <c r="P211" s="162">
        <f t="shared" si="36"/>
        <v>93972.909333333329</v>
      </c>
      <c r="Q211" s="24" t="s">
        <v>278</v>
      </c>
    </row>
    <row r="212" spans="2:17" x14ac:dyDescent="0.2">
      <c r="B212" s="15">
        <v>199</v>
      </c>
      <c r="C212" s="23" t="s">
        <v>1168</v>
      </c>
      <c r="D212" s="106">
        <v>5001150</v>
      </c>
      <c r="E212" s="24" t="s">
        <v>1223</v>
      </c>
      <c r="F212" s="29" t="s">
        <v>424</v>
      </c>
      <c r="G212" s="47" t="s">
        <v>158</v>
      </c>
      <c r="H212" s="24" t="s">
        <v>1383</v>
      </c>
      <c r="I212" s="15">
        <v>10</v>
      </c>
      <c r="J212" s="24" t="s">
        <v>3</v>
      </c>
      <c r="K212" s="35">
        <v>39168</v>
      </c>
      <c r="L212" s="17">
        <f t="shared" si="34"/>
        <v>391680</v>
      </c>
      <c r="M212" s="160">
        <v>0.3</v>
      </c>
      <c r="N212" s="162">
        <f t="shared" si="35"/>
        <v>11750.4</v>
      </c>
      <c r="O212" s="160">
        <v>117.57838333333332</v>
      </c>
      <c r="P212" s="162">
        <f t="shared" si="36"/>
        <v>4605310.1183999991</v>
      </c>
      <c r="Q212" s="24" t="s">
        <v>346</v>
      </c>
    </row>
    <row r="213" spans="2:17" x14ac:dyDescent="0.2">
      <c r="B213" s="89"/>
      <c r="C213" s="89"/>
      <c r="D213" s="89"/>
      <c r="E213" s="90"/>
      <c r="F213" s="102"/>
      <c r="G213" s="102"/>
      <c r="H213" s="90"/>
      <c r="I213" s="89"/>
      <c r="J213" s="89"/>
      <c r="K213" s="87">
        <f>SUM(K171:K212)</f>
        <v>1411544</v>
      </c>
      <c r="L213" s="87">
        <f>SUM(L171:L212)</f>
        <v>13738720</v>
      </c>
      <c r="M213" s="161"/>
      <c r="N213" s="163">
        <f t="shared" ref="N213:P213" si="37">SUM(N171:N212)</f>
        <v>698719.23483333306</v>
      </c>
      <c r="O213" s="161"/>
      <c r="P213" s="163">
        <f t="shared" si="37"/>
        <v>90001449.786659062</v>
      </c>
      <c r="Q213" s="90"/>
    </row>
    <row r="215" spans="2:17" x14ac:dyDescent="0.2">
      <c r="J215" s="67" t="s">
        <v>197</v>
      </c>
      <c r="K215" s="68">
        <f>K213+K170+K143+K132+K107+K100+K97+K51+K25+K8</f>
        <v>4286481</v>
      </c>
      <c r="L215" s="68">
        <f>L213+L170+L143+L132+L107+L100+L97+L51+L25+L8</f>
        <v>17710857</v>
      </c>
      <c r="M215" s="137"/>
      <c r="N215" s="143">
        <f t="shared" ref="N215:P215" si="38">N213+N170+N143+N132+N107+N100+N97+N51+N25+N8</f>
        <v>5042246.430476862</v>
      </c>
      <c r="O215" s="137"/>
      <c r="P215" s="143">
        <f t="shared" si="38"/>
        <v>422196335.66859859</v>
      </c>
    </row>
  </sheetData>
  <autoFilter ref="B4:P218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2:P78"/>
  <sheetViews>
    <sheetView workbookViewId="0">
      <selection activeCell="C5" sqref="C5"/>
    </sheetView>
  </sheetViews>
  <sheetFormatPr defaultRowHeight="12" x14ac:dyDescent="0.2"/>
  <cols>
    <col min="1" max="1" width="3.28515625" style="49" customWidth="1"/>
    <col min="2" max="2" width="7.42578125" style="51" customWidth="1"/>
    <col min="3" max="3" width="5" style="49" bestFit="1" customWidth="1"/>
    <col min="4" max="4" width="10.7109375" style="49" bestFit="1" customWidth="1"/>
    <col min="5" max="5" width="37.7109375" style="49" bestFit="1" customWidth="1"/>
    <col min="6" max="6" width="13.28515625" style="49" customWidth="1"/>
    <col min="7" max="7" width="14" style="114" bestFit="1" customWidth="1"/>
    <col min="8" max="8" width="10.42578125" style="49" bestFit="1" customWidth="1"/>
    <col min="9" max="9" width="7.42578125" style="62" bestFit="1" customWidth="1"/>
    <col min="10" max="10" width="7.42578125" style="62" customWidth="1"/>
    <col min="11" max="11" width="15.7109375" style="62" bestFit="1" customWidth="1"/>
    <col min="12" max="12" width="12" style="62" bestFit="1" customWidth="1"/>
    <col min="13" max="14" width="12" style="62" customWidth="1"/>
    <col min="15" max="15" width="12.140625" style="164" bestFit="1" customWidth="1"/>
    <col min="16" max="16" width="14.42578125" style="168" bestFit="1" customWidth="1"/>
    <col min="17" max="16384" width="9.140625" style="50"/>
  </cols>
  <sheetData>
    <row r="2" spans="2:16" x14ac:dyDescent="0.2">
      <c r="B2" s="18" t="s">
        <v>178</v>
      </c>
    </row>
    <row r="3" spans="2:16" x14ac:dyDescent="0.2">
      <c r="B3" s="18" t="s">
        <v>428</v>
      </c>
    </row>
    <row r="4" spans="2:16" x14ac:dyDescent="0.2">
      <c r="B4" s="32" t="s">
        <v>168</v>
      </c>
      <c r="C4" s="32" t="s">
        <v>196</v>
      </c>
      <c r="D4" s="32" t="s">
        <v>118</v>
      </c>
      <c r="E4" s="20" t="s">
        <v>115</v>
      </c>
      <c r="F4" s="20"/>
      <c r="G4" s="20" t="s">
        <v>119</v>
      </c>
      <c r="H4" s="19" t="s">
        <v>297</v>
      </c>
      <c r="I4" s="20" t="s">
        <v>172</v>
      </c>
      <c r="J4" s="20"/>
      <c r="K4" s="42" t="s">
        <v>170</v>
      </c>
      <c r="L4" s="42" t="s">
        <v>173</v>
      </c>
      <c r="M4" s="42"/>
      <c r="N4" s="42"/>
      <c r="O4" s="130" t="s">
        <v>1488</v>
      </c>
      <c r="P4" s="131" t="s">
        <v>1482</v>
      </c>
    </row>
    <row r="5" spans="2:16" x14ac:dyDescent="0.2">
      <c r="B5" s="78">
        <v>1</v>
      </c>
      <c r="C5" s="79">
        <v>2020</v>
      </c>
      <c r="D5" s="79">
        <v>8200238</v>
      </c>
      <c r="E5" s="80" t="s">
        <v>1414</v>
      </c>
      <c r="F5" s="80"/>
      <c r="G5" s="80" t="s">
        <v>219</v>
      </c>
      <c r="H5" s="78" t="s">
        <v>1470</v>
      </c>
      <c r="I5" s="78">
        <v>1</v>
      </c>
      <c r="J5" s="78"/>
      <c r="K5" s="111">
        <v>60000</v>
      </c>
      <c r="L5" s="88">
        <f>K5*I5</f>
        <v>60000</v>
      </c>
      <c r="M5" s="88"/>
      <c r="N5" s="88"/>
      <c r="O5" s="165">
        <v>46.021133333333324</v>
      </c>
      <c r="P5" s="169">
        <f>+K5*O5</f>
        <v>2761267.9999999995</v>
      </c>
    </row>
    <row r="6" spans="2:16" x14ac:dyDescent="0.2">
      <c r="B6" s="81"/>
      <c r="C6" s="82"/>
      <c r="D6" s="82"/>
      <c r="E6" s="83"/>
      <c r="F6" s="83"/>
      <c r="G6" s="83"/>
      <c r="H6" s="81"/>
      <c r="I6" s="81"/>
      <c r="J6" s="81"/>
      <c r="K6" s="112">
        <f>SUM(K5)</f>
        <v>60000</v>
      </c>
      <c r="L6" s="112">
        <f>SUM(L5)</f>
        <v>60000</v>
      </c>
      <c r="M6" s="112"/>
      <c r="N6" s="112"/>
      <c r="O6" s="166"/>
      <c r="P6" s="170">
        <f t="shared" ref="P6" si="0">SUM(P5)</f>
        <v>2761267.9999999995</v>
      </c>
    </row>
    <row r="7" spans="2:16" x14ac:dyDescent="0.2">
      <c r="B7" s="78">
        <v>2</v>
      </c>
      <c r="C7" s="79">
        <v>2030</v>
      </c>
      <c r="D7" s="79">
        <v>8202510</v>
      </c>
      <c r="E7" s="80" t="s">
        <v>1394</v>
      </c>
      <c r="F7" s="80"/>
      <c r="G7" s="80" t="s">
        <v>265</v>
      </c>
      <c r="H7" s="78" t="s">
        <v>1434</v>
      </c>
      <c r="I7" s="78">
        <v>10</v>
      </c>
      <c r="J7" s="78"/>
      <c r="K7" s="111">
        <v>18990</v>
      </c>
      <c r="L7" s="88">
        <f t="shared" ref="L7:L20" si="1">K7*I7</f>
        <v>189900</v>
      </c>
      <c r="M7" s="88"/>
      <c r="N7" s="88"/>
      <c r="O7" s="165">
        <v>238.47721639769114</v>
      </c>
      <c r="P7" s="169">
        <f t="shared" ref="P7:P20" si="2">+K7*O7</f>
        <v>4528682.3393921545</v>
      </c>
    </row>
    <row r="8" spans="2:16" x14ac:dyDescent="0.2">
      <c r="B8" s="78">
        <v>3</v>
      </c>
      <c r="C8" s="79">
        <v>2010</v>
      </c>
      <c r="D8" s="79">
        <v>8202741</v>
      </c>
      <c r="E8" s="80" t="s">
        <v>1395</v>
      </c>
      <c r="F8" s="80"/>
      <c r="G8" s="80" t="s">
        <v>265</v>
      </c>
      <c r="H8" s="78" t="s">
        <v>1435</v>
      </c>
      <c r="I8" s="78">
        <v>15</v>
      </c>
      <c r="J8" s="78"/>
      <c r="K8" s="111">
        <v>21600</v>
      </c>
      <c r="L8" s="88">
        <f t="shared" si="1"/>
        <v>324000</v>
      </c>
      <c r="M8" s="88"/>
      <c r="N8" s="88"/>
      <c r="O8" s="165">
        <v>48.508800000000001</v>
      </c>
      <c r="P8" s="169">
        <f t="shared" si="2"/>
        <v>1047790.0800000001</v>
      </c>
    </row>
    <row r="9" spans="2:16" x14ac:dyDescent="0.2">
      <c r="B9" s="78">
        <v>4</v>
      </c>
      <c r="C9" s="79">
        <v>2010</v>
      </c>
      <c r="D9" s="79">
        <v>8202742</v>
      </c>
      <c r="E9" s="80" t="s">
        <v>1396</v>
      </c>
      <c r="F9" s="80"/>
      <c r="G9" s="80" t="s">
        <v>265</v>
      </c>
      <c r="H9" s="78" t="s">
        <v>1436</v>
      </c>
      <c r="I9" s="78">
        <v>15</v>
      </c>
      <c r="J9" s="78"/>
      <c r="K9" s="111">
        <v>34470</v>
      </c>
      <c r="L9" s="88">
        <f t="shared" si="1"/>
        <v>517050</v>
      </c>
      <c r="M9" s="88"/>
      <c r="N9" s="88"/>
      <c r="O9" s="165">
        <v>64.8</v>
      </c>
      <c r="P9" s="169">
        <f t="shared" si="2"/>
        <v>2233656</v>
      </c>
    </row>
    <row r="10" spans="2:16" x14ac:dyDescent="0.2">
      <c r="B10" s="78">
        <v>5</v>
      </c>
      <c r="C10" s="79">
        <v>2010</v>
      </c>
      <c r="D10" s="79">
        <v>8202743</v>
      </c>
      <c r="E10" s="80" t="s">
        <v>1397</v>
      </c>
      <c r="F10" s="80"/>
      <c r="G10" s="80" t="s">
        <v>265</v>
      </c>
      <c r="H10" s="78" t="s">
        <v>1436</v>
      </c>
      <c r="I10" s="78">
        <v>2</v>
      </c>
      <c r="J10" s="78"/>
      <c r="K10" s="111">
        <v>8801</v>
      </c>
      <c r="L10" s="88">
        <f t="shared" si="1"/>
        <v>17602</v>
      </c>
      <c r="M10" s="88"/>
      <c r="N10" s="88"/>
      <c r="O10" s="165">
        <v>0</v>
      </c>
      <c r="P10" s="169">
        <f t="shared" si="2"/>
        <v>0</v>
      </c>
    </row>
    <row r="11" spans="2:16" x14ac:dyDescent="0.2">
      <c r="B11" s="78">
        <v>6</v>
      </c>
      <c r="C11" s="79">
        <v>2010</v>
      </c>
      <c r="D11" s="79">
        <v>8200217</v>
      </c>
      <c r="E11" s="80" t="s">
        <v>1398</v>
      </c>
      <c r="F11" s="80"/>
      <c r="G11" s="80" t="s">
        <v>265</v>
      </c>
      <c r="H11" s="78" t="s">
        <v>1437</v>
      </c>
      <c r="I11" s="78">
        <v>15</v>
      </c>
      <c r="J11" s="78"/>
      <c r="K11" s="113">
        <v>25900</v>
      </c>
      <c r="L11" s="88">
        <f t="shared" si="1"/>
        <v>388500</v>
      </c>
      <c r="M11" s="88"/>
      <c r="N11" s="88"/>
      <c r="O11" s="165">
        <v>60.109942528735758</v>
      </c>
      <c r="P11" s="169">
        <f t="shared" si="2"/>
        <v>1556847.5114942561</v>
      </c>
    </row>
    <row r="12" spans="2:16" x14ac:dyDescent="0.2">
      <c r="B12" s="78">
        <v>7</v>
      </c>
      <c r="C12" s="79">
        <v>2050</v>
      </c>
      <c r="D12" s="79">
        <v>8202350</v>
      </c>
      <c r="E12" s="80" t="s">
        <v>1399</v>
      </c>
      <c r="F12" s="80"/>
      <c r="G12" s="80" t="s">
        <v>265</v>
      </c>
      <c r="H12" s="78" t="s">
        <v>1438</v>
      </c>
      <c r="I12" s="78">
        <v>20</v>
      </c>
      <c r="J12" s="78"/>
      <c r="K12" s="111">
        <v>9720</v>
      </c>
      <c r="L12" s="88">
        <f t="shared" si="1"/>
        <v>194400</v>
      </c>
      <c r="M12" s="88"/>
      <c r="N12" s="88"/>
      <c r="O12" s="165">
        <v>170.35994295028487</v>
      </c>
      <c r="P12" s="169">
        <f t="shared" si="2"/>
        <v>1655898.645476769</v>
      </c>
    </row>
    <row r="13" spans="2:16" x14ac:dyDescent="0.2">
      <c r="B13" s="78">
        <v>8</v>
      </c>
      <c r="C13" s="79">
        <v>2030</v>
      </c>
      <c r="D13" s="79">
        <v>8200897</v>
      </c>
      <c r="E13" s="80" t="s">
        <v>1400</v>
      </c>
      <c r="F13" s="80"/>
      <c r="G13" s="80" t="s">
        <v>265</v>
      </c>
      <c r="H13" s="78" t="s">
        <v>1439</v>
      </c>
      <c r="I13" s="78">
        <v>15</v>
      </c>
      <c r="J13" s="78"/>
      <c r="K13" s="111">
        <v>26400</v>
      </c>
      <c r="L13" s="88">
        <f t="shared" si="1"/>
        <v>396000</v>
      </c>
      <c r="M13" s="88"/>
      <c r="N13" s="88"/>
      <c r="O13" s="165">
        <v>262.28949999999998</v>
      </c>
      <c r="P13" s="169">
        <f t="shared" si="2"/>
        <v>6924442.7999999998</v>
      </c>
    </row>
    <row r="14" spans="2:16" x14ac:dyDescent="0.2">
      <c r="B14" s="78">
        <v>9</v>
      </c>
      <c r="C14" s="79">
        <v>2030</v>
      </c>
      <c r="D14" s="79">
        <v>8200897</v>
      </c>
      <c r="E14" s="80" t="s">
        <v>1400</v>
      </c>
      <c r="F14" s="80"/>
      <c r="G14" s="80" t="s">
        <v>265</v>
      </c>
      <c r="H14" s="78" t="s">
        <v>1440</v>
      </c>
      <c r="I14" s="78">
        <v>15</v>
      </c>
      <c r="J14" s="78"/>
      <c r="K14" s="111">
        <v>26440</v>
      </c>
      <c r="L14" s="88">
        <f t="shared" si="1"/>
        <v>396600</v>
      </c>
      <c r="M14" s="88"/>
      <c r="N14" s="88"/>
      <c r="O14" s="165">
        <v>262.28949999999998</v>
      </c>
      <c r="P14" s="169">
        <f t="shared" si="2"/>
        <v>6934934.379999999</v>
      </c>
    </row>
    <row r="15" spans="2:16" x14ac:dyDescent="0.2">
      <c r="B15" s="78">
        <v>10</v>
      </c>
      <c r="C15" s="79">
        <v>2010</v>
      </c>
      <c r="D15" s="79">
        <v>8201532</v>
      </c>
      <c r="E15" s="80" t="s">
        <v>258</v>
      </c>
      <c r="F15" s="80"/>
      <c r="G15" s="80" t="s">
        <v>265</v>
      </c>
      <c r="H15" s="78" t="s">
        <v>1441</v>
      </c>
      <c r="I15" s="78">
        <v>15</v>
      </c>
      <c r="J15" s="78"/>
      <c r="K15" s="113">
        <v>19800</v>
      </c>
      <c r="L15" s="88">
        <f t="shared" si="1"/>
        <v>297000</v>
      </c>
      <c r="M15" s="88"/>
      <c r="N15" s="88"/>
      <c r="O15" s="165">
        <v>117.45998629824157</v>
      </c>
      <c r="P15" s="169">
        <f t="shared" si="2"/>
        <v>2325707.7287051831</v>
      </c>
    </row>
    <row r="16" spans="2:16" x14ac:dyDescent="0.2">
      <c r="B16" s="78">
        <v>11</v>
      </c>
      <c r="C16" s="79">
        <v>2020</v>
      </c>
      <c r="D16" s="79">
        <v>8200261</v>
      </c>
      <c r="E16" s="80" t="s">
        <v>262</v>
      </c>
      <c r="F16" s="80"/>
      <c r="G16" s="80" t="s">
        <v>265</v>
      </c>
      <c r="H16" s="78" t="s">
        <v>1462</v>
      </c>
      <c r="I16" s="78">
        <v>10</v>
      </c>
      <c r="J16" s="78"/>
      <c r="K16" s="111">
        <v>88776</v>
      </c>
      <c r="L16" s="88">
        <f t="shared" si="1"/>
        <v>887760</v>
      </c>
      <c r="M16" s="88"/>
      <c r="N16" s="88"/>
      <c r="O16" s="165">
        <v>76.983333333333334</v>
      </c>
      <c r="P16" s="169">
        <f t="shared" si="2"/>
        <v>6834272.4000000004</v>
      </c>
    </row>
    <row r="17" spans="2:16" x14ac:dyDescent="0.2">
      <c r="B17" s="78">
        <v>12</v>
      </c>
      <c r="C17" s="79">
        <v>2020</v>
      </c>
      <c r="D17" s="79">
        <v>8200261</v>
      </c>
      <c r="E17" s="80" t="s">
        <v>262</v>
      </c>
      <c r="F17" s="80"/>
      <c r="G17" s="80" t="s">
        <v>265</v>
      </c>
      <c r="H17" s="78" t="s">
        <v>1463</v>
      </c>
      <c r="I17" s="78">
        <v>10</v>
      </c>
      <c r="J17" s="78"/>
      <c r="K17" s="111">
        <v>59616</v>
      </c>
      <c r="L17" s="88">
        <f t="shared" si="1"/>
        <v>596160</v>
      </c>
      <c r="M17" s="88"/>
      <c r="N17" s="88"/>
      <c r="O17" s="165">
        <v>76.983333333333334</v>
      </c>
      <c r="P17" s="169">
        <f t="shared" si="2"/>
        <v>4589438.4000000004</v>
      </c>
    </row>
    <row r="18" spans="2:16" x14ac:dyDescent="0.2">
      <c r="B18" s="78">
        <v>13</v>
      </c>
      <c r="C18" s="79">
        <v>2020</v>
      </c>
      <c r="D18" s="79">
        <v>8200940</v>
      </c>
      <c r="E18" s="80" t="s">
        <v>1412</v>
      </c>
      <c r="F18" s="80"/>
      <c r="G18" s="80" t="s">
        <v>265</v>
      </c>
      <c r="H18" s="78" t="s">
        <v>1464</v>
      </c>
      <c r="I18" s="78">
        <v>14</v>
      </c>
      <c r="J18" s="78"/>
      <c r="K18" s="111">
        <v>46480</v>
      </c>
      <c r="L18" s="88">
        <f t="shared" si="1"/>
        <v>650720</v>
      </c>
      <c r="M18" s="88"/>
      <c r="N18" s="88"/>
      <c r="O18" s="165">
        <v>146.76499999999999</v>
      </c>
      <c r="P18" s="169">
        <f t="shared" si="2"/>
        <v>6821637.1999999993</v>
      </c>
    </row>
    <row r="19" spans="2:16" x14ac:dyDescent="0.2">
      <c r="B19" s="78">
        <v>14</v>
      </c>
      <c r="C19" s="79">
        <v>2020</v>
      </c>
      <c r="D19" s="79">
        <v>8200940</v>
      </c>
      <c r="E19" s="80" t="s">
        <v>1412</v>
      </c>
      <c r="F19" s="80"/>
      <c r="G19" s="80" t="s">
        <v>265</v>
      </c>
      <c r="H19" s="78" t="s">
        <v>1465</v>
      </c>
      <c r="I19" s="78">
        <v>14</v>
      </c>
      <c r="J19" s="78"/>
      <c r="K19" s="111">
        <v>46560</v>
      </c>
      <c r="L19" s="88">
        <f t="shared" si="1"/>
        <v>651840</v>
      </c>
      <c r="M19" s="88"/>
      <c r="N19" s="88"/>
      <c r="O19" s="165">
        <v>146.76499999999999</v>
      </c>
      <c r="P19" s="169">
        <f t="shared" si="2"/>
        <v>6833378.3999999994</v>
      </c>
    </row>
    <row r="20" spans="2:16" x14ac:dyDescent="0.2">
      <c r="B20" s="78">
        <v>15</v>
      </c>
      <c r="C20" s="79">
        <v>2020</v>
      </c>
      <c r="D20" s="79">
        <v>8200940</v>
      </c>
      <c r="E20" s="80" t="s">
        <v>1412</v>
      </c>
      <c r="F20" s="80"/>
      <c r="G20" s="80" t="s">
        <v>265</v>
      </c>
      <c r="H20" s="78" t="s">
        <v>1466</v>
      </c>
      <c r="I20" s="78">
        <v>14</v>
      </c>
      <c r="J20" s="78"/>
      <c r="K20" s="111">
        <v>46560</v>
      </c>
      <c r="L20" s="88">
        <f t="shared" si="1"/>
        <v>651840</v>
      </c>
      <c r="M20" s="88"/>
      <c r="N20" s="88"/>
      <c r="O20" s="165">
        <v>146.76499999999999</v>
      </c>
      <c r="P20" s="169">
        <f t="shared" si="2"/>
        <v>6833378.3999999994</v>
      </c>
    </row>
    <row r="21" spans="2:16" x14ac:dyDescent="0.2">
      <c r="B21" s="81"/>
      <c r="C21" s="82"/>
      <c r="D21" s="82"/>
      <c r="E21" s="83"/>
      <c r="F21" s="83"/>
      <c r="G21" s="83"/>
      <c r="H21" s="81"/>
      <c r="I21" s="81"/>
      <c r="J21" s="81"/>
      <c r="K21" s="112">
        <f>SUM(K7:K20)</f>
        <v>480113</v>
      </c>
      <c r="L21" s="112">
        <f>SUM(L7:L20)</f>
        <v>6159372</v>
      </c>
      <c r="M21" s="112"/>
      <c r="N21" s="112"/>
      <c r="O21" s="166"/>
      <c r="P21" s="170">
        <f t="shared" ref="P21" si="3">SUM(P7:P20)</f>
        <v>59120064.285068363</v>
      </c>
    </row>
    <row r="22" spans="2:16" x14ac:dyDescent="0.2">
      <c r="B22" s="78">
        <v>16</v>
      </c>
      <c r="C22" s="79">
        <v>2030</v>
      </c>
      <c r="D22" s="79">
        <v>8201501</v>
      </c>
      <c r="E22" s="80" t="s">
        <v>341</v>
      </c>
      <c r="F22" s="80"/>
      <c r="G22" s="80" t="s">
        <v>269</v>
      </c>
      <c r="H22" s="78" t="s">
        <v>1442</v>
      </c>
      <c r="I22" s="78">
        <v>1</v>
      </c>
      <c r="J22" s="78"/>
      <c r="K22" s="111">
        <v>16125</v>
      </c>
      <c r="L22" s="88">
        <f>K22*I22</f>
        <v>16125</v>
      </c>
      <c r="M22" s="88"/>
      <c r="N22" s="88"/>
      <c r="O22" s="165">
        <v>124.71035330261147</v>
      </c>
      <c r="P22" s="169">
        <f t="shared" ref="P22:P26" si="4">+K22*O22</f>
        <v>2010954.44700461</v>
      </c>
    </row>
    <row r="23" spans="2:16" x14ac:dyDescent="0.2">
      <c r="B23" s="78">
        <v>17</v>
      </c>
      <c r="C23" s="79">
        <v>2030</v>
      </c>
      <c r="D23" s="79">
        <v>8201502</v>
      </c>
      <c r="E23" s="80" t="s">
        <v>1401</v>
      </c>
      <c r="F23" s="80"/>
      <c r="G23" s="80" t="s">
        <v>269</v>
      </c>
      <c r="H23" s="78" t="s">
        <v>1443</v>
      </c>
      <c r="I23" s="78">
        <v>1</v>
      </c>
      <c r="J23" s="78"/>
      <c r="K23" s="111">
        <v>28800</v>
      </c>
      <c r="L23" s="88">
        <f>K23*I23</f>
        <v>28800</v>
      </c>
      <c r="M23" s="88"/>
      <c r="N23" s="88"/>
      <c r="O23" s="165">
        <v>0</v>
      </c>
      <c r="P23" s="169">
        <f t="shared" si="4"/>
        <v>0</v>
      </c>
    </row>
    <row r="24" spans="2:16" x14ac:dyDescent="0.2">
      <c r="B24" s="78">
        <v>18</v>
      </c>
      <c r="C24" s="79">
        <v>2030</v>
      </c>
      <c r="D24" s="79">
        <v>8201640</v>
      </c>
      <c r="E24" s="80" t="s">
        <v>259</v>
      </c>
      <c r="F24" s="80"/>
      <c r="G24" s="80" t="s">
        <v>269</v>
      </c>
      <c r="H24" s="78" t="s">
        <v>1444</v>
      </c>
      <c r="I24" s="78">
        <v>1</v>
      </c>
      <c r="J24" s="78"/>
      <c r="K24" s="111">
        <v>4800</v>
      </c>
      <c r="L24" s="88">
        <f>K24*I24</f>
        <v>4800</v>
      </c>
      <c r="M24" s="88"/>
      <c r="N24" s="88"/>
      <c r="O24" s="165">
        <v>165.21315789473684</v>
      </c>
      <c r="P24" s="169">
        <f t="shared" si="4"/>
        <v>793023.15789473685</v>
      </c>
    </row>
    <row r="25" spans="2:16" x14ac:dyDescent="0.2">
      <c r="B25" s="78">
        <v>19</v>
      </c>
      <c r="C25" s="79">
        <v>2030</v>
      </c>
      <c r="D25" s="79">
        <v>8202679</v>
      </c>
      <c r="E25" s="80" t="s">
        <v>1402</v>
      </c>
      <c r="F25" s="80"/>
      <c r="G25" s="80" t="s">
        <v>269</v>
      </c>
      <c r="H25" s="78" t="s">
        <v>1445</v>
      </c>
      <c r="I25" s="78">
        <v>1</v>
      </c>
      <c r="J25" s="78"/>
      <c r="K25" s="111">
        <v>4400</v>
      </c>
      <c r="L25" s="88">
        <f>K25*I25</f>
        <v>4400</v>
      </c>
      <c r="M25" s="88"/>
      <c r="N25" s="88"/>
      <c r="O25" s="165">
        <v>0</v>
      </c>
      <c r="P25" s="169">
        <f t="shared" si="4"/>
        <v>0</v>
      </c>
    </row>
    <row r="26" spans="2:16" x14ac:dyDescent="0.2">
      <c r="B26" s="78">
        <v>20</v>
      </c>
      <c r="C26" s="79">
        <v>2030</v>
      </c>
      <c r="D26" s="79">
        <v>8201630</v>
      </c>
      <c r="E26" s="80" t="s">
        <v>1403</v>
      </c>
      <c r="F26" s="80"/>
      <c r="G26" s="80" t="s">
        <v>269</v>
      </c>
      <c r="H26" s="78" t="s">
        <v>1446</v>
      </c>
      <c r="I26" s="78">
        <v>1</v>
      </c>
      <c r="J26" s="78"/>
      <c r="K26" s="111">
        <v>11600</v>
      </c>
      <c r="L26" s="88">
        <f>K26*I26</f>
        <v>11600</v>
      </c>
      <c r="M26" s="88"/>
      <c r="N26" s="88"/>
      <c r="O26" s="165">
        <v>421.02</v>
      </c>
      <c r="P26" s="169">
        <f t="shared" si="4"/>
        <v>4883832</v>
      </c>
    </row>
    <row r="27" spans="2:16" x14ac:dyDescent="0.2">
      <c r="B27" s="81"/>
      <c r="C27" s="82"/>
      <c r="D27" s="82"/>
      <c r="E27" s="83"/>
      <c r="F27" s="83"/>
      <c r="G27" s="83"/>
      <c r="H27" s="81"/>
      <c r="I27" s="81"/>
      <c r="J27" s="81"/>
      <c r="K27" s="112">
        <f>SUM(K22:K26)</f>
        <v>65725</v>
      </c>
      <c r="L27" s="112">
        <f>SUM(L22:L26)</f>
        <v>65725</v>
      </c>
      <c r="M27" s="112"/>
      <c r="N27" s="112"/>
      <c r="O27" s="166"/>
      <c r="P27" s="170">
        <f t="shared" ref="P27" si="5">SUM(P22:P26)</f>
        <v>7687809.6048993468</v>
      </c>
    </row>
    <row r="28" spans="2:16" x14ac:dyDescent="0.2">
      <c r="B28" s="78">
        <v>21</v>
      </c>
      <c r="C28" s="79">
        <v>2030</v>
      </c>
      <c r="D28" s="79">
        <v>8202673</v>
      </c>
      <c r="E28" s="80" t="s">
        <v>340</v>
      </c>
      <c r="F28" s="80"/>
      <c r="G28" s="80" t="s">
        <v>268</v>
      </c>
      <c r="H28" s="78" t="s">
        <v>1452</v>
      </c>
      <c r="I28" s="78">
        <v>1</v>
      </c>
      <c r="J28" s="78"/>
      <c r="K28" s="111">
        <v>14425</v>
      </c>
      <c r="L28" s="88">
        <f>K28*I28</f>
        <v>14425</v>
      </c>
      <c r="M28" s="88"/>
      <c r="N28" s="88"/>
      <c r="O28" s="165">
        <v>256.49974077766666</v>
      </c>
      <c r="P28" s="169">
        <f t="shared" ref="P28:P29" si="6">+K28*O28</f>
        <v>3700008.7607178413</v>
      </c>
    </row>
    <row r="29" spans="2:16" x14ac:dyDescent="0.2">
      <c r="B29" s="78">
        <v>22</v>
      </c>
      <c r="C29" s="79">
        <v>2020</v>
      </c>
      <c r="D29" s="79">
        <v>8201862</v>
      </c>
      <c r="E29" s="80" t="s">
        <v>1413</v>
      </c>
      <c r="F29" s="80"/>
      <c r="G29" s="80" t="s">
        <v>268</v>
      </c>
      <c r="H29" s="78" t="s">
        <v>1469</v>
      </c>
      <c r="I29" s="78">
        <v>1</v>
      </c>
      <c r="J29" s="78"/>
      <c r="K29" s="111">
        <v>1000</v>
      </c>
      <c r="L29" s="88">
        <f>K29*I29</f>
        <v>1000</v>
      </c>
      <c r="M29" s="88"/>
      <c r="N29" s="88"/>
      <c r="O29" s="165">
        <v>0</v>
      </c>
      <c r="P29" s="169">
        <f t="shared" si="6"/>
        <v>0</v>
      </c>
    </row>
    <row r="30" spans="2:16" x14ac:dyDescent="0.2">
      <c r="B30" s="81"/>
      <c r="C30" s="82"/>
      <c r="D30" s="82"/>
      <c r="E30" s="83"/>
      <c r="F30" s="83"/>
      <c r="G30" s="83"/>
      <c r="H30" s="81"/>
      <c r="I30" s="81"/>
      <c r="J30" s="81"/>
      <c r="K30" s="112">
        <f>SUM(K28:K29)</f>
        <v>15425</v>
      </c>
      <c r="L30" s="112">
        <f>SUM(L28:L29)</f>
        <v>15425</v>
      </c>
      <c r="M30" s="112"/>
      <c r="N30" s="112"/>
      <c r="O30" s="166"/>
      <c r="P30" s="170">
        <f t="shared" ref="P30" si="7">SUM(P28:P29)</f>
        <v>3700008.7607178413</v>
      </c>
    </row>
    <row r="31" spans="2:16" x14ac:dyDescent="0.2">
      <c r="B31" s="78">
        <v>23</v>
      </c>
      <c r="C31" s="79">
        <v>2030</v>
      </c>
      <c r="D31" s="79">
        <v>8202043</v>
      </c>
      <c r="E31" s="80" t="s">
        <v>260</v>
      </c>
      <c r="F31" s="80"/>
      <c r="G31" s="80" t="s">
        <v>344</v>
      </c>
      <c r="H31" s="78" t="s">
        <v>1453</v>
      </c>
      <c r="I31" s="78">
        <v>1</v>
      </c>
      <c r="J31" s="78"/>
      <c r="K31" s="113">
        <v>4716</v>
      </c>
      <c r="L31" s="88">
        <f>K31*I31</f>
        <v>4716</v>
      </c>
      <c r="M31" s="88"/>
      <c r="N31" s="88"/>
      <c r="O31" s="165">
        <v>295.92962962962963</v>
      </c>
      <c r="P31" s="169">
        <f t="shared" ref="P31:P33" si="8">+K31*O31</f>
        <v>1395604.1333333333</v>
      </c>
    </row>
    <row r="32" spans="2:16" x14ac:dyDescent="0.2">
      <c r="B32" s="78">
        <v>24</v>
      </c>
      <c r="C32" s="79">
        <v>2030</v>
      </c>
      <c r="D32" s="79">
        <v>8202043</v>
      </c>
      <c r="E32" s="80" t="s">
        <v>260</v>
      </c>
      <c r="F32" s="80"/>
      <c r="G32" s="80" t="s">
        <v>344</v>
      </c>
      <c r="H32" s="78" t="s">
        <v>1454</v>
      </c>
      <c r="I32" s="78">
        <v>1</v>
      </c>
      <c r="J32" s="78"/>
      <c r="K32" s="113">
        <v>4674</v>
      </c>
      <c r="L32" s="88">
        <f>K32*I32</f>
        <v>4674</v>
      </c>
      <c r="M32" s="88"/>
      <c r="N32" s="88"/>
      <c r="O32" s="165">
        <v>295.92962962962963</v>
      </c>
      <c r="P32" s="169">
        <f t="shared" si="8"/>
        <v>1383175.0888888889</v>
      </c>
    </row>
    <row r="33" spans="2:16" x14ac:dyDescent="0.2">
      <c r="B33" s="78">
        <v>25</v>
      </c>
      <c r="C33" s="79">
        <v>2030</v>
      </c>
      <c r="D33" s="79">
        <v>8202043</v>
      </c>
      <c r="E33" s="80" t="s">
        <v>260</v>
      </c>
      <c r="F33" s="80"/>
      <c r="G33" s="80" t="s">
        <v>344</v>
      </c>
      <c r="H33" s="78" t="s">
        <v>1455</v>
      </c>
      <c r="I33" s="78">
        <v>1</v>
      </c>
      <c r="J33" s="78"/>
      <c r="K33" s="111">
        <v>4728</v>
      </c>
      <c r="L33" s="88">
        <f>K33*I33</f>
        <v>4728</v>
      </c>
      <c r="M33" s="88"/>
      <c r="N33" s="88"/>
      <c r="O33" s="165">
        <v>295.92962962962963</v>
      </c>
      <c r="P33" s="169">
        <f t="shared" si="8"/>
        <v>1399155.2888888889</v>
      </c>
    </row>
    <row r="34" spans="2:16" x14ac:dyDescent="0.2">
      <c r="B34" s="81"/>
      <c r="C34" s="82"/>
      <c r="D34" s="82"/>
      <c r="E34" s="83"/>
      <c r="F34" s="83"/>
      <c r="G34" s="83"/>
      <c r="H34" s="81"/>
      <c r="I34" s="81"/>
      <c r="J34" s="81"/>
      <c r="K34" s="112">
        <f>SUM(K31:K33)</f>
        <v>14118</v>
      </c>
      <c r="L34" s="112">
        <f>SUM(L31:L33)</f>
        <v>14118</v>
      </c>
      <c r="M34" s="112"/>
      <c r="N34" s="112"/>
      <c r="O34" s="166"/>
      <c r="P34" s="170">
        <f t="shared" ref="P34" si="9">SUM(P31:P33)</f>
        <v>4177934.5111111109</v>
      </c>
    </row>
    <row r="35" spans="2:16" x14ac:dyDescent="0.2">
      <c r="B35" s="78">
        <v>26</v>
      </c>
      <c r="C35" s="79">
        <v>2030</v>
      </c>
      <c r="D35" s="79">
        <v>8202490</v>
      </c>
      <c r="E35" s="80" t="s">
        <v>1407</v>
      </c>
      <c r="F35" s="80"/>
      <c r="G35" s="80" t="s">
        <v>1471</v>
      </c>
      <c r="H35" s="78" t="s">
        <v>1456</v>
      </c>
      <c r="I35" s="78">
        <v>1</v>
      </c>
      <c r="J35" s="78"/>
      <c r="K35" s="111">
        <v>9463</v>
      </c>
      <c r="L35" s="88">
        <f>K35*I35</f>
        <v>9463</v>
      </c>
      <c r="M35" s="88"/>
      <c r="N35" s="88"/>
      <c r="O35" s="165">
        <v>127.92992332968235</v>
      </c>
      <c r="P35" s="169">
        <f t="shared" ref="P35:P36" si="10">+K35*O35</f>
        <v>1210600.8644687841</v>
      </c>
    </row>
    <row r="36" spans="2:16" x14ac:dyDescent="0.2">
      <c r="B36" s="78">
        <v>27</v>
      </c>
      <c r="C36" s="79">
        <v>2030</v>
      </c>
      <c r="D36" s="79">
        <v>8202491</v>
      </c>
      <c r="E36" s="80" t="s">
        <v>1408</v>
      </c>
      <c r="F36" s="80"/>
      <c r="G36" s="80" t="s">
        <v>1471</v>
      </c>
      <c r="H36" s="78" t="s">
        <v>1456</v>
      </c>
      <c r="I36" s="78">
        <v>1</v>
      </c>
      <c r="J36" s="78"/>
      <c r="K36" s="111">
        <v>8669</v>
      </c>
      <c r="L36" s="88">
        <f>K36*I36</f>
        <v>8669</v>
      </c>
      <c r="M36" s="88"/>
      <c r="N36" s="88"/>
      <c r="O36" s="165">
        <v>0</v>
      </c>
      <c r="P36" s="169">
        <f t="shared" si="10"/>
        <v>0</v>
      </c>
    </row>
    <row r="37" spans="2:16" x14ac:dyDescent="0.2">
      <c r="B37" s="81"/>
      <c r="C37" s="82"/>
      <c r="D37" s="82"/>
      <c r="E37" s="83"/>
      <c r="F37" s="83"/>
      <c r="G37" s="83"/>
      <c r="H37" s="81"/>
      <c r="I37" s="81"/>
      <c r="J37" s="81"/>
      <c r="K37" s="112">
        <f>SUM(K35:K36)</f>
        <v>18132</v>
      </c>
      <c r="L37" s="112">
        <f>SUM(L35:L36)</f>
        <v>18132</v>
      </c>
      <c r="M37" s="112"/>
      <c r="N37" s="112"/>
      <c r="O37" s="166"/>
      <c r="P37" s="170">
        <f t="shared" ref="P37" si="11">SUM(P35:P36)</f>
        <v>1210600.8644687841</v>
      </c>
    </row>
    <row r="38" spans="2:16" x14ac:dyDescent="0.2">
      <c r="B38" s="78">
        <v>28</v>
      </c>
      <c r="C38" s="79">
        <v>2010</v>
      </c>
      <c r="D38" s="79">
        <v>8201520</v>
      </c>
      <c r="E38" s="80" t="s">
        <v>1409</v>
      </c>
      <c r="F38" s="80"/>
      <c r="G38" s="80" t="s">
        <v>215</v>
      </c>
      <c r="H38" s="78" t="s">
        <v>1457</v>
      </c>
      <c r="I38" s="78">
        <v>10</v>
      </c>
      <c r="J38" s="78"/>
      <c r="K38" s="111">
        <v>55360</v>
      </c>
      <c r="L38" s="88">
        <f>K38*I38</f>
        <v>553600</v>
      </c>
      <c r="M38" s="88"/>
      <c r="N38" s="88"/>
      <c r="O38" s="165">
        <v>76.270183486238537</v>
      </c>
      <c r="P38" s="169">
        <f>+K38*O38</f>
        <v>4222317.3577981656</v>
      </c>
    </row>
    <row r="39" spans="2:16" x14ac:dyDescent="0.2">
      <c r="B39" s="81"/>
      <c r="C39" s="82"/>
      <c r="D39" s="82"/>
      <c r="E39" s="83"/>
      <c r="F39" s="83"/>
      <c r="G39" s="83"/>
      <c r="H39" s="81"/>
      <c r="I39" s="81"/>
      <c r="J39" s="81"/>
      <c r="K39" s="112">
        <f>SUM(K38)</f>
        <v>55360</v>
      </c>
      <c r="L39" s="112">
        <f>SUM(L38)</f>
        <v>553600</v>
      </c>
      <c r="M39" s="112"/>
      <c r="N39" s="112"/>
      <c r="O39" s="166"/>
      <c r="P39" s="170">
        <f t="shared" ref="P39" si="12">SUM(P38)</f>
        <v>4222317.3577981656</v>
      </c>
    </row>
    <row r="40" spans="2:16" x14ac:dyDescent="0.2">
      <c r="B40" s="78">
        <v>29</v>
      </c>
      <c r="C40" s="79">
        <v>2020</v>
      </c>
      <c r="D40" s="79">
        <v>8200266</v>
      </c>
      <c r="E40" s="80" t="s">
        <v>263</v>
      </c>
      <c r="F40" s="80"/>
      <c r="G40" s="80" t="s">
        <v>266</v>
      </c>
      <c r="H40" s="78" t="s">
        <v>1467</v>
      </c>
      <c r="I40" s="78">
        <v>1</v>
      </c>
      <c r="J40" s="78"/>
      <c r="K40" s="111">
        <v>48384</v>
      </c>
      <c r="L40" s="88">
        <f>K40*I40</f>
        <v>48384</v>
      </c>
      <c r="M40" s="88"/>
      <c r="N40" s="88"/>
      <c r="O40" s="165">
        <v>27.910791847041846</v>
      </c>
      <c r="P40" s="169">
        <f t="shared" ref="P40:P41" si="13">+K40*O40</f>
        <v>1350435.7527272727</v>
      </c>
    </row>
    <row r="41" spans="2:16" x14ac:dyDescent="0.2">
      <c r="B41" s="78">
        <v>30</v>
      </c>
      <c r="C41" s="79">
        <v>2020</v>
      </c>
      <c r="D41" s="79">
        <v>8200266</v>
      </c>
      <c r="E41" s="80" t="s">
        <v>263</v>
      </c>
      <c r="F41" s="80"/>
      <c r="G41" s="80" t="s">
        <v>266</v>
      </c>
      <c r="H41" s="78" t="s">
        <v>1468</v>
      </c>
      <c r="I41" s="78">
        <v>1</v>
      </c>
      <c r="J41" s="78"/>
      <c r="K41" s="111">
        <v>48384</v>
      </c>
      <c r="L41" s="88">
        <f>K41*I41</f>
        <v>48384</v>
      </c>
      <c r="M41" s="88"/>
      <c r="N41" s="88"/>
      <c r="O41" s="165">
        <v>27.910791847041846</v>
      </c>
      <c r="P41" s="169">
        <f t="shared" si="13"/>
        <v>1350435.7527272727</v>
      </c>
    </row>
    <row r="42" spans="2:16" x14ac:dyDescent="0.2">
      <c r="B42" s="81"/>
      <c r="C42" s="82"/>
      <c r="D42" s="82"/>
      <c r="E42" s="83"/>
      <c r="F42" s="83"/>
      <c r="G42" s="83"/>
      <c r="H42" s="81"/>
      <c r="I42" s="81"/>
      <c r="J42" s="81"/>
      <c r="K42" s="112">
        <f>SUM(K40:K41)</f>
        <v>96768</v>
      </c>
      <c r="L42" s="112">
        <f>SUM(L40:L41)</f>
        <v>96768</v>
      </c>
      <c r="M42" s="112"/>
      <c r="N42" s="112"/>
      <c r="O42" s="166"/>
      <c r="P42" s="170">
        <f t="shared" ref="P42" si="14">SUM(P40:P41)</f>
        <v>2700871.5054545454</v>
      </c>
    </row>
    <row r="43" spans="2:16" x14ac:dyDescent="0.2">
      <c r="B43" s="78">
        <v>31</v>
      </c>
      <c r="C43" s="79">
        <v>2030</v>
      </c>
      <c r="D43" s="79">
        <v>8201522</v>
      </c>
      <c r="E43" s="80" t="s">
        <v>1404</v>
      </c>
      <c r="F43" s="80"/>
      <c r="G43" s="80" t="s">
        <v>267</v>
      </c>
      <c r="H43" s="78" t="s">
        <v>1447</v>
      </c>
      <c r="I43" s="78">
        <v>1</v>
      </c>
      <c r="J43" s="78"/>
      <c r="K43" s="111">
        <v>10000</v>
      </c>
      <c r="L43" s="88">
        <f t="shared" ref="L43:L49" si="15">K43*I43</f>
        <v>10000</v>
      </c>
      <c r="M43" s="88"/>
      <c r="N43" s="88"/>
      <c r="O43" s="165">
        <v>126.64</v>
      </c>
      <c r="P43" s="169">
        <f t="shared" ref="P43:P49" si="16">+K43*O43</f>
        <v>1266400</v>
      </c>
    </row>
    <row r="44" spans="2:16" x14ac:dyDescent="0.2">
      <c r="B44" s="78">
        <v>32</v>
      </c>
      <c r="C44" s="79">
        <v>2030</v>
      </c>
      <c r="D44" s="79">
        <v>8201522</v>
      </c>
      <c r="E44" s="80" t="s">
        <v>1404</v>
      </c>
      <c r="F44" s="80"/>
      <c r="G44" s="80" t="s">
        <v>267</v>
      </c>
      <c r="H44" s="78" t="s">
        <v>1448</v>
      </c>
      <c r="I44" s="78">
        <v>1</v>
      </c>
      <c r="J44" s="78"/>
      <c r="K44" s="113">
        <v>10000</v>
      </c>
      <c r="L44" s="88">
        <f t="shared" si="15"/>
        <v>10000</v>
      </c>
      <c r="M44" s="88"/>
      <c r="N44" s="88"/>
      <c r="O44" s="165">
        <v>126.64</v>
      </c>
      <c r="P44" s="169">
        <f t="shared" si="16"/>
        <v>1266400</v>
      </c>
    </row>
    <row r="45" spans="2:16" x14ac:dyDescent="0.2">
      <c r="B45" s="78">
        <v>33</v>
      </c>
      <c r="C45" s="79">
        <v>2030</v>
      </c>
      <c r="D45" s="79">
        <v>8202606</v>
      </c>
      <c r="E45" s="80" t="s">
        <v>1405</v>
      </c>
      <c r="F45" s="80"/>
      <c r="G45" s="80" t="s">
        <v>267</v>
      </c>
      <c r="H45" s="78" t="s">
        <v>1449</v>
      </c>
      <c r="I45" s="78">
        <v>1</v>
      </c>
      <c r="J45" s="78"/>
      <c r="K45" s="111">
        <v>9475</v>
      </c>
      <c r="L45" s="88">
        <f t="shared" si="15"/>
        <v>9475</v>
      </c>
      <c r="M45" s="88"/>
      <c r="N45" s="88"/>
      <c r="O45" s="165">
        <v>176.78532243618463</v>
      </c>
      <c r="P45" s="169">
        <f t="shared" si="16"/>
        <v>1675040.9300828495</v>
      </c>
    </row>
    <row r="46" spans="2:16" x14ac:dyDescent="0.2">
      <c r="B46" s="78">
        <v>34</v>
      </c>
      <c r="C46" s="79">
        <v>2030</v>
      </c>
      <c r="D46" s="79">
        <v>8202606</v>
      </c>
      <c r="E46" s="80" t="s">
        <v>1405</v>
      </c>
      <c r="F46" s="80"/>
      <c r="G46" s="80" t="s">
        <v>267</v>
      </c>
      <c r="H46" s="78" t="s">
        <v>1450</v>
      </c>
      <c r="I46" s="78">
        <v>1</v>
      </c>
      <c r="J46" s="78"/>
      <c r="K46" s="111">
        <v>6800</v>
      </c>
      <c r="L46" s="88">
        <f t="shared" si="15"/>
        <v>6800</v>
      </c>
      <c r="M46" s="88"/>
      <c r="N46" s="88"/>
      <c r="O46" s="165">
        <v>176.78532243618463</v>
      </c>
      <c r="P46" s="169">
        <f t="shared" si="16"/>
        <v>1202140.1925660556</v>
      </c>
    </row>
    <row r="47" spans="2:16" x14ac:dyDescent="0.2">
      <c r="B47" s="78">
        <v>35</v>
      </c>
      <c r="C47" s="79">
        <v>2010</v>
      </c>
      <c r="D47" s="79">
        <v>8202605</v>
      </c>
      <c r="E47" s="80" t="s">
        <v>1406</v>
      </c>
      <c r="F47" s="80"/>
      <c r="G47" s="80" t="s">
        <v>267</v>
      </c>
      <c r="H47" s="78" t="s">
        <v>343</v>
      </c>
      <c r="I47" s="78">
        <v>1</v>
      </c>
      <c r="J47" s="78"/>
      <c r="K47" s="113">
        <v>2971</v>
      </c>
      <c r="L47" s="88">
        <f t="shared" si="15"/>
        <v>2971</v>
      </c>
      <c r="M47" s="88"/>
      <c r="N47" s="88"/>
      <c r="O47" s="165">
        <v>0</v>
      </c>
      <c r="P47" s="169">
        <f t="shared" si="16"/>
        <v>0</v>
      </c>
    </row>
    <row r="48" spans="2:16" x14ac:dyDescent="0.2">
      <c r="B48" s="78">
        <v>36</v>
      </c>
      <c r="C48" s="79">
        <v>2010</v>
      </c>
      <c r="D48" s="79">
        <v>8202605</v>
      </c>
      <c r="E48" s="80" t="s">
        <v>1406</v>
      </c>
      <c r="F48" s="80"/>
      <c r="G48" s="80" t="s">
        <v>267</v>
      </c>
      <c r="H48" s="78" t="s">
        <v>1451</v>
      </c>
      <c r="I48" s="78">
        <v>1</v>
      </c>
      <c r="J48" s="78"/>
      <c r="K48" s="111">
        <v>2939</v>
      </c>
      <c r="L48" s="88">
        <f t="shared" si="15"/>
        <v>2939</v>
      </c>
      <c r="M48" s="88"/>
      <c r="N48" s="88"/>
      <c r="O48" s="165">
        <v>0</v>
      </c>
      <c r="P48" s="169">
        <f t="shared" si="16"/>
        <v>0</v>
      </c>
    </row>
    <row r="49" spans="2:16" x14ac:dyDescent="0.2">
      <c r="B49" s="78">
        <v>37</v>
      </c>
      <c r="C49" s="79">
        <v>2010</v>
      </c>
      <c r="D49" s="79">
        <v>8202604</v>
      </c>
      <c r="E49" s="80" t="s">
        <v>339</v>
      </c>
      <c r="F49" s="80"/>
      <c r="G49" s="80" t="s">
        <v>267</v>
      </c>
      <c r="H49" s="78" t="s">
        <v>1451</v>
      </c>
      <c r="I49" s="78">
        <v>1</v>
      </c>
      <c r="J49" s="78"/>
      <c r="K49" s="111">
        <v>3960</v>
      </c>
      <c r="L49" s="88">
        <f t="shared" si="15"/>
        <v>3960</v>
      </c>
      <c r="M49" s="88"/>
      <c r="N49" s="88"/>
      <c r="O49" s="165">
        <v>771.42928949691122</v>
      </c>
      <c r="P49" s="169">
        <f t="shared" si="16"/>
        <v>3054859.9864077684</v>
      </c>
    </row>
    <row r="50" spans="2:16" x14ac:dyDescent="0.2">
      <c r="B50" s="81"/>
      <c r="C50" s="82"/>
      <c r="D50" s="82"/>
      <c r="E50" s="83"/>
      <c r="F50" s="83"/>
      <c r="G50" s="83"/>
      <c r="H50" s="81"/>
      <c r="I50" s="81"/>
      <c r="J50" s="81"/>
      <c r="K50" s="112">
        <f>SUM(K43:K49)</f>
        <v>46145</v>
      </c>
      <c r="L50" s="112">
        <f>SUM(L43:L49)</f>
        <v>46145</v>
      </c>
      <c r="M50" s="112"/>
      <c r="N50" s="112"/>
      <c r="O50" s="166"/>
      <c r="P50" s="170">
        <f t="shared" ref="P50" si="17">SUM(P43:P49)</f>
        <v>8464841.1090566739</v>
      </c>
    </row>
    <row r="51" spans="2:16" x14ac:dyDescent="0.2">
      <c r="B51" s="78">
        <v>38</v>
      </c>
      <c r="C51" s="79">
        <v>2030</v>
      </c>
      <c r="D51" s="79">
        <v>8201621</v>
      </c>
      <c r="E51" s="80" t="s">
        <v>1385</v>
      </c>
      <c r="F51" s="80"/>
      <c r="G51" s="80" t="s">
        <v>264</v>
      </c>
      <c r="H51" s="78" t="s">
        <v>1415</v>
      </c>
      <c r="I51" s="78">
        <v>15</v>
      </c>
      <c r="J51" s="78"/>
      <c r="K51" s="113">
        <v>19360</v>
      </c>
      <c r="L51" s="88">
        <f t="shared" ref="L51:L75" si="18">K51*I51</f>
        <v>290400</v>
      </c>
      <c r="M51" s="88"/>
      <c r="N51" s="88"/>
      <c r="O51" s="165">
        <v>70.710066833750929</v>
      </c>
      <c r="P51" s="169">
        <f t="shared" ref="P51:P75" si="19">+K51*O51</f>
        <v>1368946.893901418</v>
      </c>
    </row>
    <row r="52" spans="2:16" x14ac:dyDescent="0.2">
      <c r="B52" s="78">
        <v>39</v>
      </c>
      <c r="C52" s="79">
        <v>2030</v>
      </c>
      <c r="D52" s="79">
        <v>8202001</v>
      </c>
      <c r="E52" s="80" t="s">
        <v>332</v>
      </c>
      <c r="F52" s="80"/>
      <c r="G52" s="80" t="s">
        <v>264</v>
      </c>
      <c r="H52" s="78" t="s">
        <v>1416</v>
      </c>
      <c r="I52" s="78">
        <v>10</v>
      </c>
      <c r="J52" s="78"/>
      <c r="K52" s="111">
        <v>19370</v>
      </c>
      <c r="L52" s="88">
        <f t="shared" si="18"/>
        <v>193700</v>
      </c>
      <c r="M52" s="88"/>
      <c r="N52" s="88"/>
      <c r="O52" s="165">
        <v>115.70966666666666</v>
      </c>
      <c r="P52" s="169">
        <f t="shared" si="19"/>
        <v>2241296.2433333332</v>
      </c>
    </row>
    <row r="53" spans="2:16" x14ac:dyDescent="0.2">
      <c r="B53" s="78">
        <v>40</v>
      </c>
      <c r="C53" s="79">
        <v>2010</v>
      </c>
      <c r="D53" s="79">
        <v>8201251</v>
      </c>
      <c r="E53" s="80" t="s">
        <v>333</v>
      </c>
      <c r="F53" s="80"/>
      <c r="G53" s="80" t="s">
        <v>264</v>
      </c>
      <c r="H53" s="78" t="s">
        <v>1417</v>
      </c>
      <c r="I53" s="78">
        <v>15</v>
      </c>
      <c r="J53" s="78"/>
      <c r="K53" s="111">
        <v>20000</v>
      </c>
      <c r="L53" s="88">
        <f t="shared" si="18"/>
        <v>300000</v>
      </c>
      <c r="M53" s="88"/>
      <c r="N53" s="88"/>
      <c r="O53" s="165">
        <v>187.07007142857145</v>
      </c>
      <c r="P53" s="169">
        <f t="shared" si="19"/>
        <v>3741401.4285714291</v>
      </c>
    </row>
    <row r="54" spans="2:16" x14ac:dyDescent="0.2">
      <c r="B54" s="78">
        <v>41</v>
      </c>
      <c r="C54" s="79">
        <v>2010</v>
      </c>
      <c r="D54" s="79">
        <v>8201252</v>
      </c>
      <c r="E54" s="80" t="s">
        <v>1386</v>
      </c>
      <c r="F54" s="80"/>
      <c r="G54" s="80" t="s">
        <v>264</v>
      </c>
      <c r="H54" s="78" t="s">
        <v>1418</v>
      </c>
      <c r="I54" s="78">
        <v>15</v>
      </c>
      <c r="J54" s="78"/>
      <c r="K54" s="113">
        <v>20000</v>
      </c>
      <c r="L54" s="88">
        <f t="shared" si="18"/>
        <v>300000</v>
      </c>
      <c r="M54" s="88"/>
      <c r="N54" s="88"/>
      <c r="O54" s="165">
        <v>236.13996173913048</v>
      </c>
      <c r="P54" s="169">
        <f t="shared" si="19"/>
        <v>4722799.2347826101</v>
      </c>
    </row>
    <row r="55" spans="2:16" x14ac:dyDescent="0.2">
      <c r="B55" s="78">
        <v>42</v>
      </c>
      <c r="C55" s="79">
        <v>2010</v>
      </c>
      <c r="D55" s="79">
        <v>8201940</v>
      </c>
      <c r="E55" s="80" t="s">
        <v>334</v>
      </c>
      <c r="F55" s="80"/>
      <c r="G55" s="80" t="s">
        <v>264</v>
      </c>
      <c r="H55" s="78" t="s">
        <v>1419</v>
      </c>
      <c r="I55" s="78">
        <v>10</v>
      </c>
      <c r="J55" s="78"/>
      <c r="K55" s="111">
        <v>29980</v>
      </c>
      <c r="L55" s="88">
        <f t="shared" si="18"/>
        <v>299800</v>
      </c>
      <c r="M55" s="88"/>
      <c r="N55" s="88"/>
      <c r="O55" s="165">
        <v>106.07016666666665</v>
      </c>
      <c r="P55" s="169">
        <f t="shared" si="19"/>
        <v>3179983.5966666662</v>
      </c>
    </row>
    <row r="56" spans="2:16" x14ac:dyDescent="0.2">
      <c r="B56" s="78">
        <v>43</v>
      </c>
      <c r="C56" s="79">
        <v>2010</v>
      </c>
      <c r="D56" s="79">
        <v>8200653</v>
      </c>
      <c r="E56" s="80" t="s">
        <v>1387</v>
      </c>
      <c r="F56" s="80"/>
      <c r="G56" s="80" t="s">
        <v>264</v>
      </c>
      <c r="H56" s="78" t="s">
        <v>1420</v>
      </c>
      <c r="I56" s="78">
        <v>15</v>
      </c>
      <c r="J56" s="78"/>
      <c r="K56" s="111">
        <v>25460</v>
      </c>
      <c r="L56" s="88">
        <f t="shared" si="18"/>
        <v>381900</v>
      </c>
      <c r="M56" s="88"/>
      <c r="N56" s="88"/>
      <c r="O56" s="165">
        <v>165.21246153846153</v>
      </c>
      <c r="P56" s="169">
        <f t="shared" si="19"/>
        <v>4206309.2707692301</v>
      </c>
    </row>
    <row r="57" spans="2:16" x14ac:dyDescent="0.2">
      <c r="B57" s="78">
        <v>44</v>
      </c>
      <c r="C57" s="79">
        <v>2010</v>
      </c>
      <c r="D57" s="79">
        <v>8201751</v>
      </c>
      <c r="E57" s="80" t="s">
        <v>255</v>
      </c>
      <c r="F57" s="80"/>
      <c r="G57" s="80" t="s">
        <v>264</v>
      </c>
      <c r="H57" s="78" t="s">
        <v>1421</v>
      </c>
      <c r="I57" s="78">
        <v>20</v>
      </c>
      <c r="J57" s="78"/>
      <c r="K57" s="111">
        <v>9900</v>
      </c>
      <c r="L57" s="88">
        <f t="shared" si="18"/>
        <v>198000</v>
      </c>
      <c r="M57" s="88"/>
      <c r="N57" s="88"/>
      <c r="O57" s="165">
        <v>169.70949999999999</v>
      </c>
      <c r="P57" s="169">
        <f t="shared" si="19"/>
        <v>1680124.0499999998</v>
      </c>
    </row>
    <row r="58" spans="2:16" x14ac:dyDescent="0.2">
      <c r="B58" s="78">
        <v>45</v>
      </c>
      <c r="C58" s="79">
        <v>2010</v>
      </c>
      <c r="D58" s="79">
        <v>8201752</v>
      </c>
      <c r="E58" s="80" t="s">
        <v>256</v>
      </c>
      <c r="F58" s="80"/>
      <c r="G58" s="80" t="s">
        <v>264</v>
      </c>
      <c r="H58" s="78" t="s">
        <v>1422</v>
      </c>
      <c r="I58" s="78">
        <v>20</v>
      </c>
      <c r="J58" s="78"/>
      <c r="K58" s="111">
        <v>9900</v>
      </c>
      <c r="L58" s="88">
        <f t="shared" si="18"/>
        <v>198000</v>
      </c>
      <c r="M58" s="88"/>
      <c r="N58" s="88"/>
      <c r="O58" s="165">
        <v>201.22</v>
      </c>
      <c r="P58" s="169">
        <f t="shared" si="19"/>
        <v>1992078</v>
      </c>
    </row>
    <row r="59" spans="2:16" x14ac:dyDescent="0.2">
      <c r="B59" s="78">
        <v>46</v>
      </c>
      <c r="C59" s="79">
        <v>2030</v>
      </c>
      <c r="D59" s="79">
        <v>8202536</v>
      </c>
      <c r="E59" s="80" t="s">
        <v>1388</v>
      </c>
      <c r="F59" s="80"/>
      <c r="G59" s="80" t="s">
        <v>264</v>
      </c>
      <c r="H59" s="78" t="s">
        <v>1423</v>
      </c>
      <c r="I59" s="78">
        <v>15</v>
      </c>
      <c r="J59" s="78"/>
      <c r="K59" s="111">
        <v>6470</v>
      </c>
      <c r="L59" s="88">
        <f t="shared" si="18"/>
        <v>97050</v>
      </c>
      <c r="M59" s="88"/>
      <c r="N59" s="88"/>
      <c r="O59" s="165">
        <v>101.2499442119944</v>
      </c>
      <c r="P59" s="169">
        <f t="shared" si="19"/>
        <v>655087.13905160374</v>
      </c>
    </row>
    <row r="60" spans="2:16" x14ac:dyDescent="0.2">
      <c r="B60" s="78">
        <v>47</v>
      </c>
      <c r="C60" s="79">
        <v>2030</v>
      </c>
      <c r="D60" s="79">
        <v>8202537</v>
      </c>
      <c r="E60" s="80" t="s">
        <v>1389</v>
      </c>
      <c r="F60" s="80"/>
      <c r="G60" s="80" t="s">
        <v>264</v>
      </c>
      <c r="H60" s="78" t="s">
        <v>1424</v>
      </c>
      <c r="I60" s="78">
        <v>15</v>
      </c>
      <c r="J60" s="78"/>
      <c r="K60" s="111">
        <v>6640</v>
      </c>
      <c r="L60" s="88">
        <f t="shared" si="18"/>
        <v>99600</v>
      </c>
      <c r="M60" s="88"/>
      <c r="N60" s="88"/>
      <c r="O60" s="165">
        <v>130.17989108910896</v>
      </c>
      <c r="P60" s="169">
        <f t="shared" si="19"/>
        <v>864394.47683168354</v>
      </c>
    </row>
    <row r="61" spans="2:16" x14ac:dyDescent="0.2">
      <c r="B61" s="78">
        <v>48</v>
      </c>
      <c r="C61" s="79">
        <v>2030</v>
      </c>
      <c r="D61" s="79">
        <v>8202530</v>
      </c>
      <c r="E61" s="80" t="s">
        <v>1390</v>
      </c>
      <c r="F61" s="80"/>
      <c r="G61" s="80" t="s">
        <v>264</v>
      </c>
      <c r="H61" s="78" t="s">
        <v>1425</v>
      </c>
      <c r="I61" s="78">
        <v>15</v>
      </c>
      <c r="J61" s="78"/>
      <c r="K61" s="111">
        <v>6570</v>
      </c>
      <c r="L61" s="88">
        <f t="shared" si="18"/>
        <v>98550</v>
      </c>
      <c r="M61" s="88"/>
      <c r="N61" s="88"/>
      <c r="O61" s="165">
        <v>144.64003370786514</v>
      </c>
      <c r="P61" s="169">
        <f t="shared" si="19"/>
        <v>950285.021460674</v>
      </c>
    </row>
    <row r="62" spans="2:16" x14ac:dyDescent="0.2">
      <c r="B62" s="78">
        <v>49</v>
      </c>
      <c r="C62" s="79">
        <v>2030</v>
      </c>
      <c r="D62" s="79">
        <v>8202531</v>
      </c>
      <c r="E62" s="80" t="s">
        <v>335</v>
      </c>
      <c r="F62" s="80"/>
      <c r="G62" s="80" t="s">
        <v>264</v>
      </c>
      <c r="H62" s="78" t="s">
        <v>1426</v>
      </c>
      <c r="I62" s="78">
        <v>15</v>
      </c>
      <c r="J62" s="78"/>
      <c r="K62" s="111">
        <v>6680</v>
      </c>
      <c r="L62" s="88">
        <f t="shared" si="18"/>
        <v>100200</v>
      </c>
      <c r="M62" s="88"/>
      <c r="N62" s="88"/>
      <c r="O62" s="165">
        <v>188.0403015873016</v>
      </c>
      <c r="P62" s="169">
        <f t="shared" si="19"/>
        <v>1256109.2146031747</v>
      </c>
    </row>
    <row r="63" spans="2:16" x14ac:dyDescent="0.2">
      <c r="B63" s="78">
        <v>50</v>
      </c>
      <c r="C63" s="79">
        <v>2030</v>
      </c>
      <c r="D63" s="79">
        <v>8202539</v>
      </c>
      <c r="E63" s="80" t="s">
        <v>1391</v>
      </c>
      <c r="F63" s="80"/>
      <c r="G63" s="80" t="s">
        <v>264</v>
      </c>
      <c r="H63" s="78" t="s">
        <v>342</v>
      </c>
      <c r="I63" s="78">
        <v>2</v>
      </c>
      <c r="J63" s="78"/>
      <c r="K63" s="111">
        <v>19960</v>
      </c>
      <c r="L63" s="88">
        <f t="shared" si="18"/>
        <v>39920</v>
      </c>
      <c r="M63" s="88"/>
      <c r="N63" s="88"/>
      <c r="O63" s="165">
        <v>0</v>
      </c>
      <c r="P63" s="169">
        <f t="shared" si="19"/>
        <v>0</v>
      </c>
    </row>
    <row r="64" spans="2:16" x14ac:dyDescent="0.2">
      <c r="B64" s="78">
        <v>51</v>
      </c>
      <c r="C64" s="79">
        <v>2010</v>
      </c>
      <c r="D64" s="79">
        <v>8200896</v>
      </c>
      <c r="E64" s="80" t="s">
        <v>336</v>
      </c>
      <c r="F64" s="80"/>
      <c r="G64" s="80" t="s">
        <v>264</v>
      </c>
      <c r="H64" s="78" t="s">
        <v>1427</v>
      </c>
      <c r="I64" s="78">
        <v>15</v>
      </c>
      <c r="J64" s="78"/>
      <c r="K64" s="111">
        <v>38880</v>
      </c>
      <c r="L64" s="88">
        <f t="shared" si="18"/>
        <v>583200</v>
      </c>
      <c r="M64" s="88"/>
      <c r="N64" s="88"/>
      <c r="O64" s="165">
        <v>196.07038461538465</v>
      </c>
      <c r="P64" s="169">
        <f t="shared" si="19"/>
        <v>7623216.5538461553</v>
      </c>
    </row>
    <row r="65" spans="2:16" x14ac:dyDescent="0.2">
      <c r="B65" s="78">
        <v>52</v>
      </c>
      <c r="C65" s="79">
        <v>2010</v>
      </c>
      <c r="D65" s="79">
        <v>8201391</v>
      </c>
      <c r="E65" s="80" t="s">
        <v>257</v>
      </c>
      <c r="F65" s="80"/>
      <c r="G65" s="80" t="s">
        <v>264</v>
      </c>
      <c r="H65" s="78" t="s">
        <v>1428</v>
      </c>
      <c r="I65" s="78">
        <v>15</v>
      </c>
      <c r="J65" s="78"/>
      <c r="K65" s="113">
        <v>12800</v>
      </c>
      <c r="L65" s="88">
        <f t="shared" si="18"/>
        <v>192000</v>
      </c>
      <c r="M65" s="88"/>
      <c r="N65" s="88"/>
      <c r="O65" s="165">
        <v>160.71014285714284</v>
      </c>
      <c r="P65" s="169">
        <f t="shared" si="19"/>
        <v>2057089.8285714283</v>
      </c>
    </row>
    <row r="66" spans="2:16" x14ac:dyDescent="0.2">
      <c r="B66" s="78">
        <v>53</v>
      </c>
      <c r="C66" s="79">
        <v>2010</v>
      </c>
      <c r="D66" s="79">
        <v>8200564</v>
      </c>
      <c r="E66" s="80" t="s">
        <v>337</v>
      </c>
      <c r="F66" s="80"/>
      <c r="G66" s="80" t="s">
        <v>264</v>
      </c>
      <c r="H66" s="79">
        <v>22186002</v>
      </c>
      <c r="I66" s="78">
        <v>15</v>
      </c>
      <c r="J66" s="78"/>
      <c r="K66" s="113">
        <v>29450</v>
      </c>
      <c r="L66" s="88">
        <f t="shared" si="18"/>
        <v>441750</v>
      </c>
      <c r="M66" s="88"/>
      <c r="N66" s="88"/>
      <c r="O66" s="165">
        <v>192.21051771117166</v>
      </c>
      <c r="P66" s="169">
        <f t="shared" si="19"/>
        <v>5660599.7465940053</v>
      </c>
    </row>
    <row r="67" spans="2:16" x14ac:dyDescent="0.2">
      <c r="B67" s="78">
        <v>54</v>
      </c>
      <c r="C67" s="79">
        <v>2010</v>
      </c>
      <c r="D67" s="79">
        <v>8202640</v>
      </c>
      <c r="E67" s="80" t="s">
        <v>1392</v>
      </c>
      <c r="F67" s="80"/>
      <c r="G67" s="80" t="s">
        <v>264</v>
      </c>
      <c r="H67" s="78" t="s">
        <v>1429</v>
      </c>
      <c r="I67" s="78">
        <v>10</v>
      </c>
      <c r="J67" s="78"/>
      <c r="K67" s="113">
        <v>34500</v>
      </c>
      <c r="L67" s="88">
        <f t="shared" si="18"/>
        <v>345000</v>
      </c>
      <c r="M67" s="88"/>
      <c r="N67" s="88"/>
      <c r="O67" s="165">
        <v>135.00749999999999</v>
      </c>
      <c r="P67" s="169">
        <f t="shared" si="19"/>
        <v>4657758.75</v>
      </c>
    </row>
    <row r="68" spans="2:16" x14ac:dyDescent="0.2">
      <c r="B68" s="78">
        <v>55</v>
      </c>
      <c r="C68" s="79">
        <v>2030</v>
      </c>
      <c r="D68" s="79">
        <v>8201930</v>
      </c>
      <c r="E68" s="80" t="s">
        <v>338</v>
      </c>
      <c r="F68" s="80"/>
      <c r="G68" s="80" t="s">
        <v>264</v>
      </c>
      <c r="H68" s="78" t="s">
        <v>1430</v>
      </c>
      <c r="I68" s="78">
        <v>15</v>
      </c>
      <c r="J68" s="78"/>
      <c r="K68" s="113">
        <v>19600</v>
      </c>
      <c r="L68" s="88">
        <f t="shared" si="18"/>
        <v>294000</v>
      </c>
      <c r="M68" s="88"/>
      <c r="N68" s="88"/>
      <c r="O68" s="165">
        <v>106.07000000000001</v>
      </c>
      <c r="P68" s="169">
        <f t="shared" si="19"/>
        <v>2078972.0000000002</v>
      </c>
    </row>
    <row r="69" spans="2:16" x14ac:dyDescent="0.2">
      <c r="B69" s="78">
        <v>56</v>
      </c>
      <c r="C69" s="79">
        <v>2030</v>
      </c>
      <c r="D69" s="79">
        <v>8200828</v>
      </c>
      <c r="E69" s="80" t="s">
        <v>1393</v>
      </c>
      <c r="F69" s="80"/>
      <c r="G69" s="80" t="s">
        <v>264</v>
      </c>
      <c r="H69" s="78" t="s">
        <v>1431</v>
      </c>
      <c r="I69" s="78">
        <v>10</v>
      </c>
      <c r="J69" s="78"/>
      <c r="K69" s="111">
        <v>38990</v>
      </c>
      <c r="L69" s="88">
        <f t="shared" si="18"/>
        <v>389900</v>
      </c>
      <c r="M69" s="88"/>
      <c r="N69" s="88"/>
      <c r="O69" s="165">
        <v>84.547250000000005</v>
      </c>
      <c r="P69" s="169">
        <f t="shared" si="19"/>
        <v>3296497.2775000003</v>
      </c>
    </row>
    <row r="70" spans="2:16" x14ac:dyDescent="0.2">
      <c r="B70" s="78">
        <v>57</v>
      </c>
      <c r="C70" s="79">
        <v>2030</v>
      </c>
      <c r="D70" s="79">
        <v>8200828</v>
      </c>
      <c r="E70" s="80" t="s">
        <v>1393</v>
      </c>
      <c r="F70" s="80"/>
      <c r="G70" s="80" t="s">
        <v>264</v>
      </c>
      <c r="H70" s="78" t="s">
        <v>1432</v>
      </c>
      <c r="I70" s="78">
        <v>10</v>
      </c>
      <c r="J70" s="78"/>
      <c r="K70" s="111">
        <v>39200</v>
      </c>
      <c r="L70" s="88">
        <f t="shared" si="18"/>
        <v>392000</v>
      </c>
      <c r="M70" s="88"/>
      <c r="N70" s="88"/>
      <c r="O70" s="165">
        <v>84.547250000000005</v>
      </c>
      <c r="P70" s="169">
        <f t="shared" si="19"/>
        <v>3314252.2</v>
      </c>
    </row>
    <row r="71" spans="2:16" x14ac:dyDescent="0.2">
      <c r="B71" s="78">
        <v>58</v>
      </c>
      <c r="C71" s="79">
        <v>2030</v>
      </c>
      <c r="D71" s="79">
        <v>8200828</v>
      </c>
      <c r="E71" s="80" t="s">
        <v>1393</v>
      </c>
      <c r="F71" s="80"/>
      <c r="G71" s="80" t="s">
        <v>264</v>
      </c>
      <c r="H71" s="78" t="s">
        <v>1433</v>
      </c>
      <c r="I71" s="78">
        <v>10</v>
      </c>
      <c r="J71" s="78"/>
      <c r="K71" s="111">
        <v>38760</v>
      </c>
      <c r="L71" s="88">
        <f t="shared" si="18"/>
        <v>387600</v>
      </c>
      <c r="M71" s="88"/>
      <c r="N71" s="88"/>
      <c r="O71" s="165">
        <v>84.547250000000005</v>
      </c>
      <c r="P71" s="169">
        <f t="shared" si="19"/>
        <v>3277051.41</v>
      </c>
    </row>
    <row r="72" spans="2:16" x14ac:dyDescent="0.2">
      <c r="B72" s="78">
        <v>59</v>
      </c>
      <c r="C72" s="79">
        <v>2020</v>
      </c>
      <c r="D72" s="79">
        <v>8200265</v>
      </c>
      <c r="E72" s="80" t="s">
        <v>1410</v>
      </c>
      <c r="F72" s="80"/>
      <c r="G72" s="80" t="s">
        <v>264</v>
      </c>
      <c r="H72" s="79" t="s">
        <v>1458</v>
      </c>
      <c r="I72" s="78">
        <v>8</v>
      </c>
      <c r="J72" s="78"/>
      <c r="K72" s="111">
        <v>19630</v>
      </c>
      <c r="L72" s="88">
        <f t="shared" si="18"/>
        <v>157040</v>
      </c>
      <c r="M72" s="88"/>
      <c r="N72" s="88"/>
      <c r="O72" s="165">
        <v>125.18114895833334</v>
      </c>
      <c r="P72" s="169">
        <f t="shared" si="19"/>
        <v>2457305.9540520837</v>
      </c>
    </row>
    <row r="73" spans="2:16" x14ac:dyDescent="0.2">
      <c r="B73" s="78">
        <v>60</v>
      </c>
      <c r="C73" s="79">
        <v>2020</v>
      </c>
      <c r="D73" s="79">
        <v>8200264</v>
      </c>
      <c r="E73" s="80" t="s">
        <v>1411</v>
      </c>
      <c r="F73" s="80"/>
      <c r="G73" s="80" t="s">
        <v>264</v>
      </c>
      <c r="H73" s="78" t="s">
        <v>1459</v>
      </c>
      <c r="I73" s="78">
        <v>7</v>
      </c>
      <c r="J73" s="78"/>
      <c r="K73" s="111">
        <v>14220</v>
      </c>
      <c r="L73" s="88">
        <f t="shared" si="18"/>
        <v>99540</v>
      </c>
      <c r="M73" s="88"/>
      <c r="N73" s="88"/>
      <c r="O73" s="165">
        <v>170.73887500000001</v>
      </c>
      <c r="P73" s="169">
        <f t="shared" si="19"/>
        <v>2427906.8025000002</v>
      </c>
    </row>
    <row r="74" spans="2:16" x14ac:dyDescent="0.2">
      <c r="B74" s="78">
        <v>61</v>
      </c>
      <c r="C74" s="79">
        <v>2020</v>
      </c>
      <c r="D74" s="79">
        <v>8200264</v>
      </c>
      <c r="E74" s="80" t="s">
        <v>1411</v>
      </c>
      <c r="F74" s="80"/>
      <c r="G74" s="80" t="s">
        <v>264</v>
      </c>
      <c r="H74" s="78" t="s">
        <v>1460</v>
      </c>
      <c r="I74" s="78">
        <v>7</v>
      </c>
      <c r="J74" s="78"/>
      <c r="K74" s="111">
        <v>10690</v>
      </c>
      <c r="L74" s="88">
        <f t="shared" si="18"/>
        <v>74830</v>
      </c>
      <c r="M74" s="88"/>
      <c r="N74" s="88"/>
      <c r="O74" s="165">
        <v>170.73887500000001</v>
      </c>
      <c r="P74" s="169">
        <f t="shared" si="19"/>
        <v>1825198.57375</v>
      </c>
    </row>
    <row r="75" spans="2:16" x14ac:dyDescent="0.2">
      <c r="B75" s="78">
        <v>62</v>
      </c>
      <c r="C75" s="79">
        <v>2020</v>
      </c>
      <c r="D75" s="79">
        <v>8200252</v>
      </c>
      <c r="E75" s="80" t="s">
        <v>261</v>
      </c>
      <c r="F75" s="80"/>
      <c r="G75" s="80" t="s">
        <v>264</v>
      </c>
      <c r="H75" s="78" t="s">
        <v>1461</v>
      </c>
      <c r="I75" s="78">
        <v>10</v>
      </c>
      <c r="J75" s="78"/>
      <c r="K75" s="111">
        <v>19480</v>
      </c>
      <c r="L75" s="88">
        <f t="shared" si="18"/>
        <v>194800</v>
      </c>
      <c r="M75" s="88"/>
      <c r="N75" s="88"/>
      <c r="O75" s="165">
        <v>245.85</v>
      </c>
      <c r="P75" s="169">
        <f t="shared" si="19"/>
        <v>4789158</v>
      </c>
    </row>
    <row r="76" spans="2:16" x14ac:dyDescent="0.2">
      <c r="B76" s="81"/>
      <c r="C76" s="84"/>
      <c r="D76" s="84"/>
      <c r="E76" s="84"/>
      <c r="F76" s="84"/>
      <c r="G76" s="115"/>
      <c r="H76" s="84"/>
      <c r="I76" s="85"/>
      <c r="J76" s="85"/>
      <c r="K76" s="86">
        <f>SUM(K51:K75)</f>
        <v>516490</v>
      </c>
      <c r="L76" s="86">
        <f>SUM(L51:L75)</f>
        <v>6148780</v>
      </c>
      <c r="M76" s="86"/>
      <c r="N76" s="86"/>
      <c r="O76" s="167"/>
      <c r="P76" s="171">
        <f t="shared" ref="P76" si="20">SUM(P51:P75)</f>
        <v>70323821.666785508</v>
      </c>
    </row>
    <row r="78" spans="2:16" x14ac:dyDescent="0.2">
      <c r="I78" s="67" t="s">
        <v>197</v>
      </c>
      <c r="J78" s="67"/>
      <c r="K78" s="68">
        <f>K76+K50+K42+K39+K37+K34+K30+K27+K21+K6</f>
        <v>1368276</v>
      </c>
      <c r="L78" s="68">
        <f>L76+L50+L42+L39+L37+L34+L30+L27+L21+L6</f>
        <v>13178065</v>
      </c>
      <c r="M78" s="68"/>
      <c r="N78" s="68"/>
      <c r="O78" s="137"/>
      <c r="P78" s="143">
        <f t="shared" ref="P78" si="21">P76+P50+P42+P39+P37+P34+P30+P27+P21+P6</f>
        <v>164369537.66536033</v>
      </c>
    </row>
  </sheetData>
  <autoFilter ref="B4:P78"/>
  <pageMargins left="0.7" right="0.7" top="0.75" bottom="0.75" header="0.3" footer="0.3"/>
  <pageSetup paperSize="9" orientation="portrait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A877"/>
  <sheetViews>
    <sheetView topLeftCell="F1" zoomScale="90" zoomScaleNormal="90" workbookViewId="0">
      <selection activeCell="AA7" sqref="AA7"/>
    </sheetView>
  </sheetViews>
  <sheetFormatPr defaultRowHeight="12" x14ac:dyDescent="0.2"/>
  <cols>
    <col min="1" max="1" width="9.5703125" style="24" bestFit="1" customWidth="1"/>
    <col min="2" max="2" width="11.28515625" style="23" bestFit="1" customWidth="1"/>
    <col min="3" max="3" width="10" style="23" bestFit="1" customWidth="1"/>
    <col min="4" max="4" width="16.42578125" style="23" bestFit="1" customWidth="1"/>
    <col min="5" max="5" width="38.85546875" style="34" customWidth="1"/>
    <col min="6" max="6" width="17.42578125" style="23" bestFit="1" customWidth="1"/>
    <col min="7" max="7" width="13.85546875" style="34" customWidth="1"/>
    <col min="8" max="8" width="12.7109375" style="23" customWidth="1"/>
    <col min="9" max="9" width="12.5703125" style="23" bestFit="1" customWidth="1"/>
    <col min="10" max="10" width="9.28515625" style="25" bestFit="1" customWidth="1"/>
    <col min="11" max="11" width="16.7109375" style="25" customWidth="1"/>
    <col min="12" max="13" width="14.85546875" style="25" bestFit="1" customWidth="1"/>
    <col min="14" max="14" width="14.28515625" style="133" bestFit="1" customWidth="1"/>
    <col min="15" max="15" width="15.28515625" style="139" bestFit="1" customWidth="1"/>
    <col min="16" max="16" width="13.28515625" style="133" bestFit="1" customWidth="1"/>
    <col min="17" max="17" width="12" style="139" bestFit="1" customWidth="1"/>
    <col min="18" max="18" width="13.42578125" style="139" bestFit="1" customWidth="1"/>
    <col min="19" max="19" width="10" style="23" bestFit="1" customWidth="1"/>
    <col min="20" max="20" width="14.5703125" style="24" customWidth="1"/>
    <col min="21" max="16384" width="9.140625" style="24"/>
  </cols>
  <sheetData>
    <row r="1" spans="1:27" x14ac:dyDescent="0.2">
      <c r="A1" s="175" t="s">
        <v>1508</v>
      </c>
      <c r="B1" s="32" t="s">
        <v>1509</v>
      </c>
      <c r="C1" s="32" t="s">
        <v>196</v>
      </c>
      <c r="D1" s="32" t="s">
        <v>118</v>
      </c>
      <c r="E1" s="20" t="s">
        <v>115</v>
      </c>
      <c r="F1" s="20" t="s">
        <v>423</v>
      </c>
      <c r="G1" s="105" t="s">
        <v>119</v>
      </c>
      <c r="H1" s="19" t="s">
        <v>297</v>
      </c>
      <c r="I1" s="20" t="s">
        <v>172</v>
      </c>
      <c r="J1" s="19" t="s">
        <v>120</v>
      </c>
      <c r="K1" s="33" t="s">
        <v>170</v>
      </c>
      <c r="L1" s="33" t="s">
        <v>173</v>
      </c>
      <c r="M1" s="33" t="s">
        <v>1501</v>
      </c>
      <c r="N1" s="130" t="s">
        <v>1486</v>
      </c>
      <c r="O1" s="131" t="s">
        <v>1487</v>
      </c>
      <c r="P1" s="130" t="s">
        <v>1488</v>
      </c>
      <c r="Q1" s="131" t="s">
        <v>1482</v>
      </c>
      <c r="R1" s="131" t="s">
        <v>1500</v>
      </c>
      <c r="S1" s="32" t="s">
        <v>196</v>
      </c>
      <c r="T1" s="32" t="s">
        <v>117</v>
      </c>
    </row>
    <row r="2" spans="1:27" x14ac:dyDescent="0.2">
      <c r="A2" s="24" t="s">
        <v>1502</v>
      </c>
      <c r="B2" s="174">
        <v>44652</v>
      </c>
      <c r="C2" s="23" t="s">
        <v>406</v>
      </c>
      <c r="D2" s="106">
        <v>5001213</v>
      </c>
      <c r="E2" s="24" t="s">
        <v>326</v>
      </c>
      <c r="F2" s="23" t="s">
        <v>426</v>
      </c>
      <c r="G2" s="29" t="s">
        <v>265</v>
      </c>
      <c r="H2" s="24" t="s">
        <v>473</v>
      </c>
      <c r="I2" s="23">
        <v>90</v>
      </c>
      <c r="J2" s="24" t="s">
        <v>7</v>
      </c>
      <c r="K2" s="103">
        <v>53937</v>
      </c>
      <c r="L2" s="25">
        <f t="shared" ref="L2:L16" si="0">K2*I2</f>
        <v>4854330</v>
      </c>
      <c r="M2" s="173">
        <f>L2/10^7</f>
        <v>0.485433</v>
      </c>
      <c r="N2" s="133">
        <v>6.2398969072164956</v>
      </c>
      <c r="O2" s="139">
        <f>+K2*N2</f>
        <v>336561.31948453613</v>
      </c>
      <c r="P2" s="133">
        <v>144.00099996251311</v>
      </c>
      <c r="Q2" s="139">
        <f t="shared" ref="Q2:Q65" si="1">+K2*P2</f>
        <v>7766981.9349780697</v>
      </c>
      <c r="R2" s="133">
        <f>Q2/10^7</f>
        <v>0.776698193497807</v>
      </c>
      <c r="S2" s="23" t="s">
        <v>1491</v>
      </c>
      <c r="T2" s="24" t="s">
        <v>1480</v>
      </c>
      <c r="AA2" s="29" t="s">
        <v>265</v>
      </c>
    </row>
    <row r="3" spans="1:27" x14ac:dyDescent="0.2">
      <c r="A3" s="24" t="s">
        <v>1502</v>
      </c>
      <c r="B3" s="174">
        <v>44652</v>
      </c>
      <c r="C3" s="23" t="s">
        <v>406</v>
      </c>
      <c r="D3" s="106">
        <v>5001041</v>
      </c>
      <c r="E3" s="24" t="s">
        <v>437</v>
      </c>
      <c r="F3" s="23" t="s">
        <v>424</v>
      </c>
      <c r="G3" s="29" t="s">
        <v>265</v>
      </c>
      <c r="H3" s="24" t="s">
        <v>485</v>
      </c>
      <c r="I3" s="23">
        <v>10</v>
      </c>
      <c r="J3" s="24" t="s">
        <v>3</v>
      </c>
      <c r="K3" s="103">
        <v>38613</v>
      </c>
      <c r="L3" s="25">
        <f t="shared" si="0"/>
        <v>386130</v>
      </c>
      <c r="M3" s="173">
        <f t="shared" ref="M3:M66" si="2">L3/10^7</f>
        <v>3.8613000000000001E-2</v>
      </c>
      <c r="N3" s="133">
        <v>0.74520408163265306</v>
      </c>
      <c r="O3" s="139">
        <f t="shared" ref="O3:O16" si="3">+K3*N3</f>
        <v>28774.565204081631</v>
      </c>
      <c r="P3" s="133">
        <v>47.143599999999985</v>
      </c>
      <c r="Q3" s="139">
        <f t="shared" si="1"/>
        <v>1820355.8267999995</v>
      </c>
      <c r="R3" s="133">
        <f t="shared" ref="R3:R66" si="4">Q3/10^7</f>
        <v>0.18203558267999995</v>
      </c>
      <c r="S3" s="23" t="s">
        <v>1491</v>
      </c>
      <c r="T3" s="24" t="s">
        <v>1480</v>
      </c>
      <c r="AA3" s="47" t="s">
        <v>264</v>
      </c>
    </row>
    <row r="4" spans="1:27" x14ac:dyDescent="0.2">
      <c r="A4" s="24" t="s">
        <v>1502</v>
      </c>
      <c r="B4" s="174">
        <v>44652</v>
      </c>
      <c r="C4" s="23" t="s">
        <v>406</v>
      </c>
      <c r="D4" s="106">
        <v>5001212</v>
      </c>
      <c r="E4" s="24" t="s">
        <v>324</v>
      </c>
      <c r="F4" s="23" t="s">
        <v>426</v>
      </c>
      <c r="G4" s="29" t="s">
        <v>265</v>
      </c>
      <c r="H4" s="24" t="s">
        <v>486</v>
      </c>
      <c r="I4" s="23">
        <v>30</v>
      </c>
      <c r="J4" s="24" t="s">
        <v>7</v>
      </c>
      <c r="K4" s="103">
        <v>157468</v>
      </c>
      <c r="L4" s="25">
        <f t="shared" si="0"/>
        <v>4724040</v>
      </c>
      <c r="M4" s="173">
        <f t="shared" si="2"/>
        <v>0.47240399999999999</v>
      </c>
      <c r="N4" s="133">
        <v>2.5473195876288663</v>
      </c>
      <c r="O4" s="139">
        <f t="shared" si="3"/>
        <v>401121.32082474232</v>
      </c>
      <c r="P4" s="133">
        <v>60.42</v>
      </c>
      <c r="Q4" s="139">
        <f t="shared" si="1"/>
        <v>9514216.5600000005</v>
      </c>
      <c r="R4" s="133">
        <f t="shared" si="4"/>
        <v>0.95142165600000006</v>
      </c>
      <c r="S4" s="23" t="s">
        <v>1491</v>
      </c>
      <c r="T4" s="24" t="s">
        <v>1480</v>
      </c>
      <c r="AA4" s="47" t="s">
        <v>1506</v>
      </c>
    </row>
    <row r="5" spans="1:27" x14ac:dyDescent="0.2">
      <c r="A5" s="24" t="s">
        <v>1502</v>
      </c>
      <c r="B5" s="174">
        <v>44652</v>
      </c>
      <c r="C5" s="23" t="s">
        <v>406</v>
      </c>
      <c r="D5" s="106">
        <v>5001212</v>
      </c>
      <c r="E5" s="24" t="s">
        <v>324</v>
      </c>
      <c r="F5" s="23" t="s">
        <v>426</v>
      </c>
      <c r="G5" s="29" t="s">
        <v>265</v>
      </c>
      <c r="H5" s="24" t="s">
        <v>499</v>
      </c>
      <c r="I5" s="23">
        <v>30</v>
      </c>
      <c r="J5" s="24" t="s">
        <v>7</v>
      </c>
      <c r="K5" s="103">
        <v>160300</v>
      </c>
      <c r="L5" s="25">
        <f t="shared" si="0"/>
        <v>4809000</v>
      </c>
      <c r="M5" s="173">
        <f t="shared" si="2"/>
        <v>0.48089999999999999</v>
      </c>
      <c r="N5" s="133">
        <v>2.5473195876288663</v>
      </c>
      <c r="O5" s="139">
        <f t="shared" si="3"/>
        <v>408335.32989690726</v>
      </c>
      <c r="P5" s="133">
        <v>60.42</v>
      </c>
      <c r="Q5" s="139">
        <f t="shared" si="1"/>
        <v>9685326</v>
      </c>
      <c r="R5" s="133">
        <f t="shared" si="4"/>
        <v>0.96853259999999997</v>
      </c>
      <c r="S5" s="23" t="s">
        <v>1491</v>
      </c>
      <c r="T5" s="24" t="s">
        <v>1480</v>
      </c>
      <c r="AA5" s="100" t="s">
        <v>1504</v>
      </c>
    </row>
    <row r="6" spans="1:27" x14ac:dyDescent="0.2">
      <c r="A6" s="24" t="s">
        <v>1502</v>
      </c>
      <c r="B6" s="174">
        <v>44652</v>
      </c>
      <c r="C6" s="23" t="s">
        <v>406</v>
      </c>
      <c r="D6" s="106">
        <v>5001211</v>
      </c>
      <c r="E6" s="24" t="s">
        <v>446</v>
      </c>
      <c r="F6" s="23" t="s">
        <v>426</v>
      </c>
      <c r="G6" s="29" t="s">
        <v>265</v>
      </c>
      <c r="H6" s="24" t="s">
        <v>509</v>
      </c>
      <c r="I6" s="23">
        <v>60</v>
      </c>
      <c r="J6" s="24" t="s">
        <v>7</v>
      </c>
      <c r="K6" s="103">
        <v>116262</v>
      </c>
      <c r="L6" s="25">
        <f t="shared" si="0"/>
        <v>6975720</v>
      </c>
      <c r="M6" s="173">
        <f t="shared" si="2"/>
        <v>0.69757199999999997</v>
      </c>
      <c r="N6" s="133">
        <v>4.5222448979591841</v>
      </c>
      <c r="O6" s="139">
        <f t="shared" si="3"/>
        <v>525765.23632653069</v>
      </c>
      <c r="P6" s="133">
        <v>67.05</v>
      </c>
      <c r="Q6" s="139">
        <f t="shared" si="1"/>
        <v>7795367.0999999996</v>
      </c>
      <c r="R6" s="133">
        <f t="shared" si="4"/>
        <v>0.77953670999999991</v>
      </c>
      <c r="S6" s="23" t="s">
        <v>1491</v>
      </c>
      <c r="T6" s="24" t="s">
        <v>1480</v>
      </c>
      <c r="AA6" s="101" t="s">
        <v>1505</v>
      </c>
    </row>
    <row r="7" spans="1:27" x14ac:dyDescent="0.2">
      <c r="A7" s="24" t="s">
        <v>1502</v>
      </c>
      <c r="B7" s="174">
        <v>44652</v>
      </c>
      <c r="C7" s="23" t="s">
        <v>406</v>
      </c>
      <c r="D7" s="106">
        <v>5006583</v>
      </c>
      <c r="E7" s="24" t="s">
        <v>447</v>
      </c>
      <c r="F7" s="23" t="s">
        <v>424</v>
      </c>
      <c r="G7" s="29" t="s">
        <v>265</v>
      </c>
      <c r="H7" s="24" t="s">
        <v>485</v>
      </c>
      <c r="I7" s="23">
        <v>10</v>
      </c>
      <c r="J7" s="24" t="s">
        <v>3</v>
      </c>
      <c r="K7" s="103">
        <v>29805</v>
      </c>
      <c r="L7" s="25">
        <f t="shared" si="0"/>
        <v>298050</v>
      </c>
      <c r="M7" s="173">
        <f t="shared" si="2"/>
        <v>2.9805000000000002E-2</v>
      </c>
      <c r="N7" s="133">
        <v>0.74520408163265306</v>
      </c>
      <c r="O7" s="139">
        <f t="shared" si="3"/>
        <v>22210.807653061223</v>
      </c>
      <c r="P7" s="133">
        <v>37.25</v>
      </c>
      <c r="Q7" s="139">
        <f t="shared" si="1"/>
        <v>1110236.25</v>
      </c>
      <c r="R7" s="133">
        <f t="shared" si="4"/>
        <v>0.111023625</v>
      </c>
      <c r="S7" s="23" t="s">
        <v>1491</v>
      </c>
      <c r="T7" s="24" t="s">
        <v>1480</v>
      </c>
      <c r="AA7" s="34" t="s">
        <v>1503</v>
      </c>
    </row>
    <row r="8" spans="1:27" x14ac:dyDescent="0.2">
      <c r="A8" s="24" t="s">
        <v>1502</v>
      </c>
      <c r="B8" s="174">
        <v>44652</v>
      </c>
      <c r="C8" s="23" t="s">
        <v>406</v>
      </c>
      <c r="D8" s="106">
        <v>5001211</v>
      </c>
      <c r="E8" s="24" t="s">
        <v>446</v>
      </c>
      <c r="F8" s="23" t="s">
        <v>426</v>
      </c>
      <c r="G8" s="29" t="s">
        <v>265</v>
      </c>
      <c r="H8" s="24" t="s">
        <v>520</v>
      </c>
      <c r="I8" s="23">
        <v>60</v>
      </c>
      <c r="J8" s="24" t="s">
        <v>7</v>
      </c>
      <c r="K8" s="103">
        <v>119755</v>
      </c>
      <c r="L8" s="25">
        <f t="shared" si="0"/>
        <v>7185300</v>
      </c>
      <c r="M8" s="173">
        <f t="shared" si="2"/>
        <v>0.71853</v>
      </c>
      <c r="N8" s="133">
        <v>4.5222448979591841</v>
      </c>
      <c r="O8" s="139">
        <f t="shared" si="3"/>
        <v>541561.43775510206</v>
      </c>
      <c r="P8" s="133">
        <v>67.05</v>
      </c>
      <c r="Q8" s="139">
        <f t="shared" si="1"/>
        <v>8029572.75</v>
      </c>
      <c r="R8" s="133">
        <f t="shared" si="4"/>
        <v>0.80295727500000003</v>
      </c>
      <c r="S8" s="23" t="s">
        <v>1491</v>
      </c>
      <c r="T8" s="24" t="s">
        <v>1480</v>
      </c>
      <c r="AA8" s="100" t="s">
        <v>185</v>
      </c>
    </row>
    <row r="9" spans="1:27" x14ac:dyDescent="0.2">
      <c r="A9" s="24" t="s">
        <v>1502</v>
      </c>
      <c r="B9" s="174">
        <v>44652</v>
      </c>
      <c r="C9" s="23" t="s">
        <v>406</v>
      </c>
      <c r="D9" s="106">
        <v>5500841</v>
      </c>
      <c r="E9" s="24" t="s">
        <v>412</v>
      </c>
      <c r="F9" s="23" t="s">
        <v>425</v>
      </c>
      <c r="G9" s="29" t="s">
        <v>265</v>
      </c>
      <c r="H9" s="24" t="s">
        <v>526</v>
      </c>
      <c r="I9" s="23">
        <v>20</v>
      </c>
      <c r="J9" s="24" t="s">
        <v>65</v>
      </c>
      <c r="K9" s="103">
        <v>97786</v>
      </c>
      <c r="L9" s="25">
        <f t="shared" si="0"/>
        <v>1955720</v>
      </c>
      <c r="M9" s="173">
        <f t="shared" si="2"/>
        <v>0.195572</v>
      </c>
      <c r="N9" s="133">
        <v>1.97</v>
      </c>
      <c r="O9" s="139">
        <f t="shared" si="3"/>
        <v>192638.41999999998</v>
      </c>
      <c r="P9" s="133">
        <v>10.00004074074074</v>
      </c>
      <c r="Q9" s="139">
        <f t="shared" si="1"/>
        <v>977863.98387407407</v>
      </c>
      <c r="R9" s="133">
        <f t="shared" si="4"/>
        <v>9.7786398387407408E-2</v>
      </c>
      <c r="S9" s="23" t="s">
        <v>1491</v>
      </c>
      <c r="T9" s="24" t="s">
        <v>1480</v>
      </c>
      <c r="AA9" s="29" t="s">
        <v>1507</v>
      </c>
    </row>
    <row r="10" spans="1:27" x14ac:dyDescent="0.2">
      <c r="A10" s="24" t="s">
        <v>1502</v>
      </c>
      <c r="B10" s="174">
        <v>44652</v>
      </c>
      <c r="C10" s="23" t="s">
        <v>406</v>
      </c>
      <c r="D10" s="106">
        <v>5002247</v>
      </c>
      <c r="E10" s="24" t="s">
        <v>452</v>
      </c>
      <c r="F10" s="23" t="s">
        <v>426</v>
      </c>
      <c r="G10" s="29" t="s">
        <v>265</v>
      </c>
      <c r="H10" s="24" t="s">
        <v>530</v>
      </c>
      <c r="I10" s="23">
        <v>90</v>
      </c>
      <c r="J10" s="24" t="s">
        <v>7</v>
      </c>
      <c r="K10" s="103">
        <v>1045</v>
      </c>
      <c r="L10" s="25">
        <f t="shared" si="0"/>
        <v>94050</v>
      </c>
      <c r="M10" s="173">
        <f t="shared" si="2"/>
        <v>9.4050000000000002E-3</v>
      </c>
      <c r="N10" s="133">
        <v>7.1208235294117648</v>
      </c>
      <c r="O10" s="139">
        <f t="shared" si="3"/>
        <v>7441.2605882352946</v>
      </c>
      <c r="P10" s="133">
        <v>1175.63625</v>
      </c>
      <c r="Q10" s="139">
        <f t="shared" si="1"/>
        <v>1228539.8812500001</v>
      </c>
      <c r="R10" s="133">
        <f t="shared" si="4"/>
        <v>0.12285398812500001</v>
      </c>
      <c r="S10" s="23" t="s">
        <v>1491</v>
      </c>
      <c r="T10" s="24" t="s">
        <v>1480</v>
      </c>
      <c r="AA10" s="80" t="s">
        <v>192</v>
      </c>
    </row>
    <row r="11" spans="1:27" ht="12.75" x14ac:dyDescent="0.2">
      <c r="A11" s="24" t="s">
        <v>1502</v>
      </c>
      <c r="B11" s="174">
        <v>44652</v>
      </c>
      <c r="C11" s="23" t="s">
        <v>406</v>
      </c>
      <c r="D11" s="106">
        <v>5001240</v>
      </c>
      <c r="E11" s="24" t="s">
        <v>453</v>
      </c>
      <c r="F11" s="23" t="s">
        <v>424</v>
      </c>
      <c r="G11" s="29" t="s">
        <v>265</v>
      </c>
      <c r="H11" s="24" t="s">
        <v>533</v>
      </c>
      <c r="I11" s="23">
        <v>14</v>
      </c>
      <c r="J11" s="24" t="s">
        <v>7</v>
      </c>
      <c r="K11" s="103">
        <v>28053</v>
      </c>
      <c r="L11" s="25">
        <f t="shared" si="0"/>
        <v>392742</v>
      </c>
      <c r="M11" s="173">
        <f t="shared" si="2"/>
        <v>3.9274200000000002E-2</v>
      </c>
      <c r="N11" s="133">
        <v>9.4285714285714292E-2</v>
      </c>
      <c r="O11" s="139">
        <f t="shared" si="3"/>
        <v>2644.997142857143</v>
      </c>
      <c r="P11" s="133">
        <v>29.853446013737745</v>
      </c>
      <c r="Q11" s="139">
        <f t="shared" si="1"/>
        <v>837478.72102338495</v>
      </c>
      <c r="R11" s="133">
        <f t="shared" si="4"/>
        <v>8.37478721023385E-2</v>
      </c>
      <c r="S11" s="23" t="s">
        <v>1491</v>
      </c>
      <c r="T11" s="24" t="s">
        <v>1480</v>
      </c>
      <c r="AA11"/>
    </row>
    <row r="12" spans="1:27" ht="12.75" x14ac:dyDescent="0.2">
      <c r="A12" s="24" t="s">
        <v>1502</v>
      </c>
      <c r="B12" s="174">
        <v>44652</v>
      </c>
      <c r="C12" s="23" t="s">
        <v>406</v>
      </c>
      <c r="D12" s="106">
        <v>5002249</v>
      </c>
      <c r="E12" s="24" t="s">
        <v>454</v>
      </c>
      <c r="F12" s="23" t="s">
        <v>426</v>
      </c>
      <c r="G12" s="29" t="s">
        <v>265</v>
      </c>
      <c r="H12" s="24" t="s">
        <v>536</v>
      </c>
      <c r="I12" s="23">
        <v>90</v>
      </c>
      <c r="J12" s="24" t="s">
        <v>7</v>
      </c>
      <c r="K12" s="103">
        <v>348</v>
      </c>
      <c r="L12" s="25">
        <f t="shared" si="0"/>
        <v>31320</v>
      </c>
      <c r="M12" s="173">
        <f t="shared" si="2"/>
        <v>3.1319999999999998E-3</v>
      </c>
      <c r="N12" s="133">
        <v>7.1208235294117648</v>
      </c>
      <c r="O12" s="139">
        <f t="shared" si="3"/>
        <v>2478.0465882352942</v>
      </c>
      <c r="P12" s="133">
        <v>3880.9977298850572</v>
      </c>
      <c r="Q12" s="139">
        <f t="shared" si="1"/>
        <v>1350587.21</v>
      </c>
      <c r="R12" s="133">
        <f t="shared" si="4"/>
        <v>0.13505872099999999</v>
      </c>
      <c r="S12" s="23" t="s">
        <v>1491</v>
      </c>
      <c r="T12" s="24" t="s">
        <v>1480</v>
      </c>
      <c r="AA12"/>
    </row>
    <row r="13" spans="1:27" ht="12.75" x14ac:dyDescent="0.2">
      <c r="A13" s="24" t="s">
        <v>1502</v>
      </c>
      <c r="B13" s="174">
        <v>44652</v>
      </c>
      <c r="C13" s="23" t="s">
        <v>406</v>
      </c>
      <c r="D13" s="106">
        <v>5002249</v>
      </c>
      <c r="E13" s="24" t="s">
        <v>454</v>
      </c>
      <c r="F13" s="23" t="s">
        <v>426</v>
      </c>
      <c r="G13" s="29" t="s">
        <v>265</v>
      </c>
      <c r="H13" s="24" t="s">
        <v>537</v>
      </c>
      <c r="I13" s="23">
        <v>90</v>
      </c>
      <c r="J13" s="24" t="s">
        <v>7</v>
      </c>
      <c r="K13" s="103">
        <v>357</v>
      </c>
      <c r="L13" s="25">
        <f t="shared" si="0"/>
        <v>32130</v>
      </c>
      <c r="M13" s="173">
        <f t="shared" si="2"/>
        <v>3.2130000000000001E-3</v>
      </c>
      <c r="N13" s="133">
        <v>7.1208235294117648</v>
      </c>
      <c r="O13" s="139">
        <f t="shared" si="3"/>
        <v>2542.134</v>
      </c>
      <c r="P13" s="133">
        <v>3880.9977298850572</v>
      </c>
      <c r="Q13" s="139">
        <f t="shared" si="1"/>
        <v>1385516.1895689655</v>
      </c>
      <c r="R13" s="133">
        <f t="shared" si="4"/>
        <v>0.13855161895689655</v>
      </c>
      <c r="S13" s="23" t="s">
        <v>1491</v>
      </c>
      <c r="T13" s="24" t="s">
        <v>1480</v>
      </c>
      <c r="AA13"/>
    </row>
    <row r="14" spans="1:27" ht="12.75" x14ac:dyDescent="0.2">
      <c r="A14" s="24" t="s">
        <v>1502</v>
      </c>
      <c r="B14" s="174">
        <v>44652</v>
      </c>
      <c r="C14" s="23" t="s">
        <v>406</v>
      </c>
      <c r="D14" s="106">
        <v>5001240</v>
      </c>
      <c r="E14" s="24" t="s">
        <v>453</v>
      </c>
      <c r="F14" s="23" t="s">
        <v>424</v>
      </c>
      <c r="G14" s="29" t="s">
        <v>265</v>
      </c>
      <c r="H14" s="24" t="s">
        <v>545</v>
      </c>
      <c r="I14" s="23">
        <v>14</v>
      </c>
      <c r="J14" s="24" t="s">
        <v>7</v>
      </c>
      <c r="K14" s="103">
        <v>27669</v>
      </c>
      <c r="L14" s="25">
        <f t="shared" si="0"/>
        <v>387366</v>
      </c>
      <c r="M14" s="173">
        <f t="shared" si="2"/>
        <v>3.8736600000000003E-2</v>
      </c>
      <c r="N14" s="133">
        <v>9.4285714285714292E-2</v>
      </c>
      <c r="O14" s="139">
        <f t="shared" si="3"/>
        <v>2608.7914285714287</v>
      </c>
      <c r="P14" s="133">
        <v>29.853446013737745</v>
      </c>
      <c r="Q14" s="139">
        <f t="shared" si="1"/>
        <v>826014.99775410967</v>
      </c>
      <c r="R14" s="133">
        <f t="shared" si="4"/>
        <v>8.2601499775410966E-2</v>
      </c>
      <c r="S14" s="23" t="s">
        <v>1491</v>
      </c>
      <c r="T14" s="24" t="s">
        <v>1480</v>
      </c>
      <c r="AA14"/>
    </row>
    <row r="15" spans="1:27" ht="12.75" x14ac:dyDescent="0.2">
      <c r="A15" s="24" t="s">
        <v>1502</v>
      </c>
      <c r="B15" s="174">
        <v>44652</v>
      </c>
      <c r="C15" s="23" t="s">
        <v>406</v>
      </c>
      <c r="D15" s="106">
        <v>5002248</v>
      </c>
      <c r="E15" s="24" t="s">
        <v>463</v>
      </c>
      <c r="F15" s="23" t="s">
        <v>426</v>
      </c>
      <c r="G15" s="29" t="s">
        <v>265</v>
      </c>
      <c r="H15" s="24" t="s">
        <v>558</v>
      </c>
      <c r="I15" s="23">
        <v>90</v>
      </c>
      <c r="J15" s="24" t="s">
        <v>7</v>
      </c>
      <c r="K15" s="103">
        <v>514</v>
      </c>
      <c r="L15" s="25">
        <f t="shared" si="0"/>
        <v>46260</v>
      </c>
      <c r="M15" s="173">
        <f t="shared" si="2"/>
        <v>4.6259999999999999E-3</v>
      </c>
      <c r="N15" s="133">
        <v>7.1208235294117648</v>
      </c>
      <c r="O15" s="139">
        <f t="shared" si="3"/>
        <v>3660.1032941176472</v>
      </c>
      <c r="P15" s="133">
        <v>2361.65</v>
      </c>
      <c r="Q15" s="139">
        <f t="shared" si="1"/>
        <v>1213888.1000000001</v>
      </c>
      <c r="R15" s="133">
        <f t="shared" si="4"/>
        <v>0.12138881000000001</v>
      </c>
      <c r="S15" s="23" t="s">
        <v>1491</v>
      </c>
      <c r="T15" s="24" t="s">
        <v>1480</v>
      </c>
      <c r="AA15"/>
    </row>
    <row r="16" spans="1:27" ht="12.75" x14ac:dyDescent="0.2">
      <c r="A16" s="24" t="s">
        <v>1502</v>
      </c>
      <c r="B16" s="174">
        <v>44652</v>
      </c>
      <c r="C16" s="23" t="s">
        <v>406</v>
      </c>
      <c r="D16" s="106">
        <v>5001278</v>
      </c>
      <c r="E16" s="24" t="s">
        <v>467</v>
      </c>
      <c r="F16" s="23" t="s">
        <v>424</v>
      </c>
      <c r="G16" s="29" t="s">
        <v>265</v>
      </c>
      <c r="H16" s="24" t="s">
        <v>568</v>
      </c>
      <c r="I16" s="23">
        <v>10</v>
      </c>
      <c r="J16" s="24" t="s">
        <v>3</v>
      </c>
      <c r="K16" s="103">
        <v>18894</v>
      </c>
      <c r="L16" s="25">
        <f t="shared" si="0"/>
        <v>188940</v>
      </c>
      <c r="M16" s="173">
        <f t="shared" si="2"/>
        <v>1.8894000000000001E-2</v>
      </c>
      <c r="N16" s="133">
        <v>0.7</v>
      </c>
      <c r="O16" s="139">
        <f t="shared" si="3"/>
        <v>13225.8</v>
      </c>
      <c r="P16" s="133">
        <v>94.36666666666666</v>
      </c>
      <c r="Q16" s="139">
        <f t="shared" si="1"/>
        <v>1782963.7999999998</v>
      </c>
      <c r="R16" s="133">
        <f t="shared" si="4"/>
        <v>0.17829637999999998</v>
      </c>
      <c r="S16" s="23" t="s">
        <v>1491</v>
      </c>
      <c r="T16" s="24" t="s">
        <v>1480</v>
      </c>
      <c r="AA16"/>
    </row>
    <row r="17" spans="1:27" ht="12.75" x14ac:dyDescent="0.2">
      <c r="A17" s="24" t="s">
        <v>1502</v>
      </c>
      <c r="B17" s="174">
        <v>44652</v>
      </c>
      <c r="C17" s="23" t="s">
        <v>406</v>
      </c>
      <c r="D17" s="106">
        <v>5000670</v>
      </c>
      <c r="E17" s="24" t="s">
        <v>414</v>
      </c>
      <c r="F17" s="23" t="s">
        <v>424</v>
      </c>
      <c r="G17" s="47" t="s">
        <v>264</v>
      </c>
      <c r="H17" s="24" t="s">
        <v>422</v>
      </c>
      <c r="I17" s="23">
        <v>4</v>
      </c>
      <c r="J17" s="24" t="s">
        <v>3</v>
      </c>
      <c r="K17" s="103">
        <v>631</v>
      </c>
      <c r="L17" s="25">
        <f>K17*I17</f>
        <v>2524</v>
      </c>
      <c r="M17" s="173">
        <f t="shared" si="2"/>
        <v>2.5240000000000001E-4</v>
      </c>
      <c r="N17" s="133">
        <v>0.26</v>
      </c>
      <c r="O17" s="139">
        <f>+K17*N17</f>
        <v>164.06</v>
      </c>
      <c r="P17" s="133">
        <v>74.5</v>
      </c>
      <c r="Q17" s="139">
        <f t="shared" si="1"/>
        <v>47009.5</v>
      </c>
      <c r="R17" s="133">
        <f t="shared" si="4"/>
        <v>4.7009499999999997E-3</v>
      </c>
      <c r="S17" s="23" t="s">
        <v>1491</v>
      </c>
      <c r="T17" s="24" t="s">
        <v>1480</v>
      </c>
      <c r="AA17"/>
    </row>
    <row r="18" spans="1:27" ht="12.75" x14ac:dyDescent="0.2">
      <c r="A18" s="24" t="s">
        <v>1502</v>
      </c>
      <c r="B18" s="174">
        <v>44652</v>
      </c>
      <c r="C18" s="23" t="s">
        <v>406</v>
      </c>
      <c r="D18" s="106">
        <v>5000095</v>
      </c>
      <c r="E18" s="24" t="s">
        <v>328</v>
      </c>
      <c r="F18" s="23" t="s">
        <v>424</v>
      </c>
      <c r="G18" s="47" t="s">
        <v>264</v>
      </c>
      <c r="H18" s="24" t="s">
        <v>468</v>
      </c>
      <c r="I18" s="23">
        <v>10</v>
      </c>
      <c r="J18" s="24" t="s">
        <v>65</v>
      </c>
      <c r="K18" s="103">
        <v>96546</v>
      </c>
      <c r="L18" s="25">
        <f t="shared" ref="L18:L81" si="5">K18*I18</f>
        <v>965460</v>
      </c>
      <c r="M18" s="173">
        <f t="shared" si="2"/>
        <v>9.6546000000000007E-2</v>
      </c>
      <c r="N18" s="133">
        <v>0.6</v>
      </c>
      <c r="O18" s="139">
        <f t="shared" ref="O18:O81" si="6">+K18*N18</f>
        <v>57927.6</v>
      </c>
      <c r="P18" s="133">
        <v>82.545699999999997</v>
      </c>
      <c r="Q18" s="139">
        <f t="shared" si="1"/>
        <v>7969457.1521999994</v>
      </c>
      <c r="R18" s="133">
        <f t="shared" si="4"/>
        <v>0.79694571521999991</v>
      </c>
      <c r="S18" s="23" t="s">
        <v>1491</v>
      </c>
      <c r="T18" s="24" t="s">
        <v>1480</v>
      </c>
      <c r="AA18"/>
    </row>
    <row r="19" spans="1:27" ht="12.75" x14ac:dyDescent="0.2">
      <c r="A19" s="24" t="s">
        <v>1502</v>
      </c>
      <c r="B19" s="174">
        <v>44652</v>
      </c>
      <c r="C19" s="23" t="s">
        <v>406</v>
      </c>
      <c r="D19" s="106">
        <v>5000810</v>
      </c>
      <c r="E19" s="24" t="s">
        <v>429</v>
      </c>
      <c r="F19" s="23" t="s">
        <v>424</v>
      </c>
      <c r="G19" s="47" t="s">
        <v>264</v>
      </c>
      <c r="H19" s="24" t="s">
        <v>469</v>
      </c>
      <c r="I19" s="23">
        <v>10</v>
      </c>
      <c r="J19" s="24" t="s">
        <v>3</v>
      </c>
      <c r="K19" s="103">
        <v>19149</v>
      </c>
      <c r="L19" s="25">
        <f t="shared" si="5"/>
        <v>191490</v>
      </c>
      <c r="M19" s="173">
        <f t="shared" si="2"/>
        <v>1.9148999999999999E-2</v>
      </c>
      <c r="N19" s="133">
        <v>0.32</v>
      </c>
      <c r="O19" s="139">
        <f t="shared" si="6"/>
        <v>6127.68</v>
      </c>
      <c r="P19" s="133">
        <v>100.07833333333335</v>
      </c>
      <c r="Q19" s="139">
        <f t="shared" si="1"/>
        <v>1916400.0050000004</v>
      </c>
      <c r="R19" s="133">
        <f t="shared" si="4"/>
        <v>0.19164000050000005</v>
      </c>
      <c r="S19" s="23" t="s">
        <v>1491</v>
      </c>
      <c r="T19" s="24" t="s">
        <v>1480</v>
      </c>
      <c r="AA19"/>
    </row>
    <row r="20" spans="1:27" ht="12.75" x14ac:dyDescent="0.2">
      <c r="A20" s="24" t="s">
        <v>1502</v>
      </c>
      <c r="B20" s="174">
        <v>44652</v>
      </c>
      <c r="C20" s="23" t="s">
        <v>406</v>
      </c>
      <c r="D20" s="106">
        <v>5000943</v>
      </c>
      <c r="E20" s="24" t="s">
        <v>430</v>
      </c>
      <c r="F20" s="23" t="s">
        <v>424</v>
      </c>
      <c r="G20" s="47" t="s">
        <v>264</v>
      </c>
      <c r="H20" s="24" t="s">
        <v>470</v>
      </c>
      <c r="I20" s="23">
        <v>10</v>
      </c>
      <c r="J20" s="24" t="s">
        <v>3</v>
      </c>
      <c r="K20" s="103">
        <v>136728</v>
      </c>
      <c r="L20" s="25">
        <f t="shared" si="5"/>
        <v>1367280</v>
      </c>
      <c r="M20" s="173">
        <f t="shared" si="2"/>
        <v>0.13672799999999999</v>
      </c>
      <c r="N20" s="133">
        <v>0.34</v>
      </c>
      <c r="O20" s="139">
        <f t="shared" si="6"/>
        <v>46487.520000000004</v>
      </c>
      <c r="P20" s="133">
        <v>71.425631160688241</v>
      </c>
      <c r="Q20" s="139">
        <f t="shared" si="1"/>
        <v>9765883.6973385811</v>
      </c>
      <c r="R20" s="133">
        <f t="shared" si="4"/>
        <v>0.9765883697338581</v>
      </c>
      <c r="S20" s="23" t="s">
        <v>1491</v>
      </c>
      <c r="T20" s="24" t="s">
        <v>1480</v>
      </c>
      <c r="AA20"/>
    </row>
    <row r="21" spans="1:27" ht="12.75" x14ac:dyDescent="0.2">
      <c r="A21" s="24" t="s">
        <v>1502</v>
      </c>
      <c r="B21" s="174">
        <v>44652</v>
      </c>
      <c r="C21" s="23" t="s">
        <v>406</v>
      </c>
      <c r="D21" s="106">
        <v>5001143</v>
      </c>
      <c r="E21" s="24" t="s">
        <v>431</v>
      </c>
      <c r="F21" s="23" t="s">
        <v>424</v>
      </c>
      <c r="G21" s="47" t="s">
        <v>264</v>
      </c>
      <c r="H21" s="24" t="s">
        <v>471</v>
      </c>
      <c r="I21" s="23">
        <v>10</v>
      </c>
      <c r="J21" s="24" t="s">
        <v>65</v>
      </c>
      <c r="K21" s="103">
        <v>77595</v>
      </c>
      <c r="L21" s="25">
        <f t="shared" si="5"/>
        <v>775950</v>
      </c>
      <c r="M21" s="173">
        <f t="shared" si="2"/>
        <v>7.7594999999999997E-2</v>
      </c>
      <c r="N21" s="133">
        <v>0.3</v>
      </c>
      <c r="O21" s="139">
        <f t="shared" si="6"/>
        <v>23278.5</v>
      </c>
      <c r="P21" s="133">
        <v>57.707843938259721</v>
      </c>
      <c r="Q21" s="139">
        <f t="shared" si="1"/>
        <v>4477840.1503892634</v>
      </c>
      <c r="R21" s="133">
        <f t="shared" si="4"/>
        <v>0.44778401503892634</v>
      </c>
      <c r="S21" s="23" t="s">
        <v>1491</v>
      </c>
      <c r="T21" s="24" t="s">
        <v>1480</v>
      </c>
      <c r="AA21"/>
    </row>
    <row r="22" spans="1:27" ht="12.75" x14ac:dyDescent="0.2">
      <c r="A22" s="24" t="s">
        <v>1502</v>
      </c>
      <c r="B22" s="174">
        <v>44652</v>
      </c>
      <c r="C22" s="23" t="s">
        <v>406</v>
      </c>
      <c r="D22" s="106">
        <v>5001198</v>
      </c>
      <c r="E22" s="24" t="s">
        <v>432</v>
      </c>
      <c r="F22" s="23" t="s">
        <v>426</v>
      </c>
      <c r="G22" s="47" t="s">
        <v>264</v>
      </c>
      <c r="H22" s="24" t="s">
        <v>472</v>
      </c>
      <c r="I22" s="23">
        <v>30</v>
      </c>
      <c r="J22" s="24" t="s">
        <v>7</v>
      </c>
      <c r="K22" s="103">
        <v>39099</v>
      </c>
      <c r="L22" s="25">
        <f t="shared" si="5"/>
        <v>1172970</v>
      </c>
      <c r="M22" s="173">
        <f t="shared" si="2"/>
        <v>0.117297</v>
      </c>
      <c r="N22" s="133">
        <v>1.1495918367346938</v>
      </c>
      <c r="O22" s="139">
        <f t="shared" si="6"/>
        <v>44947.891224489795</v>
      </c>
      <c r="P22" s="133">
        <v>61.335999934279705</v>
      </c>
      <c r="Q22" s="139">
        <f t="shared" si="1"/>
        <v>2398176.2614304023</v>
      </c>
      <c r="R22" s="133">
        <f t="shared" si="4"/>
        <v>0.23981762614304022</v>
      </c>
      <c r="S22" s="23" t="s">
        <v>1491</v>
      </c>
      <c r="T22" s="24" t="s">
        <v>1480</v>
      </c>
      <c r="AA22"/>
    </row>
    <row r="23" spans="1:27" ht="12.75" x14ac:dyDescent="0.2">
      <c r="A23" s="24" t="s">
        <v>1502</v>
      </c>
      <c r="B23" s="174">
        <v>44652</v>
      </c>
      <c r="C23" s="23" t="s">
        <v>406</v>
      </c>
      <c r="D23" s="106">
        <v>5001321</v>
      </c>
      <c r="E23" s="24" t="s">
        <v>408</v>
      </c>
      <c r="F23" s="23" t="s">
        <v>424</v>
      </c>
      <c r="G23" s="47" t="s">
        <v>264</v>
      </c>
      <c r="H23" s="24" t="s">
        <v>474</v>
      </c>
      <c r="I23" s="23">
        <v>24</v>
      </c>
      <c r="J23" s="24" t="s">
        <v>3</v>
      </c>
      <c r="K23" s="103">
        <v>294</v>
      </c>
      <c r="L23" s="25">
        <f t="shared" si="5"/>
        <v>7056</v>
      </c>
      <c r="M23" s="173">
        <f t="shared" si="2"/>
        <v>7.0560000000000002E-4</v>
      </c>
      <c r="N23" s="133">
        <v>0.67400000000000004</v>
      </c>
      <c r="O23" s="139">
        <f t="shared" si="6"/>
        <v>198.15600000000001</v>
      </c>
      <c r="P23" s="133">
        <v>44.364199924127469</v>
      </c>
      <c r="Q23" s="139">
        <f t="shared" si="1"/>
        <v>13043.074777693475</v>
      </c>
      <c r="R23" s="133">
        <f t="shared" si="4"/>
        <v>1.3043074777693475E-3</v>
      </c>
      <c r="S23" s="23" t="s">
        <v>1491</v>
      </c>
      <c r="T23" s="24" t="s">
        <v>1480</v>
      </c>
      <c r="AA23"/>
    </row>
    <row r="24" spans="1:27" ht="12.75" x14ac:dyDescent="0.2">
      <c r="A24" s="24" t="s">
        <v>1502</v>
      </c>
      <c r="B24" s="174">
        <v>44652</v>
      </c>
      <c r="C24" s="23" t="s">
        <v>406</v>
      </c>
      <c r="D24" s="106">
        <v>5001599</v>
      </c>
      <c r="E24" s="24" t="s">
        <v>223</v>
      </c>
      <c r="F24" s="23" t="s">
        <v>426</v>
      </c>
      <c r="G24" s="47" t="s">
        <v>264</v>
      </c>
      <c r="H24" s="24" t="s">
        <v>475</v>
      </c>
      <c r="I24" s="23">
        <v>90</v>
      </c>
      <c r="J24" s="24" t="s">
        <v>7</v>
      </c>
      <c r="K24" s="103">
        <v>49284</v>
      </c>
      <c r="L24" s="25">
        <f t="shared" si="5"/>
        <v>4435560</v>
      </c>
      <c r="M24" s="173">
        <f t="shared" si="2"/>
        <v>0.44355600000000001</v>
      </c>
      <c r="N24" s="133">
        <v>2.5342708333333333</v>
      </c>
      <c r="O24" s="139">
        <f t="shared" si="6"/>
        <v>124899.00374999999</v>
      </c>
      <c r="P24" s="133">
        <v>121.35599974496301</v>
      </c>
      <c r="Q24" s="139">
        <f t="shared" si="1"/>
        <v>5980909.0914307572</v>
      </c>
      <c r="R24" s="133">
        <f t="shared" si="4"/>
        <v>0.59809090914307572</v>
      </c>
      <c r="S24" s="23" t="s">
        <v>1491</v>
      </c>
      <c r="T24" s="24" t="s">
        <v>1480</v>
      </c>
      <c r="AA24"/>
    </row>
    <row r="25" spans="1:27" ht="12.75" x14ac:dyDescent="0.2">
      <c r="A25" s="24" t="s">
        <v>1502</v>
      </c>
      <c r="B25" s="174">
        <v>44652</v>
      </c>
      <c r="C25" s="23" t="s">
        <v>406</v>
      </c>
      <c r="D25" s="106">
        <v>5005146</v>
      </c>
      <c r="E25" s="24" t="s">
        <v>433</v>
      </c>
      <c r="F25" s="23" t="s">
        <v>424</v>
      </c>
      <c r="G25" s="47" t="s">
        <v>264</v>
      </c>
      <c r="H25" s="24" t="s">
        <v>476</v>
      </c>
      <c r="I25" s="23">
        <v>10</v>
      </c>
      <c r="J25" s="24" t="s">
        <v>3</v>
      </c>
      <c r="K25" s="103">
        <v>11772</v>
      </c>
      <c r="L25" s="25">
        <f t="shared" si="5"/>
        <v>117720</v>
      </c>
      <c r="M25" s="173">
        <f t="shared" si="2"/>
        <v>1.1771999999999999E-2</v>
      </c>
      <c r="N25" s="133">
        <v>0.2879591836734694</v>
      </c>
      <c r="O25" s="139">
        <f t="shared" si="6"/>
        <v>3389.8555102040818</v>
      </c>
      <c r="P25" s="133">
        <v>65.063333333333333</v>
      </c>
      <c r="Q25" s="139">
        <f t="shared" si="1"/>
        <v>765925.55999999994</v>
      </c>
      <c r="R25" s="133">
        <f t="shared" si="4"/>
        <v>7.6592555999999992E-2</v>
      </c>
      <c r="S25" s="23" t="s">
        <v>1491</v>
      </c>
      <c r="T25" s="24" t="s">
        <v>1480</v>
      </c>
      <c r="AA25"/>
    </row>
    <row r="26" spans="1:27" ht="12.75" x14ac:dyDescent="0.2">
      <c r="A26" s="24" t="s">
        <v>1502</v>
      </c>
      <c r="B26" s="174">
        <v>44652</v>
      </c>
      <c r="C26" s="23" t="s">
        <v>406</v>
      </c>
      <c r="D26" s="106">
        <v>5006014</v>
      </c>
      <c r="E26" s="24" t="s">
        <v>434</v>
      </c>
      <c r="F26" s="23" t="s">
        <v>424</v>
      </c>
      <c r="G26" s="47" t="s">
        <v>264</v>
      </c>
      <c r="H26" s="24" t="s">
        <v>477</v>
      </c>
      <c r="I26" s="23">
        <v>10</v>
      </c>
      <c r="J26" s="24" t="s">
        <v>3</v>
      </c>
      <c r="K26" s="103">
        <v>13920</v>
      </c>
      <c r="L26" s="25">
        <f t="shared" si="5"/>
        <v>139200</v>
      </c>
      <c r="M26" s="173">
        <f t="shared" si="2"/>
        <v>1.392E-2</v>
      </c>
      <c r="N26" s="133">
        <v>0.29395833333333332</v>
      </c>
      <c r="O26" s="139">
        <f t="shared" si="6"/>
        <v>4091.8999999999996</v>
      </c>
      <c r="P26" s="133">
        <v>58.40257417102967</v>
      </c>
      <c r="Q26" s="139">
        <f t="shared" si="1"/>
        <v>812963.83246073301</v>
      </c>
      <c r="R26" s="133">
        <f t="shared" si="4"/>
        <v>8.12963832460733E-2</v>
      </c>
      <c r="S26" s="23" t="s">
        <v>1491</v>
      </c>
      <c r="T26" s="24" t="s">
        <v>1480</v>
      </c>
      <c r="AA26"/>
    </row>
    <row r="27" spans="1:27" ht="12.75" x14ac:dyDescent="0.2">
      <c r="A27" s="24" t="s">
        <v>1502</v>
      </c>
      <c r="B27" s="174">
        <v>44652</v>
      </c>
      <c r="C27" s="23" t="s">
        <v>406</v>
      </c>
      <c r="D27" s="106">
        <v>5000810</v>
      </c>
      <c r="E27" s="24" t="s">
        <v>429</v>
      </c>
      <c r="F27" s="23" t="s">
        <v>424</v>
      </c>
      <c r="G27" s="47" t="s">
        <v>264</v>
      </c>
      <c r="H27" s="24" t="s">
        <v>478</v>
      </c>
      <c r="I27" s="23">
        <v>10</v>
      </c>
      <c r="J27" s="24" t="s">
        <v>3</v>
      </c>
      <c r="K27" s="103">
        <v>19146</v>
      </c>
      <c r="L27" s="25">
        <f t="shared" si="5"/>
        <v>191460</v>
      </c>
      <c r="M27" s="173">
        <f t="shared" si="2"/>
        <v>1.9146E-2</v>
      </c>
      <c r="N27" s="133">
        <v>0.32</v>
      </c>
      <c r="O27" s="139">
        <f t="shared" si="6"/>
        <v>6126.72</v>
      </c>
      <c r="P27" s="133">
        <v>100.07833333333335</v>
      </c>
      <c r="Q27" s="139">
        <f t="shared" si="1"/>
        <v>1916099.7700000003</v>
      </c>
      <c r="R27" s="133">
        <f t="shared" si="4"/>
        <v>0.19160997700000001</v>
      </c>
      <c r="S27" s="23" t="s">
        <v>1491</v>
      </c>
      <c r="T27" s="24" t="s">
        <v>1480</v>
      </c>
      <c r="AA27"/>
    </row>
    <row r="28" spans="1:27" ht="12.75" x14ac:dyDescent="0.2">
      <c r="A28" s="24" t="s">
        <v>1502</v>
      </c>
      <c r="B28" s="174">
        <v>44652</v>
      </c>
      <c r="C28" s="23" t="s">
        <v>406</v>
      </c>
      <c r="D28" s="106">
        <v>5004390</v>
      </c>
      <c r="E28" s="24" t="s">
        <v>435</v>
      </c>
      <c r="F28" s="23" t="s">
        <v>424</v>
      </c>
      <c r="G28" s="47" t="s">
        <v>264</v>
      </c>
      <c r="H28" s="24" t="s">
        <v>474</v>
      </c>
      <c r="I28" s="23">
        <v>24</v>
      </c>
      <c r="J28" s="24" t="s">
        <v>3</v>
      </c>
      <c r="K28" s="103">
        <v>105936</v>
      </c>
      <c r="L28" s="25">
        <f t="shared" si="5"/>
        <v>2542464</v>
      </c>
      <c r="M28" s="173">
        <f t="shared" si="2"/>
        <v>0.25424639999999998</v>
      </c>
      <c r="N28" s="133">
        <v>0.67400000000000004</v>
      </c>
      <c r="O28" s="139">
        <f t="shared" si="6"/>
        <v>71400.864000000001</v>
      </c>
      <c r="P28" s="133">
        <v>37.498333333333328</v>
      </c>
      <c r="Q28" s="139">
        <f t="shared" si="1"/>
        <v>3972423.4399999995</v>
      </c>
      <c r="R28" s="133">
        <f t="shared" si="4"/>
        <v>0.39724234399999997</v>
      </c>
      <c r="S28" s="23" t="s">
        <v>1491</v>
      </c>
      <c r="T28" s="24" t="s">
        <v>1480</v>
      </c>
      <c r="AA28"/>
    </row>
    <row r="29" spans="1:27" ht="12.75" x14ac:dyDescent="0.2">
      <c r="A29" s="24" t="s">
        <v>1502</v>
      </c>
      <c r="B29" s="174">
        <v>44652</v>
      </c>
      <c r="C29" s="23" t="s">
        <v>406</v>
      </c>
      <c r="D29" s="106">
        <v>5001398</v>
      </c>
      <c r="E29" s="24" t="s">
        <v>436</v>
      </c>
      <c r="F29" s="23" t="s">
        <v>424</v>
      </c>
      <c r="G29" s="47" t="s">
        <v>264</v>
      </c>
      <c r="H29" s="24" t="s">
        <v>479</v>
      </c>
      <c r="I29" s="23">
        <v>10</v>
      </c>
      <c r="J29" s="24" t="s">
        <v>65</v>
      </c>
      <c r="K29" s="103">
        <v>97263</v>
      </c>
      <c r="L29" s="25">
        <f t="shared" si="5"/>
        <v>972630</v>
      </c>
      <c r="M29" s="173">
        <f t="shared" si="2"/>
        <v>9.7263000000000002E-2</v>
      </c>
      <c r="N29" s="133">
        <v>0.28000000000000003</v>
      </c>
      <c r="O29" s="139">
        <f t="shared" si="6"/>
        <v>27233.640000000003</v>
      </c>
      <c r="P29" s="133">
        <v>92.239026936026946</v>
      </c>
      <c r="Q29" s="139">
        <f t="shared" si="1"/>
        <v>8971444.4768787883</v>
      </c>
      <c r="R29" s="133">
        <f t="shared" si="4"/>
        <v>0.89714444768787882</v>
      </c>
      <c r="S29" s="23" t="s">
        <v>1491</v>
      </c>
      <c r="T29" s="24" t="s">
        <v>1480</v>
      </c>
      <c r="AA29"/>
    </row>
    <row r="30" spans="1:27" ht="12.75" x14ac:dyDescent="0.2">
      <c r="A30" s="24" t="s">
        <v>1502</v>
      </c>
      <c r="B30" s="174">
        <v>44652</v>
      </c>
      <c r="C30" s="23" t="s">
        <v>406</v>
      </c>
      <c r="D30" s="106">
        <v>5001599</v>
      </c>
      <c r="E30" s="24" t="s">
        <v>223</v>
      </c>
      <c r="F30" s="23" t="s">
        <v>426</v>
      </c>
      <c r="G30" s="47" t="s">
        <v>264</v>
      </c>
      <c r="H30" s="24" t="s">
        <v>480</v>
      </c>
      <c r="I30" s="23">
        <v>90</v>
      </c>
      <c r="J30" s="24" t="s">
        <v>7</v>
      </c>
      <c r="K30" s="103">
        <v>49215</v>
      </c>
      <c r="L30" s="25">
        <f t="shared" si="5"/>
        <v>4429350</v>
      </c>
      <c r="M30" s="173">
        <f t="shared" si="2"/>
        <v>0.44293500000000002</v>
      </c>
      <c r="N30" s="133">
        <v>2.5342708333333333</v>
      </c>
      <c r="O30" s="139">
        <f t="shared" si="6"/>
        <v>124724.13906249999</v>
      </c>
      <c r="P30" s="133">
        <v>121.35599974496301</v>
      </c>
      <c r="Q30" s="139">
        <f t="shared" si="1"/>
        <v>5972535.5274483552</v>
      </c>
      <c r="R30" s="133">
        <f t="shared" si="4"/>
        <v>0.59725355274483549</v>
      </c>
      <c r="S30" s="23" t="s">
        <v>1491</v>
      </c>
      <c r="T30" s="24" t="s">
        <v>1480</v>
      </c>
      <c r="AA30"/>
    </row>
    <row r="31" spans="1:27" ht="12.75" x14ac:dyDescent="0.2">
      <c r="A31" s="24" t="s">
        <v>1502</v>
      </c>
      <c r="B31" s="174">
        <v>44652</v>
      </c>
      <c r="C31" s="23" t="s">
        <v>406</v>
      </c>
      <c r="D31" s="106">
        <v>5004115</v>
      </c>
      <c r="E31" s="24" t="s">
        <v>368</v>
      </c>
      <c r="F31" s="23" t="s">
        <v>424</v>
      </c>
      <c r="G31" s="47" t="s">
        <v>264</v>
      </c>
      <c r="H31" s="24" t="s">
        <v>481</v>
      </c>
      <c r="I31" s="109">
        <v>10</v>
      </c>
      <c r="J31" s="24" t="s">
        <v>3</v>
      </c>
      <c r="K31" s="103">
        <v>27960</v>
      </c>
      <c r="L31" s="25">
        <f t="shared" si="5"/>
        <v>279600</v>
      </c>
      <c r="M31" s="173">
        <f t="shared" si="2"/>
        <v>2.7959999999999999E-2</v>
      </c>
      <c r="N31" s="133">
        <v>0.34177083333333336</v>
      </c>
      <c r="O31" s="139">
        <f t="shared" si="6"/>
        <v>9555.9125000000004</v>
      </c>
      <c r="P31" s="133">
        <v>72.016666666666666</v>
      </c>
      <c r="Q31" s="139">
        <f t="shared" si="1"/>
        <v>2013586</v>
      </c>
      <c r="R31" s="133">
        <f t="shared" si="4"/>
        <v>0.2013586</v>
      </c>
      <c r="S31" s="23" t="s">
        <v>1491</v>
      </c>
      <c r="T31" s="24" t="s">
        <v>1480</v>
      </c>
      <c r="AA31"/>
    </row>
    <row r="32" spans="1:27" ht="12.75" x14ac:dyDescent="0.2">
      <c r="A32" s="24" t="s">
        <v>1502</v>
      </c>
      <c r="B32" s="174">
        <v>44652</v>
      </c>
      <c r="C32" s="23" t="s">
        <v>406</v>
      </c>
      <c r="D32" s="106">
        <v>5006014</v>
      </c>
      <c r="E32" s="24" t="s">
        <v>434</v>
      </c>
      <c r="F32" s="23" t="s">
        <v>424</v>
      </c>
      <c r="G32" s="47" t="s">
        <v>264</v>
      </c>
      <c r="H32" s="24" t="s">
        <v>482</v>
      </c>
      <c r="I32" s="23">
        <v>10</v>
      </c>
      <c r="J32" s="24" t="s">
        <v>3</v>
      </c>
      <c r="K32" s="103">
        <v>13308</v>
      </c>
      <c r="L32" s="25">
        <f t="shared" si="5"/>
        <v>133080</v>
      </c>
      <c r="M32" s="173">
        <f t="shared" si="2"/>
        <v>1.3308E-2</v>
      </c>
      <c r="N32" s="133">
        <v>0.29395833333333332</v>
      </c>
      <c r="O32" s="139">
        <f t="shared" si="6"/>
        <v>3911.9974999999999</v>
      </c>
      <c r="P32" s="133">
        <v>58.40257417102967</v>
      </c>
      <c r="Q32" s="139">
        <f t="shared" si="1"/>
        <v>777221.45706806285</v>
      </c>
      <c r="R32" s="133">
        <f t="shared" si="4"/>
        <v>7.7722145706806287E-2</v>
      </c>
      <c r="S32" s="23" t="s">
        <v>1491</v>
      </c>
      <c r="T32" s="24" t="s">
        <v>1480</v>
      </c>
      <c r="AA32"/>
    </row>
    <row r="33" spans="1:27" ht="12.75" x14ac:dyDescent="0.2">
      <c r="A33" s="24" t="s">
        <v>1502</v>
      </c>
      <c r="B33" s="174">
        <v>44652</v>
      </c>
      <c r="C33" s="23" t="s">
        <v>406</v>
      </c>
      <c r="D33" s="106">
        <v>5006014</v>
      </c>
      <c r="E33" s="24" t="s">
        <v>434</v>
      </c>
      <c r="F33" s="23" t="s">
        <v>424</v>
      </c>
      <c r="G33" s="47" t="s">
        <v>264</v>
      </c>
      <c r="H33" s="24" t="s">
        <v>483</v>
      </c>
      <c r="I33" s="23">
        <v>10</v>
      </c>
      <c r="J33" s="24" t="s">
        <v>3</v>
      </c>
      <c r="K33" s="103">
        <v>13863</v>
      </c>
      <c r="L33" s="25">
        <f t="shared" si="5"/>
        <v>138630</v>
      </c>
      <c r="M33" s="173">
        <f t="shared" si="2"/>
        <v>1.3863E-2</v>
      </c>
      <c r="N33" s="133">
        <v>0.29395833333333332</v>
      </c>
      <c r="O33" s="139">
        <f t="shared" si="6"/>
        <v>4075.1443749999999</v>
      </c>
      <c r="P33" s="133">
        <v>58.40257417102967</v>
      </c>
      <c r="Q33" s="139">
        <f t="shared" si="1"/>
        <v>809634.88573298429</v>
      </c>
      <c r="R33" s="133">
        <f t="shared" si="4"/>
        <v>8.0963488573298423E-2</v>
      </c>
      <c r="S33" s="23" t="s">
        <v>1491</v>
      </c>
      <c r="T33" s="24" t="s">
        <v>1480</v>
      </c>
      <c r="AA33"/>
    </row>
    <row r="34" spans="1:27" ht="12.75" x14ac:dyDescent="0.2">
      <c r="A34" s="24" t="s">
        <v>1502</v>
      </c>
      <c r="B34" s="174">
        <v>44652</v>
      </c>
      <c r="C34" s="23" t="s">
        <v>406</v>
      </c>
      <c r="D34" s="106">
        <v>5000943</v>
      </c>
      <c r="E34" s="24" t="s">
        <v>430</v>
      </c>
      <c r="F34" s="23" t="s">
        <v>424</v>
      </c>
      <c r="G34" s="47" t="s">
        <v>264</v>
      </c>
      <c r="H34" s="24" t="s">
        <v>484</v>
      </c>
      <c r="I34" s="23">
        <v>10</v>
      </c>
      <c r="J34" s="24" t="s">
        <v>3</v>
      </c>
      <c r="K34" s="103">
        <v>137028</v>
      </c>
      <c r="L34" s="25">
        <f t="shared" si="5"/>
        <v>1370280</v>
      </c>
      <c r="M34" s="173">
        <f t="shared" si="2"/>
        <v>0.13702800000000001</v>
      </c>
      <c r="N34" s="133">
        <v>0.34</v>
      </c>
      <c r="O34" s="139">
        <f t="shared" si="6"/>
        <v>46589.520000000004</v>
      </c>
      <c r="P34" s="133">
        <v>71.425631160688241</v>
      </c>
      <c r="Q34" s="139">
        <f t="shared" si="1"/>
        <v>9787311.3866867889</v>
      </c>
      <c r="R34" s="133">
        <f t="shared" si="4"/>
        <v>0.97873113866867889</v>
      </c>
      <c r="S34" s="23" t="s">
        <v>1491</v>
      </c>
      <c r="T34" s="24" t="s">
        <v>1480</v>
      </c>
      <c r="AA34"/>
    </row>
    <row r="35" spans="1:27" ht="12.75" x14ac:dyDescent="0.2">
      <c r="A35" s="24" t="s">
        <v>1502</v>
      </c>
      <c r="B35" s="174">
        <v>44652</v>
      </c>
      <c r="C35" s="23" t="s">
        <v>406</v>
      </c>
      <c r="D35" s="106">
        <v>5002905</v>
      </c>
      <c r="E35" s="24" t="s">
        <v>438</v>
      </c>
      <c r="F35" s="23" t="s">
        <v>424</v>
      </c>
      <c r="G35" s="47" t="s">
        <v>264</v>
      </c>
      <c r="H35" s="24" t="s">
        <v>487</v>
      </c>
      <c r="I35" s="23">
        <v>24</v>
      </c>
      <c r="J35" s="24" t="s">
        <v>3</v>
      </c>
      <c r="K35" s="103">
        <v>143287</v>
      </c>
      <c r="L35" s="25">
        <f t="shared" si="5"/>
        <v>3438888</v>
      </c>
      <c r="M35" s="173">
        <f t="shared" si="2"/>
        <v>0.34388879999999999</v>
      </c>
      <c r="N35" s="133">
        <v>0.67400000000000004</v>
      </c>
      <c r="O35" s="139">
        <f t="shared" si="6"/>
        <v>96575.438000000009</v>
      </c>
      <c r="P35" s="133">
        <v>49.929366475462075</v>
      </c>
      <c r="Q35" s="139">
        <f t="shared" si="1"/>
        <v>7154229.1341695348</v>
      </c>
      <c r="R35" s="133">
        <f t="shared" si="4"/>
        <v>0.71542291341695352</v>
      </c>
      <c r="S35" s="23" t="s">
        <v>1491</v>
      </c>
      <c r="T35" s="24" t="s">
        <v>1480</v>
      </c>
      <c r="AA35"/>
    </row>
    <row r="36" spans="1:27" ht="12.75" x14ac:dyDescent="0.2">
      <c r="A36" s="24" t="s">
        <v>1502</v>
      </c>
      <c r="B36" s="174">
        <v>44652</v>
      </c>
      <c r="C36" s="23" t="s">
        <v>406</v>
      </c>
      <c r="D36" s="106">
        <v>5002905</v>
      </c>
      <c r="E36" s="24" t="s">
        <v>438</v>
      </c>
      <c r="F36" s="23" t="s">
        <v>424</v>
      </c>
      <c r="G36" s="47" t="s">
        <v>264</v>
      </c>
      <c r="H36" s="24" t="s">
        <v>488</v>
      </c>
      <c r="I36" s="23">
        <v>24</v>
      </c>
      <c r="J36" s="24" t="s">
        <v>3</v>
      </c>
      <c r="K36" s="103">
        <v>28434</v>
      </c>
      <c r="L36" s="25">
        <f t="shared" si="5"/>
        <v>682416</v>
      </c>
      <c r="M36" s="173">
        <f t="shared" si="2"/>
        <v>6.8241599999999999E-2</v>
      </c>
      <c r="N36" s="133">
        <v>0.67400000000000004</v>
      </c>
      <c r="O36" s="139">
        <f t="shared" si="6"/>
        <v>19164.516</v>
      </c>
      <c r="P36" s="133">
        <v>49.929366475462075</v>
      </c>
      <c r="Q36" s="139">
        <f t="shared" si="1"/>
        <v>1419691.6063632886</v>
      </c>
      <c r="R36" s="133">
        <f t="shared" si="4"/>
        <v>0.14196916063632886</v>
      </c>
      <c r="S36" s="23" t="s">
        <v>1491</v>
      </c>
      <c r="T36" s="24" t="s">
        <v>1480</v>
      </c>
      <c r="AA36"/>
    </row>
    <row r="37" spans="1:27" ht="12.75" x14ac:dyDescent="0.2">
      <c r="A37" s="24" t="s">
        <v>1502</v>
      </c>
      <c r="B37" s="174">
        <v>44652</v>
      </c>
      <c r="C37" s="23" t="s">
        <v>406</v>
      </c>
      <c r="D37" s="106">
        <v>5004115</v>
      </c>
      <c r="E37" s="24" t="s">
        <v>368</v>
      </c>
      <c r="F37" s="23" t="s">
        <v>424</v>
      </c>
      <c r="G37" s="47" t="s">
        <v>264</v>
      </c>
      <c r="H37" s="24" t="s">
        <v>489</v>
      </c>
      <c r="I37" s="109">
        <v>10</v>
      </c>
      <c r="J37" s="24" t="s">
        <v>3</v>
      </c>
      <c r="K37" s="103">
        <v>28290</v>
      </c>
      <c r="L37" s="25">
        <f t="shared" si="5"/>
        <v>282900</v>
      </c>
      <c r="M37" s="173">
        <f t="shared" si="2"/>
        <v>2.8289999999999999E-2</v>
      </c>
      <c r="N37" s="133">
        <v>0.34177083333333336</v>
      </c>
      <c r="O37" s="139">
        <f t="shared" si="6"/>
        <v>9668.6968750000015</v>
      </c>
      <c r="P37" s="133">
        <v>72.016666666666666</v>
      </c>
      <c r="Q37" s="139">
        <f t="shared" si="1"/>
        <v>2037351.5</v>
      </c>
      <c r="R37" s="133">
        <f t="shared" si="4"/>
        <v>0.20373515</v>
      </c>
      <c r="S37" s="23" t="s">
        <v>1491</v>
      </c>
      <c r="T37" s="24" t="s">
        <v>1480</v>
      </c>
      <c r="AA37"/>
    </row>
    <row r="38" spans="1:27" ht="12.75" x14ac:dyDescent="0.2">
      <c r="A38" s="24" t="s">
        <v>1502</v>
      </c>
      <c r="B38" s="174">
        <v>44652</v>
      </c>
      <c r="C38" s="23" t="s">
        <v>406</v>
      </c>
      <c r="D38" s="106">
        <v>5004375</v>
      </c>
      <c r="E38" s="24" t="s">
        <v>439</v>
      </c>
      <c r="F38" s="23" t="s">
        <v>424</v>
      </c>
      <c r="G38" s="47" t="s">
        <v>264</v>
      </c>
      <c r="H38" s="24" t="s">
        <v>490</v>
      </c>
      <c r="I38" s="23">
        <v>6</v>
      </c>
      <c r="J38" s="24" t="s">
        <v>3</v>
      </c>
      <c r="K38" s="103">
        <v>197116</v>
      </c>
      <c r="L38" s="25">
        <f t="shared" si="5"/>
        <v>1182696</v>
      </c>
      <c r="M38" s="173">
        <f t="shared" si="2"/>
        <v>0.1182696</v>
      </c>
      <c r="N38" s="133">
        <v>0.28375510204081633</v>
      </c>
      <c r="O38" s="139">
        <f t="shared" si="6"/>
        <v>55932.670693877553</v>
      </c>
      <c r="P38" s="133">
        <v>17.880000000000003</v>
      </c>
      <c r="Q38" s="139">
        <f t="shared" si="1"/>
        <v>3524434.0800000005</v>
      </c>
      <c r="R38" s="133">
        <f t="shared" si="4"/>
        <v>0.35244340800000007</v>
      </c>
      <c r="S38" s="23" t="s">
        <v>1491</v>
      </c>
      <c r="T38" s="24" t="s">
        <v>1480</v>
      </c>
      <c r="AA38"/>
    </row>
    <row r="39" spans="1:27" ht="12.75" x14ac:dyDescent="0.2">
      <c r="A39" s="24" t="s">
        <v>1502</v>
      </c>
      <c r="B39" s="174">
        <v>44652</v>
      </c>
      <c r="C39" s="23" t="s">
        <v>406</v>
      </c>
      <c r="D39" s="106">
        <v>5001552</v>
      </c>
      <c r="E39" s="24" t="s">
        <v>330</v>
      </c>
      <c r="F39" s="23" t="s">
        <v>426</v>
      </c>
      <c r="G39" s="47" t="s">
        <v>264</v>
      </c>
      <c r="H39" s="24" t="s">
        <v>491</v>
      </c>
      <c r="I39" s="23">
        <v>30</v>
      </c>
      <c r="J39" s="24" t="s">
        <v>7</v>
      </c>
      <c r="K39" s="103">
        <v>36268</v>
      </c>
      <c r="L39" s="25">
        <f t="shared" si="5"/>
        <v>1088040</v>
      </c>
      <c r="M39" s="173">
        <f t="shared" si="2"/>
        <v>0.108804</v>
      </c>
      <c r="N39" s="133">
        <v>1.3169791666666666</v>
      </c>
      <c r="O39" s="139">
        <f t="shared" si="6"/>
        <v>47764.200416666667</v>
      </c>
      <c r="P39" s="133">
        <v>60.67799988903684</v>
      </c>
      <c r="Q39" s="139">
        <f t="shared" si="1"/>
        <v>2200669.6999755884</v>
      </c>
      <c r="R39" s="133">
        <f t="shared" si="4"/>
        <v>0.22006696999755884</v>
      </c>
      <c r="S39" s="23" t="s">
        <v>1491</v>
      </c>
      <c r="T39" s="24" t="s">
        <v>1480</v>
      </c>
      <c r="AA39"/>
    </row>
    <row r="40" spans="1:27" ht="12.75" x14ac:dyDescent="0.2">
      <c r="A40" s="24" t="s">
        <v>1502</v>
      </c>
      <c r="B40" s="174">
        <v>44652</v>
      </c>
      <c r="C40" s="23" t="s">
        <v>406</v>
      </c>
      <c r="D40" s="106">
        <v>5004115</v>
      </c>
      <c r="E40" s="24" t="s">
        <v>368</v>
      </c>
      <c r="F40" s="23" t="s">
        <v>424</v>
      </c>
      <c r="G40" s="47" t="s">
        <v>264</v>
      </c>
      <c r="H40" s="24" t="s">
        <v>492</v>
      </c>
      <c r="I40" s="109">
        <v>10</v>
      </c>
      <c r="J40" s="24" t="s">
        <v>3</v>
      </c>
      <c r="K40" s="103">
        <v>20832</v>
      </c>
      <c r="L40" s="25">
        <f t="shared" si="5"/>
        <v>208320</v>
      </c>
      <c r="M40" s="173">
        <f t="shared" si="2"/>
        <v>2.0832E-2</v>
      </c>
      <c r="N40" s="133">
        <v>0.34177083333333336</v>
      </c>
      <c r="O40" s="139">
        <f t="shared" si="6"/>
        <v>7119.77</v>
      </c>
      <c r="P40" s="133">
        <v>72.016666666666666</v>
      </c>
      <c r="Q40" s="139">
        <f t="shared" si="1"/>
        <v>1500251.2</v>
      </c>
      <c r="R40" s="133">
        <f t="shared" si="4"/>
        <v>0.15002511999999998</v>
      </c>
      <c r="S40" s="23" t="s">
        <v>1491</v>
      </c>
      <c r="T40" s="24" t="s">
        <v>1480</v>
      </c>
      <c r="AA40"/>
    </row>
    <row r="41" spans="1:27" ht="12.75" x14ac:dyDescent="0.2">
      <c r="A41" s="24" t="s">
        <v>1502</v>
      </c>
      <c r="B41" s="174">
        <v>44652</v>
      </c>
      <c r="C41" s="23" t="s">
        <v>406</v>
      </c>
      <c r="D41" s="106">
        <v>5000089</v>
      </c>
      <c r="E41" s="24" t="s">
        <v>440</v>
      </c>
      <c r="F41" s="23" t="s">
        <v>424</v>
      </c>
      <c r="G41" s="47" t="s">
        <v>264</v>
      </c>
      <c r="H41" s="24" t="s">
        <v>471</v>
      </c>
      <c r="I41" s="23">
        <v>10</v>
      </c>
      <c r="J41" s="24" t="s">
        <v>65</v>
      </c>
      <c r="K41" s="103">
        <v>19416</v>
      </c>
      <c r="L41" s="25">
        <f t="shared" si="5"/>
        <v>194160</v>
      </c>
      <c r="M41" s="173">
        <f t="shared" si="2"/>
        <v>1.9415999999999999E-2</v>
      </c>
      <c r="N41" s="133">
        <v>0.3</v>
      </c>
      <c r="O41" s="139">
        <f t="shared" si="6"/>
        <v>5824.8</v>
      </c>
      <c r="P41" s="133">
        <v>74.5</v>
      </c>
      <c r="Q41" s="139">
        <f t="shared" si="1"/>
        <v>1446492</v>
      </c>
      <c r="R41" s="133">
        <f t="shared" si="4"/>
        <v>0.14464920000000001</v>
      </c>
      <c r="S41" s="23" t="s">
        <v>1491</v>
      </c>
      <c r="T41" s="24" t="s">
        <v>1480</v>
      </c>
      <c r="AA41"/>
    </row>
    <row r="42" spans="1:27" ht="12.75" x14ac:dyDescent="0.2">
      <c r="A42" s="24" t="s">
        <v>1502</v>
      </c>
      <c r="B42" s="174">
        <v>44652</v>
      </c>
      <c r="C42" s="23" t="s">
        <v>406</v>
      </c>
      <c r="D42" s="106">
        <v>5001552</v>
      </c>
      <c r="E42" s="24" t="s">
        <v>330</v>
      </c>
      <c r="F42" s="23" t="s">
        <v>426</v>
      </c>
      <c r="G42" s="47" t="s">
        <v>264</v>
      </c>
      <c r="H42" s="24" t="s">
        <v>493</v>
      </c>
      <c r="I42" s="23">
        <v>30</v>
      </c>
      <c r="J42" s="24" t="s">
        <v>7</v>
      </c>
      <c r="K42" s="103">
        <v>36171</v>
      </c>
      <c r="L42" s="25">
        <f t="shared" si="5"/>
        <v>1085130</v>
      </c>
      <c r="M42" s="173">
        <f t="shared" si="2"/>
        <v>0.108513</v>
      </c>
      <c r="N42" s="133">
        <v>1.3169791666666666</v>
      </c>
      <c r="O42" s="139">
        <f t="shared" si="6"/>
        <v>47636.4534375</v>
      </c>
      <c r="P42" s="133">
        <v>60.67799988903684</v>
      </c>
      <c r="Q42" s="139">
        <f t="shared" si="1"/>
        <v>2194783.9339863514</v>
      </c>
      <c r="R42" s="133">
        <f t="shared" si="4"/>
        <v>0.21947839339863515</v>
      </c>
      <c r="S42" s="23" t="s">
        <v>1491</v>
      </c>
      <c r="T42" s="24" t="s">
        <v>1480</v>
      </c>
      <c r="AA42"/>
    </row>
    <row r="43" spans="1:27" ht="12.75" x14ac:dyDescent="0.2">
      <c r="A43" s="24" t="s">
        <v>1502</v>
      </c>
      <c r="B43" s="174">
        <v>44652</v>
      </c>
      <c r="C43" s="23" t="s">
        <v>406</v>
      </c>
      <c r="D43" s="106">
        <v>5002627</v>
      </c>
      <c r="E43" s="24" t="s">
        <v>441</v>
      </c>
      <c r="F43" s="23" t="s">
        <v>424</v>
      </c>
      <c r="G43" s="47" t="s">
        <v>264</v>
      </c>
      <c r="H43" s="24" t="s">
        <v>494</v>
      </c>
      <c r="I43" s="23">
        <v>4</v>
      </c>
      <c r="J43" s="24" t="s">
        <v>3</v>
      </c>
      <c r="K43" s="103">
        <v>35764</v>
      </c>
      <c r="L43" s="25">
        <f t="shared" si="5"/>
        <v>143056</v>
      </c>
      <c r="M43" s="173">
        <f t="shared" si="2"/>
        <v>1.43056E-2</v>
      </c>
      <c r="N43" s="133">
        <v>0.25545833333333334</v>
      </c>
      <c r="O43" s="139">
        <f t="shared" si="6"/>
        <v>9136.2118333333328</v>
      </c>
      <c r="P43" s="133">
        <v>117.71000000000001</v>
      </c>
      <c r="Q43" s="139">
        <f t="shared" si="1"/>
        <v>4209780.4400000004</v>
      </c>
      <c r="R43" s="133">
        <f t="shared" si="4"/>
        <v>0.42097804400000005</v>
      </c>
      <c r="S43" s="23" t="s">
        <v>1491</v>
      </c>
      <c r="T43" s="24" t="s">
        <v>1480</v>
      </c>
      <c r="AA43"/>
    </row>
    <row r="44" spans="1:27" ht="12.75" x14ac:dyDescent="0.2">
      <c r="A44" s="24" t="s">
        <v>1502</v>
      </c>
      <c r="B44" s="174">
        <v>44652</v>
      </c>
      <c r="C44" s="23" t="s">
        <v>406</v>
      </c>
      <c r="D44" s="106">
        <v>5002905</v>
      </c>
      <c r="E44" s="24" t="s">
        <v>438</v>
      </c>
      <c r="F44" s="23" t="s">
        <v>424</v>
      </c>
      <c r="G44" s="47" t="s">
        <v>264</v>
      </c>
      <c r="H44" s="24" t="s">
        <v>495</v>
      </c>
      <c r="I44" s="23">
        <v>24</v>
      </c>
      <c r="J44" s="24" t="s">
        <v>3</v>
      </c>
      <c r="K44" s="103">
        <v>143436</v>
      </c>
      <c r="L44" s="25">
        <f t="shared" si="5"/>
        <v>3442464</v>
      </c>
      <c r="M44" s="173">
        <f t="shared" si="2"/>
        <v>0.34424640000000001</v>
      </c>
      <c r="N44" s="133">
        <v>0.67400000000000004</v>
      </c>
      <c r="O44" s="139">
        <f t="shared" si="6"/>
        <v>96675.864000000001</v>
      </c>
      <c r="P44" s="133">
        <v>49.929366475462075</v>
      </c>
      <c r="Q44" s="139">
        <f t="shared" si="1"/>
        <v>7161668.6097743781</v>
      </c>
      <c r="R44" s="133">
        <f t="shared" si="4"/>
        <v>0.71616686097743776</v>
      </c>
      <c r="S44" s="23" t="s">
        <v>1491</v>
      </c>
      <c r="T44" s="24" t="s">
        <v>1480</v>
      </c>
      <c r="AA44"/>
    </row>
    <row r="45" spans="1:27" ht="12.75" x14ac:dyDescent="0.2">
      <c r="A45" s="24" t="s">
        <v>1502</v>
      </c>
      <c r="B45" s="174">
        <v>44652</v>
      </c>
      <c r="C45" s="23" t="s">
        <v>406</v>
      </c>
      <c r="D45" s="106">
        <v>5004272</v>
      </c>
      <c r="E45" s="24" t="s">
        <v>442</v>
      </c>
      <c r="F45" s="23" t="s">
        <v>424</v>
      </c>
      <c r="G45" s="47" t="s">
        <v>264</v>
      </c>
      <c r="H45" s="24" t="s">
        <v>496</v>
      </c>
      <c r="I45" s="23">
        <v>10</v>
      </c>
      <c r="J45" s="24" t="s">
        <v>3</v>
      </c>
      <c r="K45" s="103">
        <v>20793</v>
      </c>
      <c r="L45" s="25">
        <f t="shared" si="5"/>
        <v>207930</v>
      </c>
      <c r="M45" s="173">
        <f t="shared" si="2"/>
        <v>2.0792999999999999E-2</v>
      </c>
      <c r="N45" s="133">
        <v>0.34177083333333336</v>
      </c>
      <c r="O45" s="139">
        <f t="shared" si="6"/>
        <v>7106.4409375000005</v>
      </c>
      <c r="P45" s="133">
        <v>58.606666666666662</v>
      </c>
      <c r="Q45" s="139">
        <f t="shared" si="1"/>
        <v>1218608.42</v>
      </c>
      <c r="R45" s="133">
        <f t="shared" si="4"/>
        <v>0.121860842</v>
      </c>
      <c r="S45" s="23" t="s">
        <v>1491</v>
      </c>
      <c r="T45" s="24" t="s">
        <v>1480</v>
      </c>
      <c r="AA45"/>
    </row>
    <row r="46" spans="1:27" ht="12.75" x14ac:dyDescent="0.2">
      <c r="A46" s="24" t="s">
        <v>1502</v>
      </c>
      <c r="B46" s="174">
        <v>44652</v>
      </c>
      <c r="C46" s="23" t="s">
        <v>406</v>
      </c>
      <c r="D46" s="106">
        <v>5000089</v>
      </c>
      <c r="E46" s="24" t="s">
        <v>440</v>
      </c>
      <c r="F46" s="23" t="s">
        <v>424</v>
      </c>
      <c r="G46" s="47" t="s">
        <v>264</v>
      </c>
      <c r="H46" s="24" t="s">
        <v>497</v>
      </c>
      <c r="I46" s="23">
        <v>10</v>
      </c>
      <c r="J46" s="24" t="s">
        <v>65</v>
      </c>
      <c r="K46" s="103">
        <v>95103</v>
      </c>
      <c r="L46" s="25">
        <f t="shared" si="5"/>
        <v>951030</v>
      </c>
      <c r="M46" s="173">
        <f t="shared" si="2"/>
        <v>9.5102999999999993E-2</v>
      </c>
      <c r="N46" s="133">
        <v>0.3</v>
      </c>
      <c r="O46" s="139">
        <f t="shared" si="6"/>
        <v>28530.899999999998</v>
      </c>
      <c r="P46" s="133">
        <v>74.5</v>
      </c>
      <c r="Q46" s="139">
        <f t="shared" si="1"/>
        <v>7085173.5</v>
      </c>
      <c r="R46" s="133">
        <f t="shared" si="4"/>
        <v>0.70851735000000005</v>
      </c>
      <c r="S46" s="23" t="s">
        <v>1491</v>
      </c>
      <c r="T46" s="24" t="s">
        <v>1480</v>
      </c>
      <c r="AA46"/>
    </row>
    <row r="47" spans="1:27" ht="12.75" x14ac:dyDescent="0.2">
      <c r="A47" s="24" t="s">
        <v>1502</v>
      </c>
      <c r="B47" s="174">
        <v>44652</v>
      </c>
      <c r="C47" s="23" t="s">
        <v>406</v>
      </c>
      <c r="D47" s="106">
        <v>5000943</v>
      </c>
      <c r="E47" s="24" t="s">
        <v>430</v>
      </c>
      <c r="F47" s="23" t="s">
        <v>424</v>
      </c>
      <c r="G47" s="47" t="s">
        <v>264</v>
      </c>
      <c r="H47" s="24" t="s">
        <v>498</v>
      </c>
      <c r="I47" s="23">
        <v>10</v>
      </c>
      <c r="J47" s="24" t="s">
        <v>3</v>
      </c>
      <c r="K47" s="103">
        <v>133491</v>
      </c>
      <c r="L47" s="25">
        <f t="shared" si="5"/>
        <v>1334910</v>
      </c>
      <c r="M47" s="173">
        <f t="shared" si="2"/>
        <v>0.133491</v>
      </c>
      <c r="N47" s="133">
        <v>0.34</v>
      </c>
      <c r="O47" s="139">
        <f t="shared" si="6"/>
        <v>45386.94</v>
      </c>
      <c r="P47" s="133">
        <v>71.425631160688241</v>
      </c>
      <c r="Q47" s="139">
        <f t="shared" si="1"/>
        <v>9534678.9292714335</v>
      </c>
      <c r="R47" s="133">
        <f t="shared" si="4"/>
        <v>0.9534678929271434</v>
      </c>
      <c r="S47" s="23" t="s">
        <v>1491</v>
      </c>
      <c r="T47" s="24" t="s">
        <v>1480</v>
      </c>
      <c r="AA47"/>
    </row>
    <row r="48" spans="1:27" ht="12.75" x14ac:dyDescent="0.2">
      <c r="A48" s="24" t="s">
        <v>1502</v>
      </c>
      <c r="B48" s="174">
        <v>44652</v>
      </c>
      <c r="C48" s="23" t="s">
        <v>406</v>
      </c>
      <c r="D48" s="106">
        <v>5001352</v>
      </c>
      <c r="E48" s="24" t="s">
        <v>211</v>
      </c>
      <c r="F48" s="23" t="s">
        <v>424</v>
      </c>
      <c r="G48" s="47" t="s">
        <v>264</v>
      </c>
      <c r="H48" s="24" t="s">
        <v>500</v>
      </c>
      <c r="I48" s="23">
        <v>24</v>
      </c>
      <c r="J48" s="24" t="s">
        <v>3</v>
      </c>
      <c r="K48" s="103">
        <v>102037</v>
      </c>
      <c r="L48" s="25">
        <f t="shared" si="5"/>
        <v>2448888</v>
      </c>
      <c r="M48" s="173">
        <f t="shared" si="2"/>
        <v>0.24488879999999999</v>
      </c>
      <c r="N48" s="133">
        <v>0.50685714285714278</v>
      </c>
      <c r="O48" s="139">
        <f t="shared" si="6"/>
        <v>51718.182285714276</v>
      </c>
      <c r="P48" s="133">
        <v>44.075208333333329</v>
      </c>
      <c r="Q48" s="139">
        <f t="shared" si="1"/>
        <v>4497302.0327083329</v>
      </c>
      <c r="R48" s="133">
        <f t="shared" si="4"/>
        <v>0.4497302032708333</v>
      </c>
      <c r="S48" s="23" t="s">
        <v>1491</v>
      </c>
      <c r="T48" s="24" t="s">
        <v>1480</v>
      </c>
      <c r="AA48"/>
    </row>
    <row r="49" spans="1:27" ht="12.75" x14ac:dyDescent="0.2">
      <c r="A49" s="24" t="s">
        <v>1502</v>
      </c>
      <c r="B49" s="174">
        <v>44652</v>
      </c>
      <c r="C49" s="23" t="s">
        <v>406</v>
      </c>
      <c r="D49" s="106">
        <v>5002361</v>
      </c>
      <c r="E49" s="24" t="s">
        <v>254</v>
      </c>
      <c r="F49" s="23" t="s">
        <v>426</v>
      </c>
      <c r="G49" s="47" t="s">
        <v>264</v>
      </c>
      <c r="H49" s="24" t="s">
        <v>501</v>
      </c>
      <c r="I49" s="23">
        <v>500</v>
      </c>
      <c r="J49" s="24" t="s">
        <v>7</v>
      </c>
      <c r="K49" s="103">
        <v>1957</v>
      </c>
      <c r="L49" s="25">
        <f t="shared" si="5"/>
        <v>978500</v>
      </c>
      <c r="M49" s="173">
        <f t="shared" si="2"/>
        <v>9.7850000000000006E-2</v>
      </c>
      <c r="N49" s="133">
        <v>9.3350253807106593</v>
      </c>
      <c r="O49" s="139">
        <f t="shared" si="6"/>
        <v>18268.644670050759</v>
      </c>
      <c r="P49" s="133">
        <v>621.94949864498642</v>
      </c>
      <c r="Q49" s="139">
        <f t="shared" si="1"/>
        <v>1217155.1688482384</v>
      </c>
      <c r="R49" s="133">
        <f t="shared" si="4"/>
        <v>0.12171551688482385</v>
      </c>
      <c r="S49" s="23" t="s">
        <v>1491</v>
      </c>
      <c r="T49" s="24" t="s">
        <v>1480</v>
      </c>
      <c r="AA49"/>
    </row>
    <row r="50" spans="1:27" ht="12.75" x14ac:dyDescent="0.2">
      <c r="A50" s="24" t="s">
        <v>1502</v>
      </c>
      <c r="B50" s="174">
        <v>44652</v>
      </c>
      <c r="C50" s="23" t="s">
        <v>406</v>
      </c>
      <c r="D50" s="106">
        <v>5002627</v>
      </c>
      <c r="E50" s="24" t="s">
        <v>441</v>
      </c>
      <c r="F50" s="23" t="s">
        <v>424</v>
      </c>
      <c r="G50" s="47" t="s">
        <v>264</v>
      </c>
      <c r="H50" s="24" t="s">
        <v>502</v>
      </c>
      <c r="I50" s="23">
        <v>4</v>
      </c>
      <c r="J50" s="24" t="s">
        <v>3</v>
      </c>
      <c r="K50" s="103">
        <v>34963</v>
      </c>
      <c r="L50" s="25">
        <f t="shared" si="5"/>
        <v>139852</v>
      </c>
      <c r="M50" s="173">
        <f t="shared" si="2"/>
        <v>1.39852E-2</v>
      </c>
      <c r="N50" s="133">
        <v>0.25545833333333334</v>
      </c>
      <c r="O50" s="139">
        <f t="shared" si="6"/>
        <v>8931.589708333333</v>
      </c>
      <c r="P50" s="133">
        <v>117.71000000000001</v>
      </c>
      <c r="Q50" s="139">
        <f t="shared" si="1"/>
        <v>4115494.7300000004</v>
      </c>
      <c r="R50" s="133">
        <f t="shared" si="4"/>
        <v>0.41154947300000005</v>
      </c>
      <c r="S50" s="23" t="s">
        <v>1491</v>
      </c>
      <c r="T50" s="24" t="s">
        <v>1480</v>
      </c>
      <c r="AA50"/>
    </row>
    <row r="51" spans="1:27" ht="12.75" x14ac:dyDescent="0.2">
      <c r="A51" s="24" t="s">
        <v>1502</v>
      </c>
      <c r="B51" s="174">
        <v>44652</v>
      </c>
      <c r="C51" s="23" t="s">
        <v>406</v>
      </c>
      <c r="D51" s="106">
        <v>5003950</v>
      </c>
      <c r="E51" s="24" t="s">
        <v>443</v>
      </c>
      <c r="F51" s="23" t="s">
        <v>426</v>
      </c>
      <c r="G51" s="47" t="s">
        <v>264</v>
      </c>
      <c r="H51" s="24" t="s">
        <v>503</v>
      </c>
      <c r="I51" s="23">
        <v>6</v>
      </c>
      <c r="J51" s="24" t="s">
        <v>3</v>
      </c>
      <c r="K51" s="103">
        <v>19435</v>
      </c>
      <c r="L51" s="25">
        <f t="shared" si="5"/>
        <v>116610</v>
      </c>
      <c r="M51" s="173">
        <f t="shared" si="2"/>
        <v>1.1660999999999999E-2</v>
      </c>
      <c r="N51" s="133">
        <v>0.27842857142857147</v>
      </c>
      <c r="O51" s="139">
        <f t="shared" si="6"/>
        <v>5411.2592857142863</v>
      </c>
      <c r="P51" s="133">
        <v>335.25</v>
      </c>
      <c r="Q51" s="139">
        <f t="shared" si="1"/>
        <v>6515583.75</v>
      </c>
      <c r="R51" s="133">
        <f t="shared" si="4"/>
        <v>0.65155837500000002</v>
      </c>
      <c r="S51" s="23" t="s">
        <v>1491</v>
      </c>
      <c r="T51" s="24" t="s">
        <v>1480</v>
      </c>
      <c r="AA51"/>
    </row>
    <row r="52" spans="1:27" ht="12.75" x14ac:dyDescent="0.2">
      <c r="A52" s="24" t="s">
        <v>1502</v>
      </c>
      <c r="B52" s="174">
        <v>44652</v>
      </c>
      <c r="C52" s="23" t="s">
        <v>406</v>
      </c>
      <c r="D52" s="106">
        <v>5004272</v>
      </c>
      <c r="E52" s="24" t="s">
        <v>442</v>
      </c>
      <c r="F52" s="23" t="s">
        <v>424</v>
      </c>
      <c r="G52" s="47" t="s">
        <v>264</v>
      </c>
      <c r="H52" s="24" t="s">
        <v>504</v>
      </c>
      <c r="I52" s="23">
        <v>10</v>
      </c>
      <c r="J52" s="24" t="s">
        <v>3</v>
      </c>
      <c r="K52" s="103">
        <v>20583</v>
      </c>
      <c r="L52" s="25">
        <f t="shared" si="5"/>
        <v>205830</v>
      </c>
      <c r="M52" s="173">
        <f t="shared" si="2"/>
        <v>2.0583000000000001E-2</v>
      </c>
      <c r="N52" s="133">
        <v>0.34177083333333336</v>
      </c>
      <c r="O52" s="139">
        <f t="shared" si="6"/>
        <v>7034.6690625000001</v>
      </c>
      <c r="P52" s="133">
        <v>58.606666666666662</v>
      </c>
      <c r="Q52" s="139">
        <f t="shared" si="1"/>
        <v>1206301.02</v>
      </c>
      <c r="R52" s="133">
        <f t="shared" si="4"/>
        <v>0.120630102</v>
      </c>
      <c r="S52" s="23" t="s">
        <v>1491</v>
      </c>
      <c r="T52" s="24" t="s">
        <v>1480</v>
      </c>
      <c r="AA52"/>
    </row>
    <row r="53" spans="1:27" ht="12.75" x14ac:dyDescent="0.2">
      <c r="A53" s="24" t="s">
        <v>1502</v>
      </c>
      <c r="B53" s="174">
        <v>44652</v>
      </c>
      <c r="C53" s="23" t="s">
        <v>406</v>
      </c>
      <c r="D53" s="106">
        <v>5001352</v>
      </c>
      <c r="E53" s="24" t="s">
        <v>211</v>
      </c>
      <c r="F53" s="23" t="s">
        <v>424</v>
      </c>
      <c r="G53" s="47" t="s">
        <v>264</v>
      </c>
      <c r="H53" s="24" t="s">
        <v>505</v>
      </c>
      <c r="I53" s="23">
        <v>24</v>
      </c>
      <c r="J53" s="24" t="s">
        <v>3</v>
      </c>
      <c r="K53" s="103">
        <v>115224</v>
      </c>
      <c r="L53" s="25">
        <f t="shared" si="5"/>
        <v>2765376</v>
      </c>
      <c r="M53" s="173">
        <f t="shared" si="2"/>
        <v>0.27653759999999999</v>
      </c>
      <c r="N53" s="133">
        <v>0.50685714285714278</v>
      </c>
      <c r="O53" s="139">
        <f t="shared" si="6"/>
        <v>58402.10742857142</v>
      </c>
      <c r="P53" s="133">
        <v>44.075208333333329</v>
      </c>
      <c r="Q53" s="139">
        <f t="shared" si="1"/>
        <v>5078521.8049999997</v>
      </c>
      <c r="R53" s="133">
        <f t="shared" si="4"/>
        <v>0.50785218049999992</v>
      </c>
      <c r="S53" s="23" t="s">
        <v>1491</v>
      </c>
      <c r="T53" s="24" t="s">
        <v>1480</v>
      </c>
      <c r="AA53"/>
    </row>
    <row r="54" spans="1:27" ht="12.75" x14ac:dyDescent="0.2">
      <c r="A54" s="24" t="s">
        <v>1502</v>
      </c>
      <c r="B54" s="174">
        <v>44652</v>
      </c>
      <c r="C54" s="23" t="s">
        <v>406</v>
      </c>
      <c r="D54" s="106">
        <v>5001297</v>
      </c>
      <c r="E54" s="24" t="s">
        <v>444</v>
      </c>
      <c r="F54" s="23" t="s">
        <v>424</v>
      </c>
      <c r="G54" s="47" t="s">
        <v>264</v>
      </c>
      <c r="H54" s="24" t="s">
        <v>506</v>
      </c>
      <c r="I54" s="23">
        <v>10</v>
      </c>
      <c r="J54" s="24" t="s">
        <v>3</v>
      </c>
      <c r="K54" s="103">
        <v>9636</v>
      </c>
      <c r="L54" s="25">
        <f t="shared" si="5"/>
        <v>96360</v>
      </c>
      <c r="M54" s="173">
        <f t="shared" si="2"/>
        <v>9.6360000000000005E-3</v>
      </c>
      <c r="N54" s="133">
        <v>0.3</v>
      </c>
      <c r="O54" s="139">
        <f t="shared" si="6"/>
        <v>2890.7999999999997</v>
      </c>
      <c r="P54" s="133">
        <v>136.83166666666668</v>
      </c>
      <c r="Q54" s="139">
        <f t="shared" si="1"/>
        <v>1318509.9400000002</v>
      </c>
      <c r="R54" s="133">
        <f t="shared" si="4"/>
        <v>0.13185099400000003</v>
      </c>
      <c r="S54" s="23" t="s">
        <v>1491</v>
      </c>
      <c r="T54" s="24" t="s">
        <v>1480</v>
      </c>
      <c r="AA54"/>
    </row>
    <row r="55" spans="1:27" ht="12.75" x14ac:dyDescent="0.2">
      <c r="A55" s="24" t="s">
        <v>1502</v>
      </c>
      <c r="B55" s="174">
        <v>44652</v>
      </c>
      <c r="C55" s="23" t="s">
        <v>406</v>
      </c>
      <c r="D55" s="106">
        <v>5001550</v>
      </c>
      <c r="E55" s="24" t="s">
        <v>253</v>
      </c>
      <c r="F55" s="23" t="s">
        <v>426</v>
      </c>
      <c r="G55" s="47" t="s">
        <v>264</v>
      </c>
      <c r="H55" s="24" t="s">
        <v>507</v>
      </c>
      <c r="I55" s="23">
        <v>60</v>
      </c>
      <c r="J55" s="24" t="s">
        <v>7</v>
      </c>
      <c r="K55" s="103">
        <v>12615</v>
      </c>
      <c r="L55" s="25">
        <f t="shared" si="5"/>
        <v>756900</v>
      </c>
      <c r="M55" s="173">
        <f t="shared" si="2"/>
        <v>7.5689999999999993E-2</v>
      </c>
      <c r="N55" s="133">
        <v>1.7787755102040816</v>
      </c>
      <c r="O55" s="139">
        <f t="shared" si="6"/>
        <v>22439.253061224488</v>
      </c>
      <c r="P55" s="133">
        <v>250.10699984247009</v>
      </c>
      <c r="Q55" s="139">
        <f t="shared" si="1"/>
        <v>3155099.8030127604</v>
      </c>
      <c r="R55" s="133">
        <f t="shared" si="4"/>
        <v>0.31550998030127603</v>
      </c>
      <c r="S55" s="23" t="s">
        <v>1491</v>
      </c>
      <c r="T55" s="24" t="s">
        <v>1480</v>
      </c>
      <c r="AA55"/>
    </row>
    <row r="56" spans="1:27" ht="12.75" x14ac:dyDescent="0.2">
      <c r="A56" s="24" t="s">
        <v>1502</v>
      </c>
      <c r="B56" s="174">
        <v>44652</v>
      </c>
      <c r="C56" s="23" t="s">
        <v>406</v>
      </c>
      <c r="D56" s="106">
        <v>5004272</v>
      </c>
      <c r="E56" s="24" t="s">
        <v>442</v>
      </c>
      <c r="F56" s="23" t="s">
        <v>424</v>
      </c>
      <c r="G56" s="47" t="s">
        <v>264</v>
      </c>
      <c r="H56" s="24" t="s">
        <v>508</v>
      </c>
      <c r="I56" s="23">
        <v>10</v>
      </c>
      <c r="J56" s="24" t="s">
        <v>3</v>
      </c>
      <c r="K56" s="103">
        <v>20241</v>
      </c>
      <c r="L56" s="25">
        <f t="shared" si="5"/>
        <v>202410</v>
      </c>
      <c r="M56" s="173">
        <f t="shared" si="2"/>
        <v>2.0240999999999999E-2</v>
      </c>
      <c r="N56" s="133">
        <v>0.34177083333333336</v>
      </c>
      <c r="O56" s="139">
        <f t="shared" si="6"/>
        <v>6917.7834375000002</v>
      </c>
      <c r="P56" s="133">
        <v>58.606666666666662</v>
      </c>
      <c r="Q56" s="139">
        <f t="shared" si="1"/>
        <v>1186257.5399999998</v>
      </c>
      <c r="R56" s="133">
        <f t="shared" si="4"/>
        <v>0.11862575399999999</v>
      </c>
      <c r="S56" s="23" t="s">
        <v>1491</v>
      </c>
      <c r="T56" s="24" t="s">
        <v>1480</v>
      </c>
      <c r="AA56"/>
    </row>
    <row r="57" spans="1:27" ht="12.75" x14ac:dyDescent="0.2">
      <c r="A57" s="24" t="s">
        <v>1502</v>
      </c>
      <c r="B57" s="174">
        <v>44652</v>
      </c>
      <c r="C57" s="23" t="s">
        <v>406</v>
      </c>
      <c r="D57" s="106">
        <v>5000854</v>
      </c>
      <c r="E57" s="24" t="s">
        <v>445</v>
      </c>
      <c r="F57" s="23" t="s">
        <v>424</v>
      </c>
      <c r="G57" s="47" t="s">
        <v>264</v>
      </c>
      <c r="H57" s="24" t="s">
        <v>506</v>
      </c>
      <c r="I57" s="23">
        <v>10</v>
      </c>
      <c r="J57" s="24" t="s">
        <v>3</v>
      </c>
      <c r="K57" s="103">
        <v>18933</v>
      </c>
      <c r="L57" s="25">
        <f t="shared" si="5"/>
        <v>189330</v>
      </c>
      <c r="M57" s="173">
        <f t="shared" si="2"/>
        <v>1.8932999999999998E-2</v>
      </c>
      <c r="N57" s="133">
        <v>0.34177083333333336</v>
      </c>
      <c r="O57" s="139">
        <f t="shared" si="6"/>
        <v>6470.7471875000001</v>
      </c>
      <c r="P57" s="133">
        <v>168.37</v>
      </c>
      <c r="Q57" s="139">
        <f t="shared" si="1"/>
        <v>3187749.21</v>
      </c>
      <c r="R57" s="133">
        <f t="shared" si="4"/>
        <v>0.31877492099999999</v>
      </c>
      <c r="S57" s="23" t="s">
        <v>1491</v>
      </c>
      <c r="T57" s="24" t="s">
        <v>1480</v>
      </c>
      <c r="AA57"/>
    </row>
    <row r="58" spans="1:27" ht="12.75" x14ac:dyDescent="0.2">
      <c r="A58" s="24" t="s">
        <v>1502</v>
      </c>
      <c r="B58" s="174">
        <v>44652</v>
      </c>
      <c r="C58" s="23" t="s">
        <v>406</v>
      </c>
      <c r="D58" s="106">
        <v>5001398</v>
      </c>
      <c r="E58" s="24" t="s">
        <v>436</v>
      </c>
      <c r="F58" s="23" t="s">
        <v>424</v>
      </c>
      <c r="G58" s="47" t="s">
        <v>264</v>
      </c>
      <c r="H58" s="24" t="s">
        <v>510</v>
      </c>
      <c r="I58" s="23">
        <v>10</v>
      </c>
      <c r="J58" s="24" t="s">
        <v>65</v>
      </c>
      <c r="K58" s="103">
        <v>94743</v>
      </c>
      <c r="L58" s="25">
        <f t="shared" si="5"/>
        <v>947430</v>
      </c>
      <c r="M58" s="173">
        <f t="shared" si="2"/>
        <v>9.4742999999999994E-2</v>
      </c>
      <c r="N58" s="133">
        <v>0.28000000000000003</v>
      </c>
      <c r="O58" s="139">
        <f t="shared" si="6"/>
        <v>26528.04</v>
      </c>
      <c r="P58" s="133">
        <v>92.239026936026946</v>
      </c>
      <c r="Q58" s="139">
        <f t="shared" si="1"/>
        <v>8739002.1290000007</v>
      </c>
      <c r="R58" s="133">
        <f t="shared" si="4"/>
        <v>0.87390021290000008</v>
      </c>
      <c r="S58" s="23" t="s">
        <v>1491</v>
      </c>
      <c r="T58" s="24" t="s">
        <v>1480</v>
      </c>
      <c r="AA58"/>
    </row>
    <row r="59" spans="1:27" ht="12.75" x14ac:dyDescent="0.2">
      <c r="A59" s="24" t="s">
        <v>1502</v>
      </c>
      <c r="B59" s="174">
        <v>44652</v>
      </c>
      <c r="C59" s="23" t="s">
        <v>406</v>
      </c>
      <c r="D59" s="106">
        <v>5001550</v>
      </c>
      <c r="E59" s="24" t="s">
        <v>253</v>
      </c>
      <c r="F59" s="23" t="s">
        <v>426</v>
      </c>
      <c r="G59" s="47" t="s">
        <v>264</v>
      </c>
      <c r="H59" s="24" t="s">
        <v>511</v>
      </c>
      <c r="I59" s="23">
        <v>60</v>
      </c>
      <c r="J59" s="24" t="s">
        <v>7</v>
      </c>
      <c r="K59" s="103">
        <v>12582</v>
      </c>
      <c r="L59" s="25">
        <f t="shared" si="5"/>
        <v>754920</v>
      </c>
      <c r="M59" s="173">
        <f t="shared" si="2"/>
        <v>7.5492000000000004E-2</v>
      </c>
      <c r="N59" s="133">
        <v>1.7787755102040816</v>
      </c>
      <c r="O59" s="139">
        <f t="shared" si="6"/>
        <v>22380.553469387756</v>
      </c>
      <c r="P59" s="133">
        <v>250.10699984247009</v>
      </c>
      <c r="Q59" s="139">
        <f t="shared" si="1"/>
        <v>3146846.2720179586</v>
      </c>
      <c r="R59" s="133">
        <f t="shared" si="4"/>
        <v>0.31468462720179585</v>
      </c>
      <c r="S59" s="23" t="s">
        <v>1491</v>
      </c>
      <c r="T59" s="24" t="s">
        <v>1480</v>
      </c>
      <c r="AA59"/>
    </row>
    <row r="60" spans="1:27" ht="12.75" x14ac:dyDescent="0.2">
      <c r="A60" s="24" t="s">
        <v>1502</v>
      </c>
      <c r="B60" s="174">
        <v>44652</v>
      </c>
      <c r="C60" s="23" t="s">
        <v>406</v>
      </c>
      <c r="D60" s="106">
        <v>5001552</v>
      </c>
      <c r="E60" s="24" t="s">
        <v>330</v>
      </c>
      <c r="F60" s="23" t="s">
        <v>426</v>
      </c>
      <c r="G60" s="47" t="s">
        <v>264</v>
      </c>
      <c r="H60" s="24" t="s">
        <v>512</v>
      </c>
      <c r="I60" s="23">
        <v>30</v>
      </c>
      <c r="J60" s="24" t="s">
        <v>7</v>
      </c>
      <c r="K60" s="103">
        <v>71123</v>
      </c>
      <c r="L60" s="25">
        <f t="shared" si="5"/>
        <v>2133690</v>
      </c>
      <c r="M60" s="173">
        <f t="shared" si="2"/>
        <v>0.213369</v>
      </c>
      <c r="N60" s="133">
        <v>1.3169791666666666</v>
      </c>
      <c r="O60" s="139">
        <f t="shared" si="6"/>
        <v>93667.509270833325</v>
      </c>
      <c r="P60" s="133">
        <v>60.67799988903684</v>
      </c>
      <c r="Q60" s="139">
        <f t="shared" si="1"/>
        <v>4315601.3861079672</v>
      </c>
      <c r="R60" s="133">
        <f t="shared" si="4"/>
        <v>0.43156013861079673</v>
      </c>
      <c r="S60" s="23" t="s">
        <v>1491</v>
      </c>
      <c r="T60" s="24" t="s">
        <v>1480</v>
      </c>
      <c r="AA60"/>
    </row>
    <row r="61" spans="1:27" ht="12.75" x14ac:dyDescent="0.2">
      <c r="A61" s="24" t="s">
        <v>1502</v>
      </c>
      <c r="B61" s="174">
        <v>44652</v>
      </c>
      <c r="C61" s="23" t="s">
        <v>406</v>
      </c>
      <c r="D61" s="106">
        <v>5002627</v>
      </c>
      <c r="E61" s="24" t="s">
        <v>441</v>
      </c>
      <c r="F61" s="23" t="s">
        <v>424</v>
      </c>
      <c r="G61" s="47" t="s">
        <v>264</v>
      </c>
      <c r="H61" s="24" t="s">
        <v>513</v>
      </c>
      <c r="I61" s="23">
        <v>4</v>
      </c>
      <c r="J61" s="24" t="s">
        <v>3</v>
      </c>
      <c r="K61" s="103">
        <v>35456</v>
      </c>
      <c r="L61" s="25">
        <f t="shared" si="5"/>
        <v>141824</v>
      </c>
      <c r="M61" s="173">
        <f t="shared" si="2"/>
        <v>1.41824E-2</v>
      </c>
      <c r="N61" s="133">
        <v>0.25545833333333334</v>
      </c>
      <c r="O61" s="139">
        <f t="shared" si="6"/>
        <v>9057.5306666666675</v>
      </c>
      <c r="P61" s="133">
        <v>117.71000000000001</v>
      </c>
      <c r="Q61" s="139">
        <f t="shared" si="1"/>
        <v>4173525.7600000002</v>
      </c>
      <c r="R61" s="133">
        <f t="shared" si="4"/>
        <v>0.41735257600000003</v>
      </c>
      <c r="S61" s="23" t="s">
        <v>1491</v>
      </c>
      <c r="T61" s="24" t="s">
        <v>1480</v>
      </c>
      <c r="AA61"/>
    </row>
    <row r="62" spans="1:27" ht="12.75" x14ac:dyDescent="0.2">
      <c r="A62" s="24" t="s">
        <v>1502</v>
      </c>
      <c r="B62" s="174">
        <v>44652</v>
      </c>
      <c r="C62" s="23" t="s">
        <v>406</v>
      </c>
      <c r="D62" s="106">
        <v>5000854</v>
      </c>
      <c r="E62" s="24" t="s">
        <v>445</v>
      </c>
      <c r="F62" s="23" t="s">
        <v>424</v>
      </c>
      <c r="G62" s="47" t="s">
        <v>264</v>
      </c>
      <c r="H62" s="24" t="s">
        <v>514</v>
      </c>
      <c r="I62" s="23">
        <v>10</v>
      </c>
      <c r="J62" s="24" t="s">
        <v>3</v>
      </c>
      <c r="K62" s="103">
        <v>28146</v>
      </c>
      <c r="L62" s="25">
        <f t="shared" si="5"/>
        <v>281460</v>
      </c>
      <c r="M62" s="173">
        <f t="shared" si="2"/>
        <v>2.8146000000000001E-2</v>
      </c>
      <c r="N62" s="133">
        <v>0.34177083333333336</v>
      </c>
      <c r="O62" s="139">
        <f t="shared" si="6"/>
        <v>9619.4818750000013</v>
      </c>
      <c r="P62" s="133">
        <v>168.37</v>
      </c>
      <c r="Q62" s="139">
        <f t="shared" si="1"/>
        <v>4738942.0200000005</v>
      </c>
      <c r="R62" s="133">
        <f t="shared" si="4"/>
        <v>0.47389420200000004</v>
      </c>
      <c r="S62" s="23" t="s">
        <v>1491</v>
      </c>
      <c r="T62" s="24" t="s">
        <v>1480</v>
      </c>
      <c r="AA62"/>
    </row>
    <row r="63" spans="1:27" ht="12.75" x14ac:dyDescent="0.2">
      <c r="A63" s="24" t="s">
        <v>1502</v>
      </c>
      <c r="B63" s="174">
        <v>44652</v>
      </c>
      <c r="C63" s="23" t="s">
        <v>406</v>
      </c>
      <c r="D63" s="106">
        <v>5001351</v>
      </c>
      <c r="E63" s="24" t="s">
        <v>222</v>
      </c>
      <c r="F63" s="23" t="s">
        <v>424</v>
      </c>
      <c r="G63" s="47" t="s">
        <v>264</v>
      </c>
      <c r="H63" s="24" t="s">
        <v>505</v>
      </c>
      <c r="I63" s="23">
        <v>18</v>
      </c>
      <c r="J63" s="24" t="s">
        <v>3</v>
      </c>
      <c r="K63" s="103">
        <v>10849</v>
      </c>
      <c r="L63" s="25">
        <f t="shared" si="5"/>
        <v>195282</v>
      </c>
      <c r="M63" s="173">
        <f t="shared" si="2"/>
        <v>1.9528199999999999E-2</v>
      </c>
      <c r="N63" s="133">
        <v>0.42861224489795918</v>
      </c>
      <c r="O63" s="139">
        <f t="shared" si="6"/>
        <v>4650.0142448979595</v>
      </c>
      <c r="P63" s="133">
        <v>32.777849881796691</v>
      </c>
      <c r="Q63" s="139">
        <f t="shared" si="1"/>
        <v>355606.89336761227</v>
      </c>
      <c r="R63" s="133">
        <f t="shared" si="4"/>
        <v>3.556068933676123E-2</v>
      </c>
      <c r="S63" s="23" t="s">
        <v>1491</v>
      </c>
      <c r="T63" s="24" t="s">
        <v>1480</v>
      </c>
      <c r="AA63"/>
    </row>
    <row r="64" spans="1:27" ht="12.75" x14ac:dyDescent="0.2">
      <c r="A64" s="24" t="s">
        <v>1502</v>
      </c>
      <c r="B64" s="174">
        <v>44652</v>
      </c>
      <c r="C64" s="23" t="s">
        <v>406</v>
      </c>
      <c r="D64" s="106">
        <v>5000854</v>
      </c>
      <c r="E64" s="24" t="s">
        <v>445</v>
      </c>
      <c r="F64" s="23" t="s">
        <v>424</v>
      </c>
      <c r="G64" s="47" t="s">
        <v>264</v>
      </c>
      <c r="H64" s="24" t="s">
        <v>515</v>
      </c>
      <c r="I64" s="23">
        <v>10</v>
      </c>
      <c r="J64" s="24" t="s">
        <v>3</v>
      </c>
      <c r="K64" s="103">
        <v>27441</v>
      </c>
      <c r="L64" s="25">
        <f t="shared" si="5"/>
        <v>274410</v>
      </c>
      <c r="M64" s="173">
        <f t="shared" si="2"/>
        <v>2.7441E-2</v>
      </c>
      <c r="N64" s="133">
        <v>0.34177083333333336</v>
      </c>
      <c r="O64" s="139">
        <f t="shared" si="6"/>
        <v>9378.5334375000002</v>
      </c>
      <c r="P64" s="133">
        <v>168.37</v>
      </c>
      <c r="Q64" s="139">
        <f t="shared" si="1"/>
        <v>4620241.17</v>
      </c>
      <c r="R64" s="133">
        <f t="shared" si="4"/>
        <v>0.46202411700000001</v>
      </c>
      <c r="S64" s="23" t="s">
        <v>1491</v>
      </c>
      <c r="T64" s="24" t="s">
        <v>1480</v>
      </c>
      <c r="AA64"/>
    </row>
    <row r="65" spans="1:27" ht="12.75" x14ac:dyDescent="0.2">
      <c r="A65" s="24" t="s">
        <v>1502</v>
      </c>
      <c r="B65" s="174">
        <v>44652</v>
      </c>
      <c r="C65" s="23" t="s">
        <v>406</v>
      </c>
      <c r="D65" s="106">
        <v>5000943</v>
      </c>
      <c r="E65" s="24" t="s">
        <v>430</v>
      </c>
      <c r="F65" s="23" t="s">
        <v>424</v>
      </c>
      <c r="G65" s="47" t="s">
        <v>264</v>
      </c>
      <c r="H65" s="24" t="s">
        <v>516</v>
      </c>
      <c r="I65" s="23">
        <v>10</v>
      </c>
      <c r="J65" s="24" t="s">
        <v>3</v>
      </c>
      <c r="K65" s="103">
        <v>136008</v>
      </c>
      <c r="L65" s="25">
        <f t="shared" si="5"/>
        <v>1360080</v>
      </c>
      <c r="M65" s="173">
        <f t="shared" si="2"/>
        <v>0.13600799999999999</v>
      </c>
      <c r="N65" s="133">
        <v>0.34</v>
      </c>
      <c r="O65" s="139">
        <f t="shared" si="6"/>
        <v>46242.720000000001</v>
      </c>
      <c r="P65" s="133">
        <v>71.425631160688241</v>
      </c>
      <c r="Q65" s="139">
        <f t="shared" si="1"/>
        <v>9714457.2429028861</v>
      </c>
      <c r="R65" s="133">
        <f t="shared" si="4"/>
        <v>0.97144572429028864</v>
      </c>
      <c r="S65" s="23" t="s">
        <v>1491</v>
      </c>
      <c r="T65" s="24" t="s">
        <v>1480</v>
      </c>
      <c r="AA65"/>
    </row>
    <row r="66" spans="1:27" ht="12.75" x14ac:dyDescent="0.2">
      <c r="A66" s="24" t="s">
        <v>1502</v>
      </c>
      <c r="B66" s="174">
        <v>44652</v>
      </c>
      <c r="C66" s="23" t="s">
        <v>406</v>
      </c>
      <c r="D66" s="106">
        <v>5001351</v>
      </c>
      <c r="E66" s="24" t="s">
        <v>222</v>
      </c>
      <c r="F66" s="23" t="s">
        <v>424</v>
      </c>
      <c r="G66" s="47" t="s">
        <v>264</v>
      </c>
      <c r="H66" s="24" t="s">
        <v>419</v>
      </c>
      <c r="I66" s="23">
        <v>18</v>
      </c>
      <c r="J66" s="24" t="s">
        <v>3</v>
      </c>
      <c r="K66" s="103">
        <v>73232</v>
      </c>
      <c r="L66" s="25">
        <f t="shared" si="5"/>
        <v>1318176</v>
      </c>
      <c r="M66" s="173">
        <f t="shared" si="2"/>
        <v>0.13181760000000001</v>
      </c>
      <c r="N66" s="133">
        <v>0.42861224489795918</v>
      </c>
      <c r="O66" s="139">
        <f t="shared" si="6"/>
        <v>31388.131918367348</v>
      </c>
      <c r="P66" s="133">
        <v>32.777849881796691</v>
      </c>
      <c r="Q66" s="139">
        <f t="shared" ref="Q66:Q129" si="7">+K66*P66</f>
        <v>2400387.5025437353</v>
      </c>
      <c r="R66" s="133">
        <f t="shared" si="4"/>
        <v>0.24003875025437355</v>
      </c>
      <c r="S66" s="23" t="s">
        <v>1491</v>
      </c>
      <c r="T66" s="24" t="s">
        <v>1480</v>
      </c>
      <c r="AA66"/>
    </row>
    <row r="67" spans="1:27" ht="12.75" x14ac:dyDescent="0.2">
      <c r="A67" s="24" t="s">
        <v>1502</v>
      </c>
      <c r="B67" s="174">
        <v>44652</v>
      </c>
      <c r="C67" s="23" t="s">
        <v>406</v>
      </c>
      <c r="D67" s="106">
        <v>5001552</v>
      </c>
      <c r="E67" s="24" t="s">
        <v>330</v>
      </c>
      <c r="F67" s="23" t="s">
        <v>426</v>
      </c>
      <c r="G67" s="47" t="s">
        <v>264</v>
      </c>
      <c r="H67" s="24" t="s">
        <v>517</v>
      </c>
      <c r="I67" s="23">
        <v>30</v>
      </c>
      <c r="J67" s="24" t="s">
        <v>7</v>
      </c>
      <c r="K67" s="103">
        <v>36315</v>
      </c>
      <c r="L67" s="25">
        <f t="shared" si="5"/>
        <v>1089450</v>
      </c>
      <c r="M67" s="173">
        <f t="shared" ref="M67:M130" si="8">L67/10^7</f>
        <v>0.108945</v>
      </c>
      <c r="N67" s="133">
        <v>1.3169791666666666</v>
      </c>
      <c r="O67" s="139">
        <f t="shared" si="6"/>
        <v>47826.098437499997</v>
      </c>
      <c r="P67" s="133">
        <v>60.67799988903684</v>
      </c>
      <c r="Q67" s="139">
        <f t="shared" si="7"/>
        <v>2203521.5659703729</v>
      </c>
      <c r="R67" s="133">
        <f t="shared" ref="R67:R130" si="9">Q67/10^7</f>
        <v>0.22035215659703727</v>
      </c>
      <c r="S67" s="23" t="s">
        <v>1491</v>
      </c>
      <c r="T67" s="24" t="s">
        <v>1480</v>
      </c>
      <c r="AA67"/>
    </row>
    <row r="68" spans="1:27" ht="12.75" x14ac:dyDescent="0.2">
      <c r="A68" s="24" t="s">
        <v>1502</v>
      </c>
      <c r="B68" s="174">
        <v>44652</v>
      </c>
      <c r="C68" s="23" t="s">
        <v>406</v>
      </c>
      <c r="D68" s="106">
        <v>5002813</v>
      </c>
      <c r="E68" s="24" t="s">
        <v>252</v>
      </c>
      <c r="F68" s="23" t="s">
        <v>426</v>
      </c>
      <c r="G68" s="47" t="s">
        <v>264</v>
      </c>
      <c r="H68" s="24" t="s">
        <v>518</v>
      </c>
      <c r="I68" s="23">
        <v>500</v>
      </c>
      <c r="J68" s="24" t="s">
        <v>7</v>
      </c>
      <c r="K68" s="103">
        <v>4312</v>
      </c>
      <c r="L68" s="25">
        <f t="shared" si="5"/>
        <v>2156000</v>
      </c>
      <c r="M68" s="173">
        <f t="shared" si="8"/>
        <v>0.21560000000000001</v>
      </c>
      <c r="N68" s="133">
        <v>9.578125</v>
      </c>
      <c r="O68" s="139">
        <f t="shared" si="6"/>
        <v>41300.875</v>
      </c>
      <c r="P68" s="133">
        <v>617.01749999999993</v>
      </c>
      <c r="Q68" s="139">
        <f t="shared" si="7"/>
        <v>2660579.4599999995</v>
      </c>
      <c r="R68" s="133">
        <f t="shared" si="9"/>
        <v>0.26605794599999993</v>
      </c>
      <c r="S68" s="23" t="s">
        <v>1491</v>
      </c>
      <c r="T68" s="24" t="s">
        <v>1480</v>
      </c>
      <c r="AA68"/>
    </row>
    <row r="69" spans="1:27" ht="12.75" x14ac:dyDescent="0.2">
      <c r="A69" s="24" t="s">
        <v>1502</v>
      </c>
      <c r="B69" s="174">
        <v>44652</v>
      </c>
      <c r="C69" s="23" t="s">
        <v>406</v>
      </c>
      <c r="D69" s="106">
        <v>5001171</v>
      </c>
      <c r="E69" s="24" t="s">
        <v>224</v>
      </c>
      <c r="F69" s="23" t="s">
        <v>424</v>
      </c>
      <c r="G69" s="47" t="s">
        <v>264</v>
      </c>
      <c r="H69" s="24" t="s">
        <v>519</v>
      </c>
      <c r="I69" s="23">
        <v>10</v>
      </c>
      <c r="J69" s="24" t="s">
        <v>3</v>
      </c>
      <c r="K69" s="103">
        <v>78126</v>
      </c>
      <c r="L69" s="25">
        <f t="shared" si="5"/>
        <v>781260</v>
      </c>
      <c r="M69" s="173">
        <f t="shared" si="8"/>
        <v>7.8126000000000001E-2</v>
      </c>
      <c r="N69" s="133">
        <v>0.16</v>
      </c>
      <c r="O69" s="139">
        <f t="shared" si="6"/>
        <v>12500.16</v>
      </c>
      <c r="P69" s="133">
        <v>17.334456349206352</v>
      </c>
      <c r="Q69" s="139">
        <f t="shared" si="7"/>
        <v>1354271.7367380955</v>
      </c>
      <c r="R69" s="133">
        <f t="shared" si="9"/>
        <v>0.13542717367380955</v>
      </c>
      <c r="S69" s="23" t="s">
        <v>1491</v>
      </c>
      <c r="T69" s="24" t="s">
        <v>1480</v>
      </c>
      <c r="AA69"/>
    </row>
    <row r="70" spans="1:27" ht="12.75" x14ac:dyDescent="0.2">
      <c r="A70" s="24" t="s">
        <v>1502</v>
      </c>
      <c r="B70" s="174">
        <v>44652</v>
      </c>
      <c r="C70" s="23" t="s">
        <v>406</v>
      </c>
      <c r="D70" s="106">
        <v>5001351</v>
      </c>
      <c r="E70" s="24" t="s">
        <v>222</v>
      </c>
      <c r="F70" s="23" t="s">
        <v>424</v>
      </c>
      <c r="G70" s="47" t="s">
        <v>264</v>
      </c>
      <c r="H70" s="24" t="s">
        <v>488</v>
      </c>
      <c r="I70" s="23">
        <v>18</v>
      </c>
      <c r="J70" s="24" t="s">
        <v>3</v>
      </c>
      <c r="K70" s="103">
        <v>48422</v>
      </c>
      <c r="L70" s="25">
        <f t="shared" si="5"/>
        <v>871596</v>
      </c>
      <c r="M70" s="173">
        <f t="shared" si="8"/>
        <v>8.7159600000000004E-2</v>
      </c>
      <c r="N70" s="133">
        <v>0.42861224489795918</v>
      </c>
      <c r="O70" s="139">
        <f t="shared" si="6"/>
        <v>20754.262122448981</v>
      </c>
      <c r="P70" s="133">
        <v>32.777849881796691</v>
      </c>
      <c r="Q70" s="139">
        <f t="shared" si="7"/>
        <v>1587169.0469763593</v>
      </c>
      <c r="R70" s="133">
        <f t="shared" si="9"/>
        <v>0.15871690469763594</v>
      </c>
      <c r="S70" s="23" t="s">
        <v>1491</v>
      </c>
      <c r="T70" s="24" t="s">
        <v>1480</v>
      </c>
      <c r="AA70"/>
    </row>
    <row r="71" spans="1:27" ht="12.75" x14ac:dyDescent="0.2">
      <c r="A71" s="24" t="s">
        <v>1502</v>
      </c>
      <c r="B71" s="174">
        <v>44652</v>
      </c>
      <c r="C71" s="23" t="s">
        <v>406</v>
      </c>
      <c r="D71" s="106">
        <v>5004271</v>
      </c>
      <c r="E71" s="24" t="s">
        <v>448</v>
      </c>
      <c r="F71" s="23" t="s">
        <v>424</v>
      </c>
      <c r="G71" s="47" t="s">
        <v>264</v>
      </c>
      <c r="H71" s="24" t="s">
        <v>521</v>
      </c>
      <c r="I71" s="23">
        <v>10</v>
      </c>
      <c r="J71" s="24" t="s">
        <v>3</v>
      </c>
      <c r="K71" s="103">
        <v>33768</v>
      </c>
      <c r="L71" s="25">
        <f t="shared" si="5"/>
        <v>337680</v>
      </c>
      <c r="M71" s="173">
        <f t="shared" si="8"/>
        <v>3.3767999999999999E-2</v>
      </c>
      <c r="N71" s="133">
        <v>0.40052083333333333</v>
      </c>
      <c r="O71" s="139">
        <f t="shared" si="6"/>
        <v>13524.7875</v>
      </c>
      <c r="P71" s="133">
        <v>79.715000000000003</v>
      </c>
      <c r="Q71" s="139">
        <f t="shared" si="7"/>
        <v>2691816.12</v>
      </c>
      <c r="R71" s="133">
        <f t="shared" si="9"/>
        <v>0.26918161200000001</v>
      </c>
      <c r="S71" s="23" t="s">
        <v>1491</v>
      </c>
      <c r="T71" s="24" t="s">
        <v>1480</v>
      </c>
      <c r="AA71"/>
    </row>
    <row r="72" spans="1:27" ht="12.75" x14ac:dyDescent="0.2">
      <c r="A72" s="24" t="s">
        <v>1502</v>
      </c>
      <c r="B72" s="174">
        <v>44652</v>
      </c>
      <c r="C72" s="23" t="s">
        <v>406</v>
      </c>
      <c r="D72" s="106">
        <v>5004721</v>
      </c>
      <c r="E72" s="24" t="s">
        <v>449</v>
      </c>
      <c r="F72" s="23" t="s">
        <v>424</v>
      </c>
      <c r="G72" s="47" t="s">
        <v>264</v>
      </c>
      <c r="H72" s="24" t="s">
        <v>522</v>
      </c>
      <c r="I72" s="23">
        <v>3</v>
      </c>
      <c r="J72" s="24" t="s">
        <v>3</v>
      </c>
      <c r="K72" s="103">
        <v>144900</v>
      </c>
      <c r="L72" s="25">
        <f t="shared" si="5"/>
        <v>434700</v>
      </c>
      <c r="M72" s="173">
        <f t="shared" si="8"/>
        <v>4.3470000000000002E-2</v>
      </c>
      <c r="N72" s="133">
        <v>0.28766666666666668</v>
      </c>
      <c r="O72" s="139">
        <f t="shared" si="6"/>
        <v>41682.9</v>
      </c>
      <c r="P72" s="133">
        <v>55.875</v>
      </c>
      <c r="Q72" s="139">
        <f t="shared" si="7"/>
        <v>8096287.5</v>
      </c>
      <c r="R72" s="133">
        <f t="shared" si="9"/>
        <v>0.80962875000000001</v>
      </c>
      <c r="S72" s="23" t="s">
        <v>1491</v>
      </c>
      <c r="T72" s="24" t="s">
        <v>1480</v>
      </c>
      <c r="AA72"/>
    </row>
    <row r="73" spans="1:27" ht="12.75" x14ac:dyDescent="0.2">
      <c r="A73" s="24" t="s">
        <v>1502</v>
      </c>
      <c r="B73" s="174">
        <v>44652</v>
      </c>
      <c r="C73" s="23" t="s">
        <v>406</v>
      </c>
      <c r="D73" s="106">
        <v>5001321</v>
      </c>
      <c r="E73" s="24" t="s">
        <v>408</v>
      </c>
      <c r="F73" s="23" t="s">
        <v>424</v>
      </c>
      <c r="G73" s="47" t="s">
        <v>264</v>
      </c>
      <c r="H73" s="24" t="s">
        <v>488</v>
      </c>
      <c r="I73" s="23">
        <v>24</v>
      </c>
      <c r="J73" s="24" t="s">
        <v>3</v>
      </c>
      <c r="K73" s="103">
        <v>36757</v>
      </c>
      <c r="L73" s="25">
        <f t="shared" si="5"/>
        <v>882168</v>
      </c>
      <c r="M73" s="173">
        <f t="shared" si="8"/>
        <v>8.8216799999999998E-2</v>
      </c>
      <c r="N73" s="133">
        <v>0.67400000000000004</v>
      </c>
      <c r="O73" s="139">
        <f t="shared" si="6"/>
        <v>24774.218000000001</v>
      </c>
      <c r="P73" s="133">
        <v>44.364199924127469</v>
      </c>
      <c r="Q73" s="139">
        <f t="shared" si="7"/>
        <v>1630694.8966111534</v>
      </c>
      <c r="R73" s="133">
        <f t="shared" si="9"/>
        <v>0.16306948966111534</v>
      </c>
      <c r="S73" s="23" t="s">
        <v>1491</v>
      </c>
      <c r="T73" s="24" t="s">
        <v>1480</v>
      </c>
      <c r="AA73"/>
    </row>
    <row r="74" spans="1:27" ht="12.75" x14ac:dyDescent="0.2">
      <c r="A74" s="24" t="s">
        <v>1502</v>
      </c>
      <c r="B74" s="174">
        <v>44652</v>
      </c>
      <c r="C74" s="23" t="s">
        <v>406</v>
      </c>
      <c r="D74" s="106">
        <v>5001552</v>
      </c>
      <c r="E74" s="24" t="s">
        <v>330</v>
      </c>
      <c r="F74" s="23" t="s">
        <v>426</v>
      </c>
      <c r="G74" s="47" t="s">
        <v>264</v>
      </c>
      <c r="H74" s="24" t="s">
        <v>523</v>
      </c>
      <c r="I74" s="23">
        <v>30</v>
      </c>
      <c r="J74" s="24" t="s">
        <v>7</v>
      </c>
      <c r="K74" s="103">
        <v>36219</v>
      </c>
      <c r="L74" s="25">
        <f t="shared" si="5"/>
        <v>1086570</v>
      </c>
      <c r="M74" s="173">
        <f t="shared" si="8"/>
        <v>0.108657</v>
      </c>
      <c r="N74" s="133">
        <v>1.3169791666666666</v>
      </c>
      <c r="O74" s="139">
        <f t="shared" si="6"/>
        <v>47699.668437499997</v>
      </c>
      <c r="P74" s="133">
        <v>60.67799988903684</v>
      </c>
      <c r="Q74" s="139">
        <f t="shared" si="7"/>
        <v>2197696.4779810254</v>
      </c>
      <c r="R74" s="133">
        <f t="shared" si="9"/>
        <v>0.21976964779810254</v>
      </c>
      <c r="S74" s="23" t="s">
        <v>1491</v>
      </c>
      <c r="T74" s="24" t="s">
        <v>1480</v>
      </c>
      <c r="AA74"/>
    </row>
    <row r="75" spans="1:27" ht="12.75" x14ac:dyDescent="0.2">
      <c r="A75" s="24" t="s">
        <v>1502</v>
      </c>
      <c r="B75" s="174">
        <v>44652</v>
      </c>
      <c r="C75" s="23" t="s">
        <v>406</v>
      </c>
      <c r="D75" s="106">
        <v>5002074</v>
      </c>
      <c r="E75" s="24" t="s">
        <v>450</v>
      </c>
      <c r="F75" s="23" t="s">
        <v>424</v>
      </c>
      <c r="G75" s="47" t="s">
        <v>264</v>
      </c>
      <c r="H75" s="24" t="s">
        <v>524</v>
      </c>
      <c r="I75" s="23">
        <v>10</v>
      </c>
      <c r="J75" s="24" t="s">
        <v>3</v>
      </c>
      <c r="K75" s="103">
        <v>17433</v>
      </c>
      <c r="L75" s="25">
        <f t="shared" si="5"/>
        <v>174330</v>
      </c>
      <c r="M75" s="173">
        <f t="shared" si="8"/>
        <v>1.7433000000000001E-2</v>
      </c>
      <c r="N75" s="133">
        <v>0.29395833333333332</v>
      </c>
      <c r="O75" s="139">
        <f t="shared" si="6"/>
        <v>5124.5756249999995</v>
      </c>
      <c r="P75" s="133">
        <v>82.825199882422098</v>
      </c>
      <c r="Q75" s="139">
        <f t="shared" si="7"/>
        <v>1443891.7095502645</v>
      </c>
      <c r="R75" s="133">
        <f t="shared" si="9"/>
        <v>0.14438917095502646</v>
      </c>
      <c r="S75" s="23" t="s">
        <v>1491</v>
      </c>
      <c r="T75" s="24" t="s">
        <v>1480</v>
      </c>
      <c r="AA75"/>
    </row>
    <row r="76" spans="1:27" ht="12.75" x14ac:dyDescent="0.2">
      <c r="A76" s="24" t="s">
        <v>1502</v>
      </c>
      <c r="B76" s="174">
        <v>44652</v>
      </c>
      <c r="C76" s="23" t="s">
        <v>406</v>
      </c>
      <c r="D76" s="106">
        <v>5002074</v>
      </c>
      <c r="E76" s="24" t="s">
        <v>450</v>
      </c>
      <c r="F76" s="23" t="s">
        <v>424</v>
      </c>
      <c r="G76" s="47" t="s">
        <v>264</v>
      </c>
      <c r="H76" s="24" t="s">
        <v>525</v>
      </c>
      <c r="I76" s="23">
        <v>10</v>
      </c>
      <c r="J76" s="24" t="s">
        <v>3</v>
      </c>
      <c r="K76" s="103">
        <v>17343</v>
      </c>
      <c r="L76" s="25">
        <f t="shared" si="5"/>
        <v>173430</v>
      </c>
      <c r="M76" s="173">
        <f t="shared" si="8"/>
        <v>1.7343000000000001E-2</v>
      </c>
      <c r="N76" s="133">
        <v>0.29395833333333332</v>
      </c>
      <c r="O76" s="139">
        <f t="shared" si="6"/>
        <v>5098.1193750000002</v>
      </c>
      <c r="P76" s="133">
        <v>82.825199882422098</v>
      </c>
      <c r="Q76" s="139">
        <f t="shared" si="7"/>
        <v>1436437.4415608465</v>
      </c>
      <c r="R76" s="133">
        <f t="shared" si="9"/>
        <v>0.14364374415608466</v>
      </c>
      <c r="S76" s="23" t="s">
        <v>1491</v>
      </c>
      <c r="T76" s="24" t="s">
        <v>1480</v>
      </c>
      <c r="AA76"/>
    </row>
    <row r="77" spans="1:27" ht="12.75" x14ac:dyDescent="0.2">
      <c r="A77" s="24" t="s">
        <v>1502</v>
      </c>
      <c r="B77" s="174">
        <v>44652</v>
      </c>
      <c r="C77" s="23" t="s">
        <v>406</v>
      </c>
      <c r="D77" s="106">
        <v>5002074</v>
      </c>
      <c r="E77" s="24" t="s">
        <v>450</v>
      </c>
      <c r="F77" s="23" t="s">
        <v>424</v>
      </c>
      <c r="G77" s="47" t="s">
        <v>264</v>
      </c>
      <c r="H77" s="24" t="s">
        <v>527</v>
      </c>
      <c r="I77" s="23">
        <v>10</v>
      </c>
      <c r="J77" s="24" t="s">
        <v>3</v>
      </c>
      <c r="K77" s="103">
        <v>17250</v>
      </c>
      <c r="L77" s="25">
        <f t="shared" si="5"/>
        <v>172500</v>
      </c>
      <c r="M77" s="173">
        <f t="shared" si="8"/>
        <v>1.7250000000000001E-2</v>
      </c>
      <c r="N77" s="133">
        <v>0.29395833333333332</v>
      </c>
      <c r="O77" s="139">
        <f t="shared" si="6"/>
        <v>5070.78125</v>
      </c>
      <c r="P77" s="133">
        <v>82.825199882422098</v>
      </c>
      <c r="Q77" s="139">
        <f t="shared" si="7"/>
        <v>1428734.6979717813</v>
      </c>
      <c r="R77" s="133">
        <f t="shared" si="9"/>
        <v>0.14287346979717813</v>
      </c>
      <c r="S77" s="23" t="s">
        <v>1491</v>
      </c>
      <c r="T77" s="24" t="s">
        <v>1480</v>
      </c>
      <c r="AA77"/>
    </row>
    <row r="78" spans="1:27" ht="12.75" x14ac:dyDescent="0.2">
      <c r="A78" s="24" t="s">
        <v>1502</v>
      </c>
      <c r="B78" s="174">
        <v>44652</v>
      </c>
      <c r="C78" s="23" t="s">
        <v>406</v>
      </c>
      <c r="D78" s="106">
        <v>5001126</v>
      </c>
      <c r="E78" s="24" t="s">
        <v>451</v>
      </c>
      <c r="F78" s="23" t="s">
        <v>424</v>
      </c>
      <c r="G78" s="47" t="s">
        <v>264</v>
      </c>
      <c r="H78" s="24" t="s">
        <v>528</v>
      </c>
      <c r="I78" s="23">
        <v>10</v>
      </c>
      <c r="J78" s="24" t="s">
        <v>65</v>
      </c>
      <c r="K78" s="103">
        <v>37572</v>
      </c>
      <c r="L78" s="25">
        <f t="shared" si="5"/>
        <v>375720</v>
      </c>
      <c r="M78" s="173">
        <f t="shared" si="8"/>
        <v>3.7572000000000001E-2</v>
      </c>
      <c r="N78" s="133">
        <v>0.26</v>
      </c>
      <c r="O78" s="139">
        <f t="shared" si="6"/>
        <v>9768.7200000000012</v>
      </c>
      <c r="P78" s="133">
        <v>59.599999999999994</v>
      </c>
      <c r="Q78" s="139">
        <f t="shared" si="7"/>
        <v>2239291.1999999997</v>
      </c>
      <c r="R78" s="133">
        <f t="shared" si="9"/>
        <v>0.22392911999999998</v>
      </c>
      <c r="S78" s="23" t="s">
        <v>1491</v>
      </c>
      <c r="T78" s="24" t="s">
        <v>1480</v>
      </c>
      <c r="AA78"/>
    </row>
    <row r="79" spans="1:27" ht="12.75" x14ac:dyDescent="0.2">
      <c r="A79" s="24" t="s">
        <v>1502</v>
      </c>
      <c r="B79" s="174">
        <v>44652</v>
      </c>
      <c r="C79" s="23" t="s">
        <v>406</v>
      </c>
      <c r="D79" s="106">
        <v>5001171</v>
      </c>
      <c r="E79" s="24" t="s">
        <v>224</v>
      </c>
      <c r="F79" s="23" t="s">
        <v>424</v>
      </c>
      <c r="G79" s="47" t="s">
        <v>264</v>
      </c>
      <c r="H79" s="24" t="s">
        <v>529</v>
      </c>
      <c r="I79" s="23">
        <v>10</v>
      </c>
      <c r="J79" s="24" t="s">
        <v>3</v>
      </c>
      <c r="K79" s="103">
        <v>77835</v>
      </c>
      <c r="L79" s="25">
        <f t="shared" si="5"/>
        <v>778350</v>
      </c>
      <c r="M79" s="173">
        <f t="shared" si="8"/>
        <v>7.7835000000000001E-2</v>
      </c>
      <c r="N79" s="133">
        <v>0.16</v>
      </c>
      <c r="O79" s="139">
        <f t="shared" si="6"/>
        <v>12453.6</v>
      </c>
      <c r="P79" s="133">
        <v>17.334456349206352</v>
      </c>
      <c r="Q79" s="139">
        <f t="shared" si="7"/>
        <v>1349227.4099404765</v>
      </c>
      <c r="R79" s="133">
        <f t="shared" si="9"/>
        <v>0.13492274099404766</v>
      </c>
      <c r="S79" s="23" t="s">
        <v>1491</v>
      </c>
      <c r="T79" s="24" t="s">
        <v>1480</v>
      </c>
      <c r="AA79"/>
    </row>
    <row r="80" spans="1:27" ht="12.75" x14ac:dyDescent="0.2">
      <c r="A80" s="24" t="s">
        <v>1502</v>
      </c>
      <c r="B80" s="174">
        <v>44652</v>
      </c>
      <c r="C80" s="23" t="s">
        <v>406</v>
      </c>
      <c r="D80" s="106">
        <v>5004271</v>
      </c>
      <c r="E80" s="24" t="s">
        <v>448</v>
      </c>
      <c r="F80" s="23" t="s">
        <v>424</v>
      </c>
      <c r="G80" s="47" t="s">
        <v>264</v>
      </c>
      <c r="H80" s="24" t="s">
        <v>531</v>
      </c>
      <c r="I80" s="23">
        <v>10</v>
      </c>
      <c r="J80" s="24" t="s">
        <v>3</v>
      </c>
      <c r="K80" s="103">
        <v>33738</v>
      </c>
      <c r="L80" s="25">
        <f t="shared" si="5"/>
        <v>337380</v>
      </c>
      <c r="M80" s="173">
        <f t="shared" si="8"/>
        <v>3.3737999999999997E-2</v>
      </c>
      <c r="N80" s="133">
        <v>0.40052083333333333</v>
      </c>
      <c r="O80" s="139">
        <f t="shared" si="6"/>
        <v>13512.771875</v>
      </c>
      <c r="P80" s="133">
        <v>79.715000000000003</v>
      </c>
      <c r="Q80" s="139">
        <f t="shared" si="7"/>
        <v>2689424.67</v>
      </c>
      <c r="R80" s="133">
        <f t="shared" si="9"/>
        <v>0.26894246700000002</v>
      </c>
      <c r="S80" s="23" t="s">
        <v>1491</v>
      </c>
      <c r="T80" s="24" t="s">
        <v>1480</v>
      </c>
      <c r="AA80"/>
    </row>
    <row r="81" spans="1:27" ht="12.75" x14ac:dyDescent="0.2">
      <c r="A81" s="24" t="s">
        <v>1502</v>
      </c>
      <c r="B81" s="174">
        <v>44652</v>
      </c>
      <c r="C81" s="23" t="s">
        <v>406</v>
      </c>
      <c r="D81" s="106">
        <v>5001171</v>
      </c>
      <c r="E81" s="24" t="s">
        <v>224</v>
      </c>
      <c r="F81" s="23" t="s">
        <v>424</v>
      </c>
      <c r="G81" s="47" t="s">
        <v>264</v>
      </c>
      <c r="H81" s="24" t="s">
        <v>532</v>
      </c>
      <c r="I81" s="23">
        <v>10</v>
      </c>
      <c r="J81" s="24" t="s">
        <v>3</v>
      </c>
      <c r="K81" s="103">
        <v>76542</v>
      </c>
      <c r="L81" s="25">
        <f t="shared" si="5"/>
        <v>765420</v>
      </c>
      <c r="M81" s="173">
        <f t="shared" si="8"/>
        <v>7.6541999999999999E-2</v>
      </c>
      <c r="N81" s="133">
        <v>0.16</v>
      </c>
      <c r="O81" s="139">
        <f t="shared" si="6"/>
        <v>12246.720000000001</v>
      </c>
      <c r="P81" s="133">
        <v>17.334456349206352</v>
      </c>
      <c r="Q81" s="139">
        <f t="shared" si="7"/>
        <v>1326813.9578809526</v>
      </c>
      <c r="R81" s="133">
        <f t="shared" si="9"/>
        <v>0.13268139578809526</v>
      </c>
      <c r="S81" s="23" t="s">
        <v>1491</v>
      </c>
      <c r="T81" s="24" t="s">
        <v>1480</v>
      </c>
      <c r="AA81"/>
    </row>
    <row r="82" spans="1:27" ht="12.75" x14ac:dyDescent="0.2">
      <c r="A82" s="24" t="s">
        <v>1502</v>
      </c>
      <c r="B82" s="174">
        <v>44652</v>
      </c>
      <c r="C82" s="23" t="s">
        <v>406</v>
      </c>
      <c r="D82" s="106">
        <v>5001321</v>
      </c>
      <c r="E82" s="24" t="s">
        <v>408</v>
      </c>
      <c r="F82" s="23" t="s">
        <v>424</v>
      </c>
      <c r="G82" s="47" t="s">
        <v>264</v>
      </c>
      <c r="H82" s="24" t="s">
        <v>534</v>
      </c>
      <c r="I82" s="23">
        <v>24</v>
      </c>
      <c r="J82" s="24" t="s">
        <v>3</v>
      </c>
      <c r="K82" s="103">
        <v>143316</v>
      </c>
      <c r="L82" s="25">
        <f t="shared" ref="L82:L118" si="10">K82*I82</f>
        <v>3439584</v>
      </c>
      <c r="M82" s="173">
        <f t="shared" si="8"/>
        <v>0.3439584</v>
      </c>
      <c r="N82" s="133">
        <v>0.67400000000000004</v>
      </c>
      <c r="O82" s="139">
        <f t="shared" ref="O82:O118" si="11">+K82*N82</f>
        <v>96594.984000000011</v>
      </c>
      <c r="P82" s="133">
        <v>44.364199924127469</v>
      </c>
      <c r="Q82" s="139">
        <f t="shared" si="7"/>
        <v>6358099.6763262525</v>
      </c>
      <c r="R82" s="133">
        <f t="shared" si="9"/>
        <v>0.63580996763262521</v>
      </c>
      <c r="S82" s="23" t="s">
        <v>1491</v>
      </c>
      <c r="T82" s="24" t="s">
        <v>1480</v>
      </c>
      <c r="AA82"/>
    </row>
    <row r="83" spans="1:27" ht="12.75" x14ac:dyDescent="0.2">
      <c r="A83" s="24" t="s">
        <v>1502</v>
      </c>
      <c r="B83" s="174">
        <v>44652</v>
      </c>
      <c r="C83" s="23" t="s">
        <v>406</v>
      </c>
      <c r="D83" s="106">
        <v>5001552</v>
      </c>
      <c r="E83" s="24" t="s">
        <v>330</v>
      </c>
      <c r="F83" s="23" t="s">
        <v>426</v>
      </c>
      <c r="G83" s="47" t="s">
        <v>264</v>
      </c>
      <c r="H83" s="24" t="s">
        <v>535</v>
      </c>
      <c r="I83" s="23">
        <v>30</v>
      </c>
      <c r="J83" s="24" t="s">
        <v>7</v>
      </c>
      <c r="K83" s="103">
        <v>36220</v>
      </c>
      <c r="L83" s="25">
        <f t="shared" si="10"/>
        <v>1086600</v>
      </c>
      <c r="M83" s="173">
        <f t="shared" si="8"/>
        <v>0.10866000000000001</v>
      </c>
      <c r="N83" s="133">
        <v>1.3169791666666666</v>
      </c>
      <c r="O83" s="139">
        <f t="shared" si="11"/>
        <v>47700.985416666663</v>
      </c>
      <c r="P83" s="133">
        <v>60.67799988903684</v>
      </c>
      <c r="Q83" s="139">
        <f t="shared" si="7"/>
        <v>2197757.1559809144</v>
      </c>
      <c r="R83" s="133">
        <f t="shared" si="9"/>
        <v>0.21977571559809145</v>
      </c>
      <c r="S83" s="23" t="s">
        <v>1491</v>
      </c>
      <c r="T83" s="24" t="s">
        <v>1480</v>
      </c>
      <c r="AA83"/>
    </row>
    <row r="84" spans="1:27" ht="12.75" x14ac:dyDescent="0.2">
      <c r="A84" s="24" t="s">
        <v>1502</v>
      </c>
      <c r="B84" s="174">
        <v>44652</v>
      </c>
      <c r="C84" s="23" t="s">
        <v>406</v>
      </c>
      <c r="D84" s="106">
        <v>5000944</v>
      </c>
      <c r="E84" s="24" t="s">
        <v>329</v>
      </c>
      <c r="F84" s="23" t="s">
        <v>424</v>
      </c>
      <c r="G84" s="47" t="s">
        <v>264</v>
      </c>
      <c r="H84" s="24" t="s">
        <v>538</v>
      </c>
      <c r="I84" s="23">
        <v>10</v>
      </c>
      <c r="J84" s="24" t="s">
        <v>3</v>
      </c>
      <c r="K84" s="103">
        <v>59142</v>
      </c>
      <c r="L84" s="25">
        <f t="shared" si="10"/>
        <v>591420</v>
      </c>
      <c r="M84" s="173">
        <f t="shared" si="8"/>
        <v>5.9142E-2</v>
      </c>
      <c r="N84" s="133">
        <v>0.34177083333333336</v>
      </c>
      <c r="O84" s="139">
        <f t="shared" si="11"/>
        <v>20213.010625000003</v>
      </c>
      <c r="P84" s="133">
        <v>87.746463104976129</v>
      </c>
      <c r="Q84" s="139">
        <f t="shared" si="7"/>
        <v>5189501.3209544979</v>
      </c>
      <c r="R84" s="133">
        <f t="shared" si="9"/>
        <v>0.51895013209544982</v>
      </c>
      <c r="S84" s="23" t="s">
        <v>1491</v>
      </c>
      <c r="T84" s="24" t="s">
        <v>1480</v>
      </c>
      <c r="AA84"/>
    </row>
    <row r="85" spans="1:27" ht="12.75" x14ac:dyDescent="0.2">
      <c r="A85" s="24" t="s">
        <v>1502</v>
      </c>
      <c r="B85" s="174">
        <v>44652</v>
      </c>
      <c r="C85" s="23" t="s">
        <v>406</v>
      </c>
      <c r="D85" s="106">
        <v>5004271</v>
      </c>
      <c r="E85" s="24" t="s">
        <v>448</v>
      </c>
      <c r="F85" s="23" t="s">
        <v>424</v>
      </c>
      <c r="G85" s="47" t="s">
        <v>264</v>
      </c>
      <c r="H85" s="24" t="s">
        <v>539</v>
      </c>
      <c r="I85" s="23">
        <v>10</v>
      </c>
      <c r="J85" s="24" t="s">
        <v>3</v>
      </c>
      <c r="K85" s="103">
        <v>33702</v>
      </c>
      <c r="L85" s="25">
        <f t="shared" si="10"/>
        <v>337020</v>
      </c>
      <c r="M85" s="173">
        <f t="shared" si="8"/>
        <v>3.3702000000000003E-2</v>
      </c>
      <c r="N85" s="133">
        <v>0.40052083333333333</v>
      </c>
      <c r="O85" s="139">
        <f t="shared" si="11"/>
        <v>13498.353125</v>
      </c>
      <c r="P85" s="133">
        <v>79.715000000000003</v>
      </c>
      <c r="Q85" s="139">
        <f t="shared" si="7"/>
        <v>2686554.93</v>
      </c>
      <c r="R85" s="133">
        <f t="shared" si="9"/>
        <v>0.26865549300000002</v>
      </c>
      <c r="S85" s="23" t="s">
        <v>1491</v>
      </c>
      <c r="T85" s="24" t="s">
        <v>1480</v>
      </c>
      <c r="AA85"/>
    </row>
    <row r="86" spans="1:27" ht="12.75" x14ac:dyDescent="0.2">
      <c r="A86" s="24" t="s">
        <v>1502</v>
      </c>
      <c r="B86" s="174">
        <v>44652</v>
      </c>
      <c r="C86" s="23" t="s">
        <v>406</v>
      </c>
      <c r="D86" s="106">
        <v>5000944</v>
      </c>
      <c r="E86" s="24" t="s">
        <v>329</v>
      </c>
      <c r="F86" s="23" t="s">
        <v>424</v>
      </c>
      <c r="G86" s="47" t="s">
        <v>264</v>
      </c>
      <c r="H86" s="24" t="s">
        <v>540</v>
      </c>
      <c r="I86" s="23">
        <v>10</v>
      </c>
      <c r="J86" s="24" t="s">
        <v>3</v>
      </c>
      <c r="K86" s="103">
        <v>58788</v>
      </c>
      <c r="L86" s="25">
        <f t="shared" si="10"/>
        <v>587880</v>
      </c>
      <c r="M86" s="173">
        <f t="shared" si="8"/>
        <v>5.8788E-2</v>
      </c>
      <c r="N86" s="133">
        <v>0.34177083333333336</v>
      </c>
      <c r="O86" s="139">
        <f t="shared" si="11"/>
        <v>20092.02375</v>
      </c>
      <c r="P86" s="133">
        <v>87.746463104976129</v>
      </c>
      <c r="Q86" s="139">
        <f t="shared" si="7"/>
        <v>5158439.0730153369</v>
      </c>
      <c r="R86" s="133">
        <f t="shared" si="9"/>
        <v>0.51584390730153373</v>
      </c>
      <c r="S86" s="23" t="s">
        <v>1491</v>
      </c>
      <c r="T86" s="24" t="s">
        <v>1480</v>
      </c>
      <c r="AA86"/>
    </row>
    <row r="87" spans="1:27" ht="12.75" x14ac:dyDescent="0.2">
      <c r="A87" s="24" t="s">
        <v>1502</v>
      </c>
      <c r="B87" s="174">
        <v>44652</v>
      </c>
      <c r="C87" s="23" t="s">
        <v>406</v>
      </c>
      <c r="D87" s="106">
        <v>5001267</v>
      </c>
      <c r="E87" s="24" t="s">
        <v>417</v>
      </c>
      <c r="F87" s="23" t="s">
        <v>426</v>
      </c>
      <c r="G87" s="47" t="s">
        <v>264</v>
      </c>
      <c r="H87" s="24" t="s">
        <v>541</v>
      </c>
      <c r="I87" s="23">
        <v>90</v>
      </c>
      <c r="J87" s="24" t="s">
        <v>7</v>
      </c>
      <c r="K87" s="103">
        <v>1281</v>
      </c>
      <c r="L87" s="25">
        <f t="shared" si="10"/>
        <v>115290</v>
      </c>
      <c r="M87" s="173">
        <f t="shared" si="8"/>
        <v>1.1528999999999999E-2</v>
      </c>
      <c r="N87" s="133">
        <v>2.5342708333333333</v>
      </c>
      <c r="O87" s="139">
        <f t="shared" si="11"/>
        <v>3246.4009375000001</v>
      </c>
      <c r="P87" s="133">
        <v>500.59349537037042</v>
      </c>
      <c r="Q87" s="139">
        <f t="shared" si="7"/>
        <v>641260.26756944449</v>
      </c>
      <c r="R87" s="133">
        <f t="shared" si="9"/>
        <v>6.4126026756944454E-2</v>
      </c>
      <c r="S87" s="23" t="s">
        <v>1491</v>
      </c>
      <c r="T87" s="24" t="s">
        <v>1480</v>
      </c>
      <c r="AA87"/>
    </row>
    <row r="88" spans="1:27" ht="12.75" x14ac:dyDescent="0.2">
      <c r="A88" s="24" t="s">
        <v>1502</v>
      </c>
      <c r="B88" s="174">
        <v>44652</v>
      </c>
      <c r="C88" s="23" t="s">
        <v>406</v>
      </c>
      <c r="D88" s="106">
        <v>5001321</v>
      </c>
      <c r="E88" s="24" t="s">
        <v>408</v>
      </c>
      <c r="F88" s="23" t="s">
        <v>424</v>
      </c>
      <c r="G88" s="47" t="s">
        <v>264</v>
      </c>
      <c r="H88" s="24" t="s">
        <v>542</v>
      </c>
      <c r="I88" s="23">
        <v>24</v>
      </c>
      <c r="J88" s="24" t="s">
        <v>3</v>
      </c>
      <c r="K88" s="103">
        <v>142236</v>
      </c>
      <c r="L88" s="25">
        <f t="shared" si="10"/>
        <v>3413664</v>
      </c>
      <c r="M88" s="173">
        <f t="shared" si="8"/>
        <v>0.34136640000000001</v>
      </c>
      <c r="N88" s="133">
        <v>0.67400000000000004</v>
      </c>
      <c r="O88" s="139">
        <f t="shared" si="11"/>
        <v>95867.064000000013</v>
      </c>
      <c r="P88" s="133">
        <v>44.364199924127469</v>
      </c>
      <c r="Q88" s="139">
        <f t="shared" si="7"/>
        <v>6310186.3404081948</v>
      </c>
      <c r="R88" s="133">
        <f t="shared" si="9"/>
        <v>0.63101863404081948</v>
      </c>
      <c r="S88" s="23" t="s">
        <v>1491</v>
      </c>
      <c r="T88" s="24" t="s">
        <v>1480</v>
      </c>
      <c r="AA88"/>
    </row>
    <row r="89" spans="1:27" ht="12.75" x14ac:dyDescent="0.2">
      <c r="A89" s="24" t="s">
        <v>1502</v>
      </c>
      <c r="B89" s="174">
        <v>44652</v>
      </c>
      <c r="C89" s="23" t="s">
        <v>406</v>
      </c>
      <c r="D89" s="106">
        <v>5001333</v>
      </c>
      <c r="E89" s="24" t="s">
        <v>410</v>
      </c>
      <c r="F89" s="23" t="s">
        <v>424</v>
      </c>
      <c r="G89" s="47" t="s">
        <v>264</v>
      </c>
      <c r="H89" s="24" t="s">
        <v>420</v>
      </c>
      <c r="I89" s="23">
        <v>6</v>
      </c>
      <c r="J89" s="24" t="s">
        <v>3</v>
      </c>
      <c r="K89" s="103">
        <v>282091</v>
      </c>
      <c r="L89" s="25">
        <f t="shared" si="10"/>
        <v>1692546</v>
      </c>
      <c r="M89" s="173">
        <f t="shared" si="8"/>
        <v>0.16925460000000001</v>
      </c>
      <c r="N89" s="133">
        <v>0.28375510204081633</v>
      </c>
      <c r="O89" s="139">
        <f t="shared" si="11"/>
        <v>80044.760489795925</v>
      </c>
      <c r="P89" s="133">
        <v>40.058010181818183</v>
      </c>
      <c r="Q89" s="139">
        <f t="shared" si="7"/>
        <v>11300004.150199274</v>
      </c>
      <c r="R89" s="133">
        <f t="shared" si="9"/>
        <v>1.1300004150199274</v>
      </c>
      <c r="S89" s="23" t="s">
        <v>1491</v>
      </c>
      <c r="T89" s="24" t="s">
        <v>1480</v>
      </c>
      <c r="AA89"/>
    </row>
    <row r="90" spans="1:27" ht="12.75" x14ac:dyDescent="0.2">
      <c r="A90" s="24" t="s">
        <v>1502</v>
      </c>
      <c r="B90" s="174">
        <v>44652</v>
      </c>
      <c r="C90" s="23" t="s">
        <v>406</v>
      </c>
      <c r="D90" s="106">
        <v>5001070</v>
      </c>
      <c r="E90" s="24" t="s">
        <v>455</v>
      </c>
      <c r="F90" s="23" t="s">
        <v>424</v>
      </c>
      <c r="G90" s="47" t="s">
        <v>264</v>
      </c>
      <c r="H90" s="24" t="s">
        <v>418</v>
      </c>
      <c r="I90" s="23">
        <v>10</v>
      </c>
      <c r="J90" s="24" t="s">
        <v>65</v>
      </c>
      <c r="K90" s="103">
        <v>112040</v>
      </c>
      <c r="L90" s="25">
        <f t="shared" si="10"/>
        <v>1120400</v>
      </c>
      <c r="M90" s="173">
        <f t="shared" si="8"/>
        <v>0.11204</v>
      </c>
      <c r="N90" s="133">
        <v>0.28375510204081633</v>
      </c>
      <c r="O90" s="139">
        <f t="shared" si="11"/>
        <v>31791.921632653062</v>
      </c>
      <c r="P90" s="133">
        <v>70.774999999999991</v>
      </c>
      <c r="Q90" s="139">
        <f t="shared" si="7"/>
        <v>7929630.9999999991</v>
      </c>
      <c r="R90" s="133">
        <f t="shared" si="9"/>
        <v>0.79296309999999992</v>
      </c>
      <c r="S90" s="23" t="s">
        <v>1491</v>
      </c>
      <c r="T90" s="24" t="s">
        <v>1480</v>
      </c>
      <c r="AA90"/>
    </row>
    <row r="91" spans="1:27" ht="12.75" x14ac:dyDescent="0.2">
      <c r="A91" s="24" t="s">
        <v>1502</v>
      </c>
      <c r="B91" s="174">
        <v>44652</v>
      </c>
      <c r="C91" s="23" t="s">
        <v>406</v>
      </c>
      <c r="D91" s="106">
        <v>5001372</v>
      </c>
      <c r="E91" s="24" t="s">
        <v>456</v>
      </c>
      <c r="F91" s="23" t="s">
        <v>424</v>
      </c>
      <c r="G91" s="47" t="s">
        <v>264</v>
      </c>
      <c r="H91" s="24" t="s">
        <v>543</v>
      </c>
      <c r="I91" s="23">
        <v>2</v>
      </c>
      <c r="J91" s="24" t="s">
        <v>3</v>
      </c>
      <c r="K91" s="103">
        <v>132125</v>
      </c>
      <c r="L91" s="25">
        <f t="shared" si="10"/>
        <v>264250</v>
      </c>
      <c r="M91" s="173">
        <f t="shared" si="8"/>
        <v>2.6425000000000001E-2</v>
      </c>
      <c r="N91" s="133">
        <v>0.22668749999999999</v>
      </c>
      <c r="O91" s="139">
        <f t="shared" si="11"/>
        <v>29951.0859375</v>
      </c>
      <c r="P91" s="133">
        <v>27.192499999999999</v>
      </c>
      <c r="Q91" s="139">
        <f t="shared" si="7"/>
        <v>3592809.0625</v>
      </c>
      <c r="R91" s="133">
        <f t="shared" si="9"/>
        <v>0.35928090624999998</v>
      </c>
      <c r="S91" s="23" t="s">
        <v>1491</v>
      </c>
      <c r="T91" s="24" t="s">
        <v>1480</v>
      </c>
      <c r="AA91"/>
    </row>
    <row r="92" spans="1:27" ht="12.75" x14ac:dyDescent="0.2">
      <c r="A92" s="24" t="s">
        <v>1502</v>
      </c>
      <c r="B92" s="174">
        <v>44652</v>
      </c>
      <c r="C92" s="23" t="s">
        <v>406</v>
      </c>
      <c r="D92" s="106">
        <v>5001635</v>
      </c>
      <c r="E92" s="24" t="s">
        <v>457</v>
      </c>
      <c r="F92" s="23" t="s">
        <v>424</v>
      </c>
      <c r="G92" s="47" t="s">
        <v>264</v>
      </c>
      <c r="H92" s="24" t="s">
        <v>544</v>
      </c>
      <c r="I92" s="23">
        <v>3</v>
      </c>
      <c r="J92" s="24" t="s">
        <v>3</v>
      </c>
      <c r="K92" s="103">
        <v>55417</v>
      </c>
      <c r="L92" s="25">
        <f t="shared" si="10"/>
        <v>166251</v>
      </c>
      <c r="M92" s="173">
        <f t="shared" si="8"/>
        <v>1.66251E-2</v>
      </c>
      <c r="N92" s="133">
        <v>0.1</v>
      </c>
      <c r="O92" s="139">
        <f t="shared" si="11"/>
        <v>5541.7000000000007</v>
      </c>
      <c r="P92" s="133">
        <v>121.39649999999999</v>
      </c>
      <c r="Q92" s="139">
        <f t="shared" si="7"/>
        <v>6727429.840499999</v>
      </c>
      <c r="R92" s="133">
        <f t="shared" si="9"/>
        <v>0.67274298404999988</v>
      </c>
      <c r="S92" s="23" t="s">
        <v>1491</v>
      </c>
      <c r="T92" s="24" t="s">
        <v>1480</v>
      </c>
      <c r="AA92"/>
    </row>
    <row r="93" spans="1:27" ht="12.75" x14ac:dyDescent="0.2">
      <c r="A93" s="24" t="s">
        <v>1502</v>
      </c>
      <c r="B93" s="174">
        <v>44652</v>
      </c>
      <c r="C93" s="23" t="s">
        <v>406</v>
      </c>
      <c r="D93" s="106">
        <v>5001321</v>
      </c>
      <c r="E93" s="24" t="s">
        <v>408</v>
      </c>
      <c r="F93" s="23" t="s">
        <v>424</v>
      </c>
      <c r="G93" s="47" t="s">
        <v>264</v>
      </c>
      <c r="H93" s="24" t="s">
        <v>546</v>
      </c>
      <c r="I93" s="23">
        <v>24</v>
      </c>
      <c r="J93" s="24" t="s">
        <v>3</v>
      </c>
      <c r="K93" s="103">
        <v>142356</v>
      </c>
      <c r="L93" s="25">
        <f t="shared" si="10"/>
        <v>3416544</v>
      </c>
      <c r="M93" s="173">
        <f t="shared" si="8"/>
        <v>0.34165440000000002</v>
      </c>
      <c r="N93" s="133">
        <v>0.67400000000000004</v>
      </c>
      <c r="O93" s="139">
        <f t="shared" si="11"/>
        <v>95947.944000000003</v>
      </c>
      <c r="P93" s="133">
        <v>44.364199924127469</v>
      </c>
      <c r="Q93" s="139">
        <f t="shared" si="7"/>
        <v>6315510.0443990901</v>
      </c>
      <c r="R93" s="133">
        <f t="shared" si="9"/>
        <v>0.63155100443990897</v>
      </c>
      <c r="S93" s="23" t="s">
        <v>1491</v>
      </c>
      <c r="T93" s="24" t="s">
        <v>1480</v>
      </c>
      <c r="AA93"/>
    </row>
    <row r="94" spans="1:27" ht="12.75" x14ac:dyDescent="0.2">
      <c r="A94" s="24" t="s">
        <v>1502</v>
      </c>
      <c r="B94" s="174">
        <v>44652</v>
      </c>
      <c r="C94" s="23" t="s">
        <v>406</v>
      </c>
      <c r="D94" s="106">
        <v>5001372</v>
      </c>
      <c r="E94" s="24" t="s">
        <v>456</v>
      </c>
      <c r="F94" s="23" t="s">
        <v>424</v>
      </c>
      <c r="G94" s="47" t="s">
        <v>264</v>
      </c>
      <c r="H94" s="24" t="s">
        <v>547</v>
      </c>
      <c r="I94" s="23">
        <v>2</v>
      </c>
      <c r="J94" s="24" t="s">
        <v>3</v>
      </c>
      <c r="K94" s="103">
        <v>221325</v>
      </c>
      <c r="L94" s="25">
        <f t="shared" si="10"/>
        <v>442650</v>
      </c>
      <c r="M94" s="173">
        <f t="shared" si="8"/>
        <v>4.4264999999999999E-2</v>
      </c>
      <c r="N94" s="133">
        <v>0.22668749999999999</v>
      </c>
      <c r="O94" s="139">
        <f t="shared" si="11"/>
        <v>50171.610937499994</v>
      </c>
      <c r="P94" s="133">
        <v>27.192499999999999</v>
      </c>
      <c r="Q94" s="139">
        <f t="shared" si="7"/>
        <v>6018380.0625</v>
      </c>
      <c r="R94" s="133">
        <f t="shared" si="9"/>
        <v>0.60183800624999995</v>
      </c>
      <c r="S94" s="23" t="s">
        <v>1491</v>
      </c>
      <c r="T94" s="24" t="s">
        <v>1480</v>
      </c>
      <c r="AA94"/>
    </row>
    <row r="95" spans="1:27" ht="12.75" x14ac:dyDescent="0.2">
      <c r="A95" s="24" t="s">
        <v>1502</v>
      </c>
      <c r="B95" s="174">
        <v>44652</v>
      </c>
      <c r="C95" s="23" t="s">
        <v>406</v>
      </c>
      <c r="D95" s="106">
        <v>5001551</v>
      </c>
      <c r="E95" s="24" t="s">
        <v>458</v>
      </c>
      <c r="F95" s="23" t="s">
        <v>426</v>
      </c>
      <c r="G95" s="47" t="s">
        <v>264</v>
      </c>
      <c r="H95" s="24" t="s">
        <v>548</v>
      </c>
      <c r="I95" s="23">
        <v>30</v>
      </c>
      <c r="J95" s="24" t="s">
        <v>7</v>
      </c>
      <c r="K95" s="103">
        <v>10965</v>
      </c>
      <c r="L95" s="25">
        <f t="shared" si="10"/>
        <v>328950</v>
      </c>
      <c r="M95" s="173">
        <f t="shared" si="8"/>
        <v>3.2895000000000001E-2</v>
      </c>
      <c r="N95" s="133">
        <v>1.3169791666666666</v>
      </c>
      <c r="O95" s="139">
        <f t="shared" si="11"/>
        <v>14440.676562499999</v>
      </c>
      <c r="P95" s="133">
        <v>45.508499999999998</v>
      </c>
      <c r="Q95" s="139">
        <f t="shared" si="7"/>
        <v>499000.70249999996</v>
      </c>
      <c r="R95" s="133">
        <f t="shared" si="9"/>
        <v>4.9900070249999998E-2</v>
      </c>
      <c r="S95" s="23" t="s">
        <v>1491</v>
      </c>
      <c r="T95" s="24" t="s">
        <v>1480</v>
      </c>
      <c r="AA95"/>
    </row>
    <row r="96" spans="1:27" ht="12.75" x14ac:dyDescent="0.2">
      <c r="A96" s="24" t="s">
        <v>1502</v>
      </c>
      <c r="B96" s="174">
        <v>44652</v>
      </c>
      <c r="C96" s="23" t="s">
        <v>406</v>
      </c>
      <c r="D96" s="106">
        <v>5004111</v>
      </c>
      <c r="E96" s="24" t="s">
        <v>459</v>
      </c>
      <c r="F96" s="23" t="s">
        <v>424</v>
      </c>
      <c r="G96" s="47" t="s">
        <v>264</v>
      </c>
      <c r="H96" s="24" t="s">
        <v>549</v>
      </c>
      <c r="I96" s="23">
        <v>10</v>
      </c>
      <c r="J96" s="24" t="s">
        <v>3</v>
      </c>
      <c r="K96" s="103">
        <v>45030</v>
      </c>
      <c r="L96" s="25">
        <f t="shared" si="10"/>
        <v>450300</v>
      </c>
      <c r="M96" s="173">
        <f t="shared" si="8"/>
        <v>4.5030000000000001E-2</v>
      </c>
      <c r="N96" s="133">
        <v>0.40052083333333333</v>
      </c>
      <c r="O96" s="139">
        <f t="shared" si="11"/>
        <v>18035.453125</v>
      </c>
      <c r="P96" s="133">
        <v>99.613049945711168</v>
      </c>
      <c r="Q96" s="139">
        <f t="shared" si="7"/>
        <v>4485575.6390553741</v>
      </c>
      <c r="R96" s="133">
        <f t="shared" si="9"/>
        <v>0.44855756390553742</v>
      </c>
      <c r="S96" s="23" t="s">
        <v>1491</v>
      </c>
      <c r="T96" s="24" t="s">
        <v>1480</v>
      </c>
      <c r="AA96"/>
    </row>
    <row r="97" spans="1:27" ht="12.75" x14ac:dyDescent="0.2">
      <c r="A97" s="24" t="s">
        <v>1502</v>
      </c>
      <c r="B97" s="174">
        <v>44652</v>
      </c>
      <c r="C97" s="23" t="s">
        <v>406</v>
      </c>
      <c r="D97" s="106">
        <v>5001309</v>
      </c>
      <c r="E97" s="24" t="s">
        <v>460</v>
      </c>
      <c r="F97" s="23" t="s">
        <v>424</v>
      </c>
      <c r="G97" s="47" t="s">
        <v>264</v>
      </c>
      <c r="H97" s="24" t="s">
        <v>550</v>
      </c>
      <c r="I97" s="23">
        <v>6</v>
      </c>
      <c r="J97" s="24" t="s">
        <v>3</v>
      </c>
      <c r="K97" s="103">
        <v>24016</v>
      </c>
      <c r="L97" s="25">
        <f t="shared" si="10"/>
        <v>144096</v>
      </c>
      <c r="M97" s="173">
        <f t="shared" si="8"/>
        <v>1.44096E-2</v>
      </c>
      <c r="N97" s="133">
        <v>0.37741666666666668</v>
      </c>
      <c r="O97" s="139">
        <f t="shared" si="11"/>
        <v>9064.0386666666673</v>
      </c>
      <c r="P97" s="133">
        <v>68.568749720670397</v>
      </c>
      <c r="Q97" s="139">
        <f t="shared" si="7"/>
        <v>1646747.0932916203</v>
      </c>
      <c r="R97" s="133">
        <f t="shared" si="9"/>
        <v>0.16467470932916203</v>
      </c>
      <c r="S97" s="23" t="s">
        <v>1491</v>
      </c>
      <c r="T97" s="24" t="s">
        <v>1480</v>
      </c>
      <c r="AA97"/>
    </row>
    <row r="98" spans="1:27" ht="12.75" x14ac:dyDescent="0.2">
      <c r="A98" s="24" t="s">
        <v>1502</v>
      </c>
      <c r="B98" s="174">
        <v>44652</v>
      </c>
      <c r="C98" s="23" t="s">
        <v>406</v>
      </c>
      <c r="D98" s="106">
        <v>5001329</v>
      </c>
      <c r="E98" s="24" t="s">
        <v>461</v>
      </c>
      <c r="F98" s="23" t="s">
        <v>424</v>
      </c>
      <c r="G98" s="47" t="s">
        <v>264</v>
      </c>
      <c r="H98" s="24" t="s">
        <v>551</v>
      </c>
      <c r="I98" s="23">
        <v>12</v>
      </c>
      <c r="J98" s="24" t="s">
        <v>3</v>
      </c>
      <c r="K98" s="103">
        <v>98477</v>
      </c>
      <c r="L98" s="25">
        <f t="shared" si="10"/>
        <v>1181724</v>
      </c>
      <c r="M98" s="173">
        <f t="shared" si="8"/>
        <v>0.1181724</v>
      </c>
      <c r="N98" s="133">
        <v>0.3742448979591837</v>
      </c>
      <c r="O98" s="139">
        <f t="shared" si="11"/>
        <v>36854.514816326533</v>
      </c>
      <c r="P98" s="133">
        <v>41.912646605302491</v>
      </c>
      <c r="Q98" s="139">
        <f t="shared" si="7"/>
        <v>4127431.6997503736</v>
      </c>
      <c r="R98" s="133">
        <f t="shared" si="9"/>
        <v>0.41274316997503735</v>
      </c>
      <c r="S98" s="23" t="s">
        <v>1491</v>
      </c>
      <c r="T98" s="24" t="s">
        <v>1480</v>
      </c>
      <c r="AA98"/>
    </row>
    <row r="99" spans="1:27" ht="12.75" x14ac:dyDescent="0.2">
      <c r="A99" s="24" t="s">
        <v>1502</v>
      </c>
      <c r="B99" s="174">
        <v>44652</v>
      </c>
      <c r="C99" s="23" t="s">
        <v>406</v>
      </c>
      <c r="D99" s="106">
        <v>5002706</v>
      </c>
      <c r="E99" s="24" t="s">
        <v>413</v>
      </c>
      <c r="F99" s="23" t="s">
        <v>426</v>
      </c>
      <c r="G99" s="47" t="s">
        <v>264</v>
      </c>
      <c r="H99" s="24" t="s">
        <v>552</v>
      </c>
      <c r="I99" s="23">
        <v>100</v>
      </c>
      <c r="J99" s="24" t="s">
        <v>7</v>
      </c>
      <c r="K99" s="103">
        <v>10629</v>
      </c>
      <c r="L99" s="25">
        <f t="shared" si="10"/>
        <v>1062900</v>
      </c>
      <c r="M99" s="173">
        <f t="shared" si="8"/>
        <v>0.10629</v>
      </c>
      <c r="N99" s="133">
        <v>2.6781250000000001</v>
      </c>
      <c r="O99" s="139">
        <f t="shared" si="11"/>
        <v>28465.790625000001</v>
      </c>
      <c r="P99" s="133">
        <v>356.21299847793</v>
      </c>
      <c r="Q99" s="139">
        <f t="shared" si="7"/>
        <v>3786187.9608219177</v>
      </c>
      <c r="R99" s="133">
        <f t="shared" si="9"/>
        <v>0.37861879608219179</v>
      </c>
      <c r="S99" s="23" t="s">
        <v>1491</v>
      </c>
      <c r="T99" s="24" t="s">
        <v>1480</v>
      </c>
      <c r="AA99"/>
    </row>
    <row r="100" spans="1:27" ht="12.75" x14ac:dyDescent="0.2">
      <c r="A100" s="24" t="s">
        <v>1502</v>
      </c>
      <c r="B100" s="174">
        <v>44652</v>
      </c>
      <c r="C100" s="23" t="s">
        <v>406</v>
      </c>
      <c r="D100" s="106">
        <v>5001309</v>
      </c>
      <c r="E100" s="24" t="s">
        <v>460</v>
      </c>
      <c r="F100" s="23" t="s">
        <v>424</v>
      </c>
      <c r="G100" s="47" t="s">
        <v>264</v>
      </c>
      <c r="H100" s="24" t="s">
        <v>553</v>
      </c>
      <c r="I100" s="23">
        <v>6</v>
      </c>
      <c r="J100" s="24" t="s">
        <v>3</v>
      </c>
      <c r="K100" s="103">
        <v>23786</v>
      </c>
      <c r="L100" s="25">
        <f t="shared" si="10"/>
        <v>142716</v>
      </c>
      <c r="M100" s="173">
        <f t="shared" si="8"/>
        <v>1.4271600000000001E-2</v>
      </c>
      <c r="N100" s="133">
        <v>0.37741666666666668</v>
      </c>
      <c r="O100" s="139">
        <f t="shared" si="11"/>
        <v>8977.2328333333335</v>
      </c>
      <c r="P100" s="133">
        <v>68.568749720670397</v>
      </c>
      <c r="Q100" s="139">
        <f t="shared" si="7"/>
        <v>1630976.2808558661</v>
      </c>
      <c r="R100" s="133">
        <f t="shared" si="9"/>
        <v>0.16309762808558662</v>
      </c>
      <c r="S100" s="23" t="s">
        <v>1491</v>
      </c>
      <c r="T100" s="24" t="s">
        <v>1480</v>
      </c>
      <c r="AA100"/>
    </row>
    <row r="101" spans="1:27" ht="12.75" x14ac:dyDescent="0.2">
      <c r="A101" s="24" t="s">
        <v>1502</v>
      </c>
      <c r="B101" s="174">
        <v>44652</v>
      </c>
      <c r="C101" s="23" t="s">
        <v>406</v>
      </c>
      <c r="D101" s="106">
        <v>5001309</v>
      </c>
      <c r="E101" s="24" t="s">
        <v>460</v>
      </c>
      <c r="F101" s="23" t="s">
        <v>424</v>
      </c>
      <c r="G101" s="47" t="s">
        <v>264</v>
      </c>
      <c r="H101" s="24" t="s">
        <v>554</v>
      </c>
      <c r="I101" s="23">
        <v>6</v>
      </c>
      <c r="J101" s="24" t="s">
        <v>3</v>
      </c>
      <c r="K101" s="103">
        <v>23397</v>
      </c>
      <c r="L101" s="25">
        <f t="shared" si="10"/>
        <v>140382</v>
      </c>
      <c r="M101" s="173">
        <f t="shared" si="8"/>
        <v>1.4038200000000001E-2</v>
      </c>
      <c r="N101" s="133">
        <v>0.37741666666666668</v>
      </c>
      <c r="O101" s="139">
        <f t="shared" si="11"/>
        <v>8830.4177500000005</v>
      </c>
      <c r="P101" s="133">
        <v>68.568749720670397</v>
      </c>
      <c r="Q101" s="139">
        <f t="shared" si="7"/>
        <v>1604303.0372145253</v>
      </c>
      <c r="R101" s="133">
        <f t="shared" si="9"/>
        <v>0.16043030372145253</v>
      </c>
      <c r="S101" s="23" t="s">
        <v>1491</v>
      </c>
      <c r="T101" s="24" t="s">
        <v>1480</v>
      </c>
      <c r="AA101"/>
    </row>
    <row r="102" spans="1:27" ht="12.75" x14ac:dyDescent="0.2">
      <c r="A102" s="24" t="s">
        <v>1502</v>
      </c>
      <c r="B102" s="174">
        <v>44652</v>
      </c>
      <c r="C102" s="23" t="s">
        <v>406</v>
      </c>
      <c r="D102" s="106">
        <v>5001551</v>
      </c>
      <c r="E102" s="24" t="s">
        <v>458</v>
      </c>
      <c r="F102" s="23" t="s">
        <v>426</v>
      </c>
      <c r="G102" s="47" t="s">
        <v>264</v>
      </c>
      <c r="H102" s="24" t="s">
        <v>555</v>
      </c>
      <c r="I102" s="23">
        <v>30</v>
      </c>
      <c r="J102" s="24" t="s">
        <v>7</v>
      </c>
      <c r="K102" s="103">
        <v>12751</v>
      </c>
      <c r="L102" s="25">
        <f t="shared" si="10"/>
        <v>382530</v>
      </c>
      <c r="M102" s="173">
        <f t="shared" si="8"/>
        <v>3.8253000000000002E-2</v>
      </c>
      <c r="N102" s="133">
        <v>1.3169791666666666</v>
      </c>
      <c r="O102" s="139">
        <f t="shared" si="11"/>
        <v>16792.801354166666</v>
      </c>
      <c r="P102" s="133">
        <v>45.508499999999998</v>
      </c>
      <c r="Q102" s="139">
        <f t="shared" si="7"/>
        <v>580278.8835</v>
      </c>
      <c r="R102" s="133">
        <f t="shared" si="9"/>
        <v>5.8027888350000001E-2</v>
      </c>
      <c r="S102" s="23" t="s">
        <v>1491</v>
      </c>
      <c r="T102" s="24" t="s">
        <v>1480</v>
      </c>
      <c r="AA102"/>
    </row>
    <row r="103" spans="1:27" ht="12.75" x14ac:dyDescent="0.2">
      <c r="A103" s="24" t="s">
        <v>1502</v>
      </c>
      <c r="B103" s="174">
        <v>44652</v>
      </c>
      <c r="C103" s="23" t="s">
        <v>406</v>
      </c>
      <c r="D103" s="106">
        <v>5002812</v>
      </c>
      <c r="E103" s="24" t="s">
        <v>462</v>
      </c>
      <c r="F103" s="23" t="s">
        <v>426</v>
      </c>
      <c r="G103" s="47" t="s">
        <v>264</v>
      </c>
      <c r="H103" s="24" t="s">
        <v>548</v>
      </c>
      <c r="I103" s="23">
        <v>500</v>
      </c>
      <c r="J103" s="24" t="s">
        <v>7</v>
      </c>
      <c r="K103" s="103">
        <v>116</v>
      </c>
      <c r="L103" s="25">
        <f t="shared" si="10"/>
        <v>58000</v>
      </c>
      <c r="M103" s="173">
        <f t="shared" si="8"/>
        <v>5.7999999999999996E-3</v>
      </c>
      <c r="N103" s="133">
        <v>9.578125</v>
      </c>
      <c r="O103" s="139">
        <f t="shared" si="11"/>
        <v>1111.0625</v>
      </c>
      <c r="P103" s="133">
        <v>715.19999999999993</v>
      </c>
      <c r="Q103" s="139">
        <f t="shared" si="7"/>
        <v>82963.199999999997</v>
      </c>
      <c r="R103" s="133">
        <f t="shared" si="9"/>
        <v>8.2963199999999994E-3</v>
      </c>
      <c r="S103" s="23" t="s">
        <v>1491</v>
      </c>
      <c r="T103" s="24" t="s">
        <v>1480</v>
      </c>
      <c r="AA103"/>
    </row>
    <row r="104" spans="1:27" ht="12.75" x14ac:dyDescent="0.2">
      <c r="A104" s="24" t="s">
        <v>1502</v>
      </c>
      <c r="B104" s="174">
        <v>44652</v>
      </c>
      <c r="C104" s="23" t="s">
        <v>406</v>
      </c>
      <c r="D104" s="106">
        <v>5004111</v>
      </c>
      <c r="E104" s="24" t="s">
        <v>459</v>
      </c>
      <c r="F104" s="23" t="s">
        <v>424</v>
      </c>
      <c r="G104" s="47" t="s">
        <v>264</v>
      </c>
      <c r="H104" s="24" t="s">
        <v>556</v>
      </c>
      <c r="I104" s="23">
        <v>10</v>
      </c>
      <c r="J104" s="24" t="s">
        <v>3</v>
      </c>
      <c r="K104" s="103">
        <v>46257</v>
      </c>
      <c r="L104" s="25">
        <f t="shared" si="10"/>
        <v>462570</v>
      </c>
      <c r="M104" s="173">
        <f t="shared" si="8"/>
        <v>4.6257E-2</v>
      </c>
      <c r="N104" s="133">
        <v>0.40052083333333333</v>
      </c>
      <c r="O104" s="139">
        <f t="shared" si="11"/>
        <v>18526.892187500001</v>
      </c>
      <c r="P104" s="133">
        <v>99.613049945711168</v>
      </c>
      <c r="Q104" s="139">
        <f t="shared" si="7"/>
        <v>4607800.8513387619</v>
      </c>
      <c r="R104" s="133">
        <f t="shared" si="9"/>
        <v>0.46078008513387619</v>
      </c>
      <c r="S104" s="23" t="s">
        <v>1491</v>
      </c>
      <c r="T104" s="24" t="s">
        <v>1480</v>
      </c>
      <c r="AA104"/>
    </row>
    <row r="105" spans="1:27" ht="12.75" x14ac:dyDescent="0.2">
      <c r="A105" s="24" t="s">
        <v>1502</v>
      </c>
      <c r="B105" s="174">
        <v>44652</v>
      </c>
      <c r="C105" s="23" t="s">
        <v>406</v>
      </c>
      <c r="D105" s="106">
        <v>5001328</v>
      </c>
      <c r="E105" s="24" t="s">
        <v>409</v>
      </c>
      <c r="F105" s="23" t="s">
        <v>424</v>
      </c>
      <c r="G105" s="47" t="s">
        <v>264</v>
      </c>
      <c r="H105" s="24" t="s">
        <v>551</v>
      </c>
      <c r="I105" s="23">
        <v>6</v>
      </c>
      <c r="J105" s="24" t="s">
        <v>3</v>
      </c>
      <c r="K105" s="103">
        <v>131416</v>
      </c>
      <c r="L105" s="25">
        <f t="shared" si="10"/>
        <v>788496</v>
      </c>
      <c r="M105" s="173">
        <f t="shared" si="8"/>
        <v>7.8849600000000006E-2</v>
      </c>
      <c r="N105" s="133">
        <v>0.30763265306122445</v>
      </c>
      <c r="O105" s="139">
        <f t="shared" si="11"/>
        <v>40427.852734693872</v>
      </c>
      <c r="P105" s="133">
        <v>25.870666666666668</v>
      </c>
      <c r="Q105" s="139">
        <f t="shared" si="7"/>
        <v>3399819.530666667</v>
      </c>
      <c r="R105" s="133">
        <f t="shared" si="9"/>
        <v>0.33998195306666673</v>
      </c>
      <c r="S105" s="23" t="s">
        <v>1491</v>
      </c>
      <c r="T105" s="24" t="s">
        <v>1480</v>
      </c>
      <c r="AA105"/>
    </row>
    <row r="106" spans="1:27" ht="12.75" x14ac:dyDescent="0.2">
      <c r="A106" s="24" t="s">
        <v>1502</v>
      </c>
      <c r="B106" s="174">
        <v>44652</v>
      </c>
      <c r="C106" s="23" t="s">
        <v>406</v>
      </c>
      <c r="D106" s="106">
        <v>5001352</v>
      </c>
      <c r="E106" s="24" t="s">
        <v>211</v>
      </c>
      <c r="F106" s="23" t="s">
        <v>424</v>
      </c>
      <c r="G106" s="47" t="s">
        <v>264</v>
      </c>
      <c r="H106" s="24" t="s">
        <v>419</v>
      </c>
      <c r="I106" s="23">
        <v>24</v>
      </c>
      <c r="J106" s="24" t="s">
        <v>3</v>
      </c>
      <c r="K106" s="103">
        <v>33714</v>
      </c>
      <c r="L106" s="25">
        <f t="shared" si="10"/>
        <v>809136</v>
      </c>
      <c r="M106" s="173">
        <f t="shared" si="8"/>
        <v>8.0913600000000002E-2</v>
      </c>
      <c r="N106" s="133">
        <v>0.50685714285714278</v>
      </c>
      <c r="O106" s="139">
        <f t="shared" si="11"/>
        <v>17088.181714285711</v>
      </c>
      <c r="P106" s="133">
        <v>44.075208333333329</v>
      </c>
      <c r="Q106" s="139">
        <f t="shared" si="7"/>
        <v>1485951.5737499997</v>
      </c>
      <c r="R106" s="133">
        <f t="shared" si="9"/>
        <v>0.14859515737499998</v>
      </c>
      <c r="S106" s="23" t="s">
        <v>1491</v>
      </c>
      <c r="T106" s="24" t="s">
        <v>1480</v>
      </c>
      <c r="AA106"/>
    </row>
    <row r="107" spans="1:27" ht="12.75" x14ac:dyDescent="0.2">
      <c r="A107" s="24" t="s">
        <v>1502</v>
      </c>
      <c r="B107" s="174">
        <v>44652</v>
      </c>
      <c r="C107" s="23" t="s">
        <v>406</v>
      </c>
      <c r="D107" s="106">
        <v>5001372</v>
      </c>
      <c r="E107" s="24" t="s">
        <v>456</v>
      </c>
      <c r="F107" s="23" t="s">
        <v>424</v>
      </c>
      <c r="G107" s="47" t="s">
        <v>264</v>
      </c>
      <c r="H107" s="24" t="s">
        <v>557</v>
      </c>
      <c r="I107" s="23">
        <v>2</v>
      </c>
      <c r="J107" s="24" t="s">
        <v>3</v>
      </c>
      <c r="K107" s="103">
        <v>199617</v>
      </c>
      <c r="L107" s="25">
        <f t="shared" si="10"/>
        <v>399234</v>
      </c>
      <c r="M107" s="173">
        <f t="shared" si="8"/>
        <v>3.9923399999999998E-2</v>
      </c>
      <c r="N107" s="133">
        <v>0.22668749999999999</v>
      </c>
      <c r="O107" s="139">
        <f t="shared" si="11"/>
        <v>45250.678687499996</v>
      </c>
      <c r="P107" s="133">
        <v>27.192499999999999</v>
      </c>
      <c r="Q107" s="139">
        <f t="shared" si="7"/>
        <v>5428085.2725</v>
      </c>
      <c r="R107" s="133">
        <f t="shared" si="9"/>
        <v>0.54280852724999995</v>
      </c>
      <c r="S107" s="23" t="s">
        <v>1491</v>
      </c>
      <c r="T107" s="24" t="s">
        <v>1480</v>
      </c>
      <c r="AA107"/>
    </row>
    <row r="108" spans="1:27" ht="12.75" x14ac:dyDescent="0.2">
      <c r="A108" s="24" t="s">
        <v>1502</v>
      </c>
      <c r="B108" s="174">
        <v>44652</v>
      </c>
      <c r="C108" s="23" t="s">
        <v>406</v>
      </c>
      <c r="D108" s="106">
        <v>5004111</v>
      </c>
      <c r="E108" s="24" t="s">
        <v>459</v>
      </c>
      <c r="F108" s="23" t="s">
        <v>424</v>
      </c>
      <c r="G108" s="47" t="s">
        <v>264</v>
      </c>
      <c r="H108" s="24" t="s">
        <v>559</v>
      </c>
      <c r="I108" s="23">
        <v>10</v>
      </c>
      <c r="J108" s="24" t="s">
        <v>3</v>
      </c>
      <c r="K108" s="103">
        <v>43179</v>
      </c>
      <c r="L108" s="25">
        <f t="shared" si="10"/>
        <v>431790</v>
      </c>
      <c r="M108" s="173">
        <f t="shared" si="8"/>
        <v>4.3179000000000002E-2</v>
      </c>
      <c r="N108" s="133">
        <v>0.40052083333333333</v>
      </c>
      <c r="O108" s="139">
        <f t="shared" si="11"/>
        <v>17294.089062499999</v>
      </c>
      <c r="P108" s="133">
        <v>99.613049945711168</v>
      </c>
      <c r="Q108" s="139">
        <f t="shared" si="7"/>
        <v>4301191.883605863</v>
      </c>
      <c r="R108" s="133">
        <f t="shared" si="9"/>
        <v>0.43011918836058632</v>
      </c>
      <c r="S108" s="23" t="s">
        <v>1491</v>
      </c>
      <c r="T108" s="24" t="s">
        <v>1480</v>
      </c>
      <c r="AA108"/>
    </row>
    <row r="109" spans="1:27" ht="12.75" x14ac:dyDescent="0.2">
      <c r="A109" s="24" t="s">
        <v>1502</v>
      </c>
      <c r="B109" s="174">
        <v>44652</v>
      </c>
      <c r="C109" s="23" t="s">
        <v>406</v>
      </c>
      <c r="D109" s="106">
        <v>5000318</v>
      </c>
      <c r="E109" s="24" t="s">
        <v>407</v>
      </c>
      <c r="F109" s="23" t="s">
        <v>424</v>
      </c>
      <c r="G109" s="47" t="s">
        <v>264</v>
      </c>
      <c r="H109" s="24" t="s">
        <v>560</v>
      </c>
      <c r="I109" s="23">
        <v>10</v>
      </c>
      <c r="J109" s="24" t="s">
        <v>3</v>
      </c>
      <c r="K109" s="103">
        <v>39057</v>
      </c>
      <c r="L109" s="25">
        <f t="shared" si="10"/>
        <v>390570</v>
      </c>
      <c r="M109" s="173">
        <f t="shared" si="8"/>
        <v>3.9057000000000001E-2</v>
      </c>
      <c r="N109" s="133">
        <v>0.3</v>
      </c>
      <c r="O109" s="139">
        <f t="shared" si="11"/>
        <v>11717.1</v>
      </c>
      <c r="P109" s="133">
        <v>91.023099941585699</v>
      </c>
      <c r="Q109" s="139">
        <f t="shared" si="7"/>
        <v>3555089.2144185128</v>
      </c>
      <c r="R109" s="133">
        <f t="shared" si="9"/>
        <v>0.35550892144185126</v>
      </c>
      <c r="S109" s="23" t="s">
        <v>1491</v>
      </c>
      <c r="T109" s="24" t="s">
        <v>1480</v>
      </c>
      <c r="AA109"/>
    </row>
    <row r="110" spans="1:27" ht="12.75" x14ac:dyDescent="0.2">
      <c r="A110" s="24" t="s">
        <v>1502</v>
      </c>
      <c r="B110" s="174">
        <v>44652</v>
      </c>
      <c r="C110" s="23" t="s">
        <v>406</v>
      </c>
      <c r="D110" s="106">
        <v>5001551</v>
      </c>
      <c r="E110" s="24" t="s">
        <v>458</v>
      </c>
      <c r="F110" s="23" t="s">
        <v>426</v>
      </c>
      <c r="G110" s="47" t="s">
        <v>264</v>
      </c>
      <c r="H110" s="24" t="s">
        <v>561</v>
      </c>
      <c r="I110" s="23">
        <v>30</v>
      </c>
      <c r="J110" s="24" t="s">
        <v>7</v>
      </c>
      <c r="K110" s="103">
        <v>12581</v>
      </c>
      <c r="L110" s="25">
        <f t="shared" si="10"/>
        <v>377430</v>
      </c>
      <c r="M110" s="173">
        <f t="shared" si="8"/>
        <v>3.7742999999999999E-2</v>
      </c>
      <c r="N110" s="133">
        <v>1.3169791666666666</v>
      </c>
      <c r="O110" s="139">
        <f t="shared" si="11"/>
        <v>16568.914895833332</v>
      </c>
      <c r="P110" s="133">
        <v>45.508499999999998</v>
      </c>
      <c r="Q110" s="139">
        <f t="shared" si="7"/>
        <v>572542.43849999993</v>
      </c>
      <c r="R110" s="133">
        <f t="shared" si="9"/>
        <v>5.725424384999999E-2</v>
      </c>
      <c r="S110" s="23" t="s">
        <v>1491</v>
      </c>
      <c r="T110" s="24" t="s">
        <v>1480</v>
      </c>
      <c r="AA110"/>
    </row>
    <row r="111" spans="1:27" ht="12.75" x14ac:dyDescent="0.2">
      <c r="A111" s="24" t="s">
        <v>1502</v>
      </c>
      <c r="B111" s="174">
        <v>44652</v>
      </c>
      <c r="C111" s="23" t="s">
        <v>406</v>
      </c>
      <c r="D111" s="106">
        <v>5000034</v>
      </c>
      <c r="E111" s="24" t="s">
        <v>464</v>
      </c>
      <c r="F111" s="23" t="s">
        <v>426</v>
      </c>
      <c r="G111" s="47" t="s">
        <v>264</v>
      </c>
      <c r="H111" s="24" t="s">
        <v>562</v>
      </c>
      <c r="I111" s="23">
        <v>500</v>
      </c>
      <c r="J111" s="24" t="s">
        <v>7</v>
      </c>
      <c r="K111" s="103">
        <v>487</v>
      </c>
      <c r="L111" s="25">
        <f t="shared" si="10"/>
        <v>243500</v>
      </c>
      <c r="M111" s="173">
        <f t="shared" si="8"/>
        <v>2.435E-2</v>
      </c>
      <c r="N111" s="133">
        <v>7.5824175824175821</v>
      </c>
      <c r="O111" s="139">
        <f t="shared" si="11"/>
        <v>3692.6373626373625</v>
      </c>
      <c r="P111" s="133">
        <v>1050.45</v>
      </c>
      <c r="Q111" s="139">
        <f t="shared" si="7"/>
        <v>511569.15</v>
      </c>
      <c r="R111" s="133">
        <f t="shared" si="9"/>
        <v>5.1156915000000004E-2</v>
      </c>
      <c r="S111" s="23" t="s">
        <v>1491</v>
      </c>
      <c r="T111" s="24" t="s">
        <v>1480</v>
      </c>
      <c r="AA111"/>
    </row>
    <row r="112" spans="1:27" ht="12.75" x14ac:dyDescent="0.2">
      <c r="A112" s="24" t="s">
        <v>1502</v>
      </c>
      <c r="B112" s="174">
        <v>44652</v>
      </c>
      <c r="C112" s="23" t="s">
        <v>406</v>
      </c>
      <c r="D112" s="106">
        <v>5000318</v>
      </c>
      <c r="E112" s="24" t="s">
        <v>407</v>
      </c>
      <c r="F112" s="23" t="s">
        <v>424</v>
      </c>
      <c r="G112" s="47" t="s">
        <v>264</v>
      </c>
      <c r="H112" s="24" t="s">
        <v>563</v>
      </c>
      <c r="I112" s="23">
        <v>10</v>
      </c>
      <c r="J112" s="24" t="s">
        <v>3</v>
      </c>
      <c r="K112" s="103">
        <v>37944</v>
      </c>
      <c r="L112" s="25">
        <f t="shared" si="10"/>
        <v>379440</v>
      </c>
      <c r="M112" s="173">
        <f t="shared" si="8"/>
        <v>3.7943999999999999E-2</v>
      </c>
      <c r="N112" s="133">
        <v>0.3</v>
      </c>
      <c r="O112" s="139">
        <f t="shared" si="11"/>
        <v>11383.199999999999</v>
      </c>
      <c r="P112" s="133">
        <v>91.023099941585699</v>
      </c>
      <c r="Q112" s="139">
        <f t="shared" si="7"/>
        <v>3453780.5041835275</v>
      </c>
      <c r="R112" s="133">
        <f t="shared" si="9"/>
        <v>0.34537805041835273</v>
      </c>
      <c r="S112" s="23" t="s">
        <v>1491</v>
      </c>
      <c r="T112" s="24" t="s">
        <v>1480</v>
      </c>
      <c r="AA112"/>
    </row>
    <row r="113" spans="1:27" ht="12.75" x14ac:dyDescent="0.2">
      <c r="A113" s="24" t="s">
        <v>1502</v>
      </c>
      <c r="B113" s="174">
        <v>44652</v>
      </c>
      <c r="C113" s="23" t="s">
        <v>406</v>
      </c>
      <c r="D113" s="106">
        <v>5001471</v>
      </c>
      <c r="E113" s="24" t="s">
        <v>465</v>
      </c>
      <c r="F113" s="23" t="s">
        <v>424</v>
      </c>
      <c r="G113" s="47" t="s">
        <v>264</v>
      </c>
      <c r="H113" s="24" t="s">
        <v>564</v>
      </c>
      <c r="I113" s="23">
        <v>10</v>
      </c>
      <c r="J113" s="24" t="s">
        <v>3</v>
      </c>
      <c r="K113" s="103">
        <v>11478</v>
      </c>
      <c r="L113" s="25">
        <f t="shared" si="10"/>
        <v>114780</v>
      </c>
      <c r="M113" s="173">
        <f t="shared" si="8"/>
        <v>1.1478E-2</v>
      </c>
      <c r="N113" s="133">
        <v>0.03</v>
      </c>
      <c r="O113" s="139">
        <f t="shared" si="11"/>
        <v>344.34</v>
      </c>
      <c r="P113" s="133">
        <v>55.875</v>
      </c>
      <c r="Q113" s="139">
        <f t="shared" si="7"/>
        <v>641333.25</v>
      </c>
      <c r="R113" s="133">
        <f t="shared" si="9"/>
        <v>6.4133325000000005E-2</v>
      </c>
      <c r="S113" s="23" t="s">
        <v>1491</v>
      </c>
      <c r="T113" s="24" t="s">
        <v>1480</v>
      </c>
      <c r="AA113"/>
    </row>
    <row r="114" spans="1:27" ht="12.75" x14ac:dyDescent="0.2">
      <c r="A114" s="24" t="s">
        <v>1502</v>
      </c>
      <c r="B114" s="174">
        <v>44652</v>
      </c>
      <c r="C114" s="23" t="s">
        <v>406</v>
      </c>
      <c r="D114" s="106">
        <v>5001471</v>
      </c>
      <c r="E114" s="24" t="s">
        <v>465</v>
      </c>
      <c r="F114" s="23" t="s">
        <v>424</v>
      </c>
      <c r="G114" s="47" t="s">
        <v>264</v>
      </c>
      <c r="H114" s="24" t="s">
        <v>565</v>
      </c>
      <c r="I114" s="23">
        <v>10</v>
      </c>
      <c r="J114" s="24" t="s">
        <v>3</v>
      </c>
      <c r="K114" s="103">
        <v>11838</v>
      </c>
      <c r="L114" s="25">
        <f t="shared" si="10"/>
        <v>118380</v>
      </c>
      <c r="M114" s="173">
        <f t="shared" si="8"/>
        <v>1.1838E-2</v>
      </c>
      <c r="N114" s="133">
        <v>0.03</v>
      </c>
      <c r="O114" s="139">
        <f t="shared" si="11"/>
        <v>355.14</v>
      </c>
      <c r="P114" s="133">
        <v>55.875</v>
      </c>
      <c r="Q114" s="139">
        <f t="shared" si="7"/>
        <v>661448.25</v>
      </c>
      <c r="R114" s="133">
        <f t="shared" si="9"/>
        <v>6.6144825000000004E-2</v>
      </c>
      <c r="S114" s="23" t="s">
        <v>1491</v>
      </c>
      <c r="T114" s="24" t="s">
        <v>1480</v>
      </c>
      <c r="AA114"/>
    </row>
    <row r="115" spans="1:27" ht="12.75" x14ac:dyDescent="0.2">
      <c r="A115" s="24" t="s">
        <v>1502</v>
      </c>
      <c r="B115" s="174">
        <v>44652</v>
      </c>
      <c r="C115" s="23" t="s">
        <v>406</v>
      </c>
      <c r="D115" s="106">
        <v>5002185</v>
      </c>
      <c r="E115" s="24" t="s">
        <v>466</v>
      </c>
      <c r="F115" s="23" t="s">
        <v>426</v>
      </c>
      <c r="G115" s="47" t="s">
        <v>264</v>
      </c>
      <c r="H115" s="24" t="s">
        <v>421</v>
      </c>
      <c r="I115" s="23">
        <v>100</v>
      </c>
      <c r="J115" s="24" t="s">
        <v>7</v>
      </c>
      <c r="K115" s="103">
        <v>3403</v>
      </c>
      <c r="L115" s="25">
        <f t="shared" si="10"/>
        <v>340300</v>
      </c>
      <c r="M115" s="173">
        <f t="shared" si="8"/>
        <v>3.4029999999999998E-2</v>
      </c>
      <c r="N115" s="133">
        <v>2.1551020408163266</v>
      </c>
      <c r="O115" s="139">
        <f t="shared" si="11"/>
        <v>7333.8122448979593</v>
      </c>
      <c r="P115" s="133">
        <v>722.65</v>
      </c>
      <c r="Q115" s="139">
        <f t="shared" si="7"/>
        <v>2459177.9499999997</v>
      </c>
      <c r="R115" s="133">
        <f t="shared" si="9"/>
        <v>0.24591779499999997</v>
      </c>
      <c r="S115" s="23" t="s">
        <v>1491</v>
      </c>
      <c r="T115" s="24" t="s">
        <v>1480</v>
      </c>
      <c r="AA115"/>
    </row>
    <row r="116" spans="1:27" ht="12.75" x14ac:dyDescent="0.2">
      <c r="A116" s="24" t="s">
        <v>1502</v>
      </c>
      <c r="B116" s="174">
        <v>44652</v>
      </c>
      <c r="C116" s="23" t="s">
        <v>406</v>
      </c>
      <c r="D116" s="106">
        <v>5004020</v>
      </c>
      <c r="E116" s="24" t="s">
        <v>411</v>
      </c>
      <c r="F116" s="23" t="s">
        <v>426</v>
      </c>
      <c r="G116" s="47" t="s">
        <v>264</v>
      </c>
      <c r="H116" s="24" t="s">
        <v>566</v>
      </c>
      <c r="I116" s="23">
        <v>100</v>
      </c>
      <c r="J116" s="24" t="s">
        <v>7</v>
      </c>
      <c r="K116" s="103">
        <v>2816</v>
      </c>
      <c r="L116" s="25">
        <f t="shared" si="10"/>
        <v>281600</v>
      </c>
      <c r="M116" s="173">
        <f t="shared" si="8"/>
        <v>2.8160000000000001E-2</v>
      </c>
      <c r="N116" s="133">
        <v>4.1448979591836732</v>
      </c>
      <c r="O116" s="139">
        <f t="shared" si="11"/>
        <v>11672.032653061224</v>
      </c>
      <c r="P116" s="133">
        <v>1616.4469985569986</v>
      </c>
      <c r="Q116" s="139">
        <f t="shared" si="7"/>
        <v>4551914.7479365077</v>
      </c>
      <c r="R116" s="133">
        <f t="shared" si="9"/>
        <v>0.45519147479365074</v>
      </c>
      <c r="S116" s="23" t="s">
        <v>1491</v>
      </c>
      <c r="T116" s="24" t="s">
        <v>1480</v>
      </c>
      <c r="AA116"/>
    </row>
    <row r="117" spans="1:27" ht="12.75" x14ac:dyDescent="0.2">
      <c r="A117" s="24" t="s">
        <v>1502</v>
      </c>
      <c r="B117" s="174">
        <v>44652</v>
      </c>
      <c r="C117" s="23" t="s">
        <v>406</v>
      </c>
      <c r="D117" s="106">
        <v>5004020</v>
      </c>
      <c r="E117" s="24" t="s">
        <v>411</v>
      </c>
      <c r="F117" s="23" t="s">
        <v>426</v>
      </c>
      <c r="G117" s="47" t="s">
        <v>264</v>
      </c>
      <c r="H117" s="24" t="s">
        <v>567</v>
      </c>
      <c r="I117" s="23">
        <v>100</v>
      </c>
      <c r="J117" s="24" t="s">
        <v>7</v>
      </c>
      <c r="K117" s="103">
        <v>2841</v>
      </c>
      <c r="L117" s="25">
        <f t="shared" si="10"/>
        <v>284100</v>
      </c>
      <c r="M117" s="173">
        <f t="shared" si="8"/>
        <v>2.8410000000000001E-2</v>
      </c>
      <c r="N117" s="133">
        <v>4.1448979591836732</v>
      </c>
      <c r="O117" s="139">
        <f t="shared" si="11"/>
        <v>11775.655102040815</v>
      </c>
      <c r="P117" s="133">
        <v>1616.4469985569986</v>
      </c>
      <c r="Q117" s="139">
        <f t="shared" si="7"/>
        <v>4592325.9229004327</v>
      </c>
      <c r="R117" s="133">
        <f t="shared" si="9"/>
        <v>0.45923259229004326</v>
      </c>
      <c r="S117" s="23" t="s">
        <v>1491</v>
      </c>
      <c r="T117" s="24" t="s">
        <v>1480</v>
      </c>
      <c r="AA117"/>
    </row>
    <row r="118" spans="1:27" ht="12.75" x14ac:dyDescent="0.2">
      <c r="A118" s="24" t="s">
        <v>1502</v>
      </c>
      <c r="B118" s="174">
        <v>44652</v>
      </c>
      <c r="C118" s="23" t="s">
        <v>406</v>
      </c>
      <c r="D118" s="106">
        <v>5001471</v>
      </c>
      <c r="E118" s="24" t="s">
        <v>465</v>
      </c>
      <c r="F118" s="23" t="s">
        <v>424</v>
      </c>
      <c r="G118" s="47" t="s">
        <v>264</v>
      </c>
      <c r="H118" s="24" t="s">
        <v>569</v>
      </c>
      <c r="I118" s="23">
        <v>10</v>
      </c>
      <c r="J118" s="24" t="s">
        <v>3</v>
      </c>
      <c r="K118" s="103">
        <v>11655</v>
      </c>
      <c r="L118" s="25">
        <f t="shared" si="10"/>
        <v>116550</v>
      </c>
      <c r="M118" s="173">
        <f t="shared" si="8"/>
        <v>1.1655E-2</v>
      </c>
      <c r="N118" s="133">
        <v>0.03</v>
      </c>
      <c r="O118" s="139">
        <f t="shared" si="11"/>
        <v>349.65</v>
      </c>
      <c r="P118" s="133">
        <v>55.875</v>
      </c>
      <c r="Q118" s="139">
        <f t="shared" si="7"/>
        <v>651223.125</v>
      </c>
      <c r="R118" s="133">
        <f t="shared" si="9"/>
        <v>6.5122312500000001E-2</v>
      </c>
      <c r="S118" s="23" t="s">
        <v>1491</v>
      </c>
      <c r="T118" s="24" t="s">
        <v>1480</v>
      </c>
      <c r="AA118"/>
    </row>
    <row r="119" spans="1:27" s="45" customFormat="1" ht="12.75" x14ac:dyDescent="0.2">
      <c r="A119" s="24" t="s">
        <v>1502</v>
      </c>
      <c r="B119" s="174">
        <v>44652</v>
      </c>
      <c r="C119" s="23" t="s">
        <v>389</v>
      </c>
      <c r="D119" s="106">
        <v>5000212</v>
      </c>
      <c r="E119" s="24" t="s">
        <v>570</v>
      </c>
      <c r="F119" s="44" t="s">
        <v>426</v>
      </c>
      <c r="G119" s="29" t="s">
        <v>265</v>
      </c>
      <c r="H119" s="24" t="s">
        <v>589</v>
      </c>
      <c r="I119" s="44">
        <v>500</v>
      </c>
      <c r="J119" s="24" t="s">
        <v>7</v>
      </c>
      <c r="K119" s="103">
        <v>2479</v>
      </c>
      <c r="L119" s="46">
        <f>I119*K119</f>
        <v>1239500</v>
      </c>
      <c r="M119" s="173">
        <f t="shared" si="8"/>
        <v>0.12395</v>
      </c>
      <c r="N119" s="144">
        <v>29.903061224489797</v>
      </c>
      <c r="O119" s="146">
        <f>+K119*N119</f>
        <v>74129.688775510207</v>
      </c>
      <c r="P119" s="144">
        <v>3032.15</v>
      </c>
      <c r="Q119" s="146">
        <f t="shared" si="7"/>
        <v>7516699.8500000006</v>
      </c>
      <c r="R119" s="133">
        <f t="shared" si="9"/>
        <v>0.75166998500000004</v>
      </c>
      <c r="S119" s="23" t="s">
        <v>1493</v>
      </c>
      <c r="T119" s="45" t="s">
        <v>1479</v>
      </c>
      <c r="AA119"/>
    </row>
    <row r="120" spans="1:27" s="45" customFormat="1" ht="12.75" x14ac:dyDescent="0.2">
      <c r="A120" s="24" t="s">
        <v>1502</v>
      </c>
      <c r="B120" s="174">
        <v>44652</v>
      </c>
      <c r="C120" s="23" t="s">
        <v>389</v>
      </c>
      <c r="D120" s="106">
        <v>5000351</v>
      </c>
      <c r="E120" s="24" t="s">
        <v>210</v>
      </c>
      <c r="F120" s="44" t="s">
        <v>424</v>
      </c>
      <c r="G120" s="29" t="s">
        <v>265</v>
      </c>
      <c r="H120" s="24" t="s">
        <v>590</v>
      </c>
      <c r="I120" s="44">
        <v>7</v>
      </c>
      <c r="J120" s="24" t="s">
        <v>65</v>
      </c>
      <c r="K120" s="103">
        <v>281478</v>
      </c>
      <c r="L120" s="46">
        <f t="shared" ref="L120:L183" si="12">I120*K120</f>
        <v>1970346</v>
      </c>
      <c r="M120" s="173">
        <f t="shared" si="8"/>
        <v>0.1970346</v>
      </c>
      <c r="N120" s="144">
        <v>0.57686294416243655</v>
      </c>
      <c r="O120" s="146">
        <f t="shared" ref="O120:O157" si="13">+K120*N120</f>
        <v>162374.22779695431</v>
      </c>
      <c r="P120" s="144">
        <v>15.092000000000001</v>
      </c>
      <c r="Q120" s="146">
        <f t="shared" si="7"/>
        <v>4248065.9759999998</v>
      </c>
      <c r="R120" s="133">
        <f t="shared" si="9"/>
        <v>0.4248065976</v>
      </c>
      <c r="S120" s="23" t="s">
        <v>1493</v>
      </c>
      <c r="T120" s="45" t="s">
        <v>1479</v>
      </c>
      <c r="AA120"/>
    </row>
    <row r="121" spans="1:27" s="45" customFormat="1" ht="12.75" x14ac:dyDescent="0.2">
      <c r="A121" s="24" t="s">
        <v>1502</v>
      </c>
      <c r="B121" s="174">
        <v>44652</v>
      </c>
      <c r="C121" s="23" t="s">
        <v>389</v>
      </c>
      <c r="D121" s="106">
        <v>5000351</v>
      </c>
      <c r="E121" s="24" t="s">
        <v>210</v>
      </c>
      <c r="F121" s="44" t="s">
        <v>424</v>
      </c>
      <c r="G121" s="29" t="s">
        <v>265</v>
      </c>
      <c r="H121" s="24" t="s">
        <v>597</v>
      </c>
      <c r="I121" s="44">
        <v>7</v>
      </c>
      <c r="J121" s="24" t="s">
        <v>65</v>
      </c>
      <c r="K121" s="103">
        <v>281878</v>
      </c>
      <c r="L121" s="46">
        <f t="shared" si="12"/>
        <v>1973146</v>
      </c>
      <c r="M121" s="173">
        <f t="shared" si="8"/>
        <v>0.19731460000000001</v>
      </c>
      <c r="N121" s="144">
        <v>0.57686294416243655</v>
      </c>
      <c r="O121" s="146">
        <f t="shared" si="13"/>
        <v>162604.9729746193</v>
      </c>
      <c r="P121" s="144">
        <v>15.092000000000001</v>
      </c>
      <c r="Q121" s="146">
        <f t="shared" si="7"/>
        <v>4254102.7760000005</v>
      </c>
      <c r="R121" s="133">
        <f t="shared" si="9"/>
        <v>0.42541027760000005</v>
      </c>
      <c r="S121" s="23" t="s">
        <v>1493</v>
      </c>
      <c r="T121" s="45" t="s">
        <v>1479</v>
      </c>
      <c r="AA121"/>
    </row>
    <row r="122" spans="1:27" s="45" customFormat="1" ht="12.75" x14ac:dyDescent="0.2">
      <c r="A122" s="24" t="s">
        <v>1502</v>
      </c>
      <c r="B122" s="174">
        <v>44652</v>
      </c>
      <c r="C122" s="23" t="s">
        <v>389</v>
      </c>
      <c r="D122" s="106">
        <v>5001212</v>
      </c>
      <c r="E122" s="24" t="s">
        <v>324</v>
      </c>
      <c r="F122" s="44" t="s">
        <v>426</v>
      </c>
      <c r="G122" s="29" t="s">
        <v>265</v>
      </c>
      <c r="H122" s="24" t="s">
        <v>603</v>
      </c>
      <c r="I122" s="44">
        <v>30</v>
      </c>
      <c r="J122" s="24" t="s">
        <v>7</v>
      </c>
      <c r="K122" s="103">
        <v>160011</v>
      </c>
      <c r="L122" s="46">
        <f t="shared" si="12"/>
        <v>4800330</v>
      </c>
      <c r="M122" s="173">
        <f t="shared" si="8"/>
        <v>0.48003299999999999</v>
      </c>
      <c r="N122" s="144">
        <v>2.5473195876288663</v>
      </c>
      <c r="O122" s="146">
        <f t="shared" si="13"/>
        <v>407599.15453608253</v>
      </c>
      <c r="P122" s="144">
        <v>60.42</v>
      </c>
      <c r="Q122" s="146">
        <f t="shared" si="7"/>
        <v>9667864.620000001</v>
      </c>
      <c r="R122" s="133">
        <f t="shared" si="9"/>
        <v>0.96678646200000007</v>
      </c>
      <c r="S122" s="23" t="s">
        <v>1493</v>
      </c>
      <c r="T122" s="45" t="s">
        <v>1479</v>
      </c>
      <c r="AA122"/>
    </row>
    <row r="123" spans="1:27" s="45" customFormat="1" ht="12.75" x14ac:dyDescent="0.2">
      <c r="A123" s="24" t="s">
        <v>1502</v>
      </c>
      <c r="B123" s="174">
        <v>44652</v>
      </c>
      <c r="C123" s="23" t="s">
        <v>389</v>
      </c>
      <c r="D123" s="106">
        <v>5000351</v>
      </c>
      <c r="E123" s="24" t="s">
        <v>210</v>
      </c>
      <c r="F123" s="44" t="s">
        <v>424</v>
      </c>
      <c r="G123" s="29" t="s">
        <v>265</v>
      </c>
      <c r="H123" s="24" t="s">
        <v>616</v>
      </c>
      <c r="I123" s="44">
        <v>7</v>
      </c>
      <c r="J123" s="24" t="s">
        <v>65</v>
      </c>
      <c r="K123" s="103">
        <v>280878</v>
      </c>
      <c r="L123" s="46">
        <f t="shared" si="12"/>
        <v>1966146</v>
      </c>
      <c r="M123" s="173">
        <f t="shared" si="8"/>
        <v>0.1966146</v>
      </c>
      <c r="N123" s="144">
        <v>0.57686294416243655</v>
      </c>
      <c r="O123" s="146">
        <f t="shared" si="13"/>
        <v>162028.11003045685</v>
      </c>
      <c r="P123" s="144">
        <v>15.092000000000001</v>
      </c>
      <c r="Q123" s="146">
        <f t="shared" si="7"/>
        <v>4239010.7760000005</v>
      </c>
      <c r="R123" s="133">
        <f t="shared" si="9"/>
        <v>0.42390107760000006</v>
      </c>
      <c r="S123" s="23" t="s">
        <v>1493</v>
      </c>
      <c r="T123" s="45" t="s">
        <v>1479</v>
      </c>
      <c r="AA123"/>
    </row>
    <row r="124" spans="1:27" s="45" customFormat="1" ht="12.75" x14ac:dyDescent="0.2">
      <c r="A124" s="24" t="s">
        <v>1502</v>
      </c>
      <c r="B124" s="174">
        <v>44652</v>
      </c>
      <c r="C124" s="23" t="s">
        <v>389</v>
      </c>
      <c r="D124" s="106">
        <v>5000351</v>
      </c>
      <c r="E124" s="24" t="s">
        <v>210</v>
      </c>
      <c r="F124" s="44" t="s">
        <v>424</v>
      </c>
      <c r="G124" s="29" t="s">
        <v>265</v>
      </c>
      <c r="H124" s="24" t="s">
        <v>617</v>
      </c>
      <c r="I124" s="44">
        <v>7</v>
      </c>
      <c r="J124" s="24" t="s">
        <v>65</v>
      </c>
      <c r="K124" s="103">
        <v>283278</v>
      </c>
      <c r="L124" s="46">
        <f t="shared" si="12"/>
        <v>1982946</v>
      </c>
      <c r="M124" s="173">
        <f t="shared" si="8"/>
        <v>0.19829459999999999</v>
      </c>
      <c r="N124" s="144">
        <v>0.57686294416243655</v>
      </c>
      <c r="O124" s="146">
        <f t="shared" si="13"/>
        <v>163412.58109644669</v>
      </c>
      <c r="P124" s="144">
        <v>15.092000000000001</v>
      </c>
      <c r="Q124" s="146">
        <f t="shared" si="7"/>
        <v>4275231.5760000004</v>
      </c>
      <c r="R124" s="133">
        <f t="shared" si="9"/>
        <v>0.42752315760000004</v>
      </c>
      <c r="S124" s="23" t="s">
        <v>1493</v>
      </c>
      <c r="T124" s="45" t="s">
        <v>1479</v>
      </c>
      <c r="AA124"/>
    </row>
    <row r="125" spans="1:27" s="45" customFormat="1" ht="12.75" x14ac:dyDescent="0.2">
      <c r="A125" s="24" t="s">
        <v>1502</v>
      </c>
      <c r="B125" s="174">
        <v>44652</v>
      </c>
      <c r="C125" s="23" t="s">
        <v>389</v>
      </c>
      <c r="D125" s="106">
        <v>5001514</v>
      </c>
      <c r="E125" s="24" t="s">
        <v>212</v>
      </c>
      <c r="F125" s="44" t="s">
        <v>426</v>
      </c>
      <c r="G125" s="29" t="s">
        <v>265</v>
      </c>
      <c r="H125" s="24" t="s">
        <v>628</v>
      </c>
      <c r="I125" s="44">
        <v>1000</v>
      </c>
      <c r="J125" s="24" t="s">
        <v>7</v>
      </c>
      <c r="K125" s="103">
        <v>1243</v>
      </c>
      <c r="L125" s="46">
        <f t="shared" si="12"/>
        <v>1243000</v>
      </c>
      <c r="M125" s="173">
        <f t="shared" si="8"/>
        <v>0.12429999999999999</v>
      </c>
      <c r="N125" s="144">
        <v>58.071428571428569</v>
      </c>
      <c r="O125" s="146">
        <f t="shared" si="13"/>
        <v>72182.78571428571</v>
      </c>
      <c r="P125" s="144">
        <v>4994.5609829059831</v>
      </c>
      <c r="Q125" s="146">
        <f t="shared" si="7"/>
        <v>6208239.301752137</v>
      </c>
      <c r="R125" s="133">
        <f t="shared" si="9"/>
        <v>0.62082393017521376</v>
      </c>
      <c r="S125" s="23" t="s">
        <v>1493</v>
      </c>
      <c r="T125" s="45" t="s">
        <v>1479</v>
      </c>
      <c r="AA125"/>
    </row>
    <row r="126" spans="1:27" s="45" customFormat="1" ht="12.75" x14ac:dyDescent="0.2">
      <c r="A126" s="24" t="s">
        <v>1502</v>
      </c>
      <c r="B126" s="174">
        <v>44652</v>
      </c>
      <c r="C126" s="23" t="s">
        <v>389</v>
      </c>
      <c r="D126" s="106">
        <v>5001620</v>
      </c>
      <c r="E126" s="24" t="s">
        <v>576</v>
      </c>
      <c r="F126" s="44" t="s">
        <v>426</v>
      </c>
      <c r="G126" s="29" t="s">
        <v>265</v>
      </c>
      <c r="H126" s="24" t="s">
        <v>629</v>
      </c>
      <c r="I126" s="44">
        <v>30</v>
      </c>
      <c r="J126" s="24" t="s">
        <v>7</v>
      </c>
      <c r="K126" s="103">
        <v>4005</v>
      </c>
      <c r="L126" s="46">
        <f t="shared" si="12"/>
        <v>120150</v>
      </c>
      <c r="M126" s="173">
        <f t="shared" si="8"/>
        <v>1.2015E-2</v>
      </c>
      <c r="N126" s="144">
        <v>2.521326530612245</v>
      </c>
      <c r="O126" s="146">
        <f t="shared" si="13"/>
        <v>10097.912755102041</v>
      </c>
      <c r="P126" s="144">
        <v>461.90000000000003</v>
      </c>
      <c r="Q126" s="146">
        <f t="shared" si="7"/>
        <v>1849909.5000000002</v>
      </c>
      <c r="R126" s="133">
        <f t="shared" si="9"/>
        <v>0.18499095000000002</v>
      </c>
      <c r="S126" s="23" t="s">
        <v>1493</v>
      </c>
      <c r="T126" s="45" t="s">
        <v>1479</v>
      </c>
      <c r="AA126"/>
    </row>
    <row r="127" spans="1:27" s="45" customFormat="1" ht="12.75" x14ac:dyDescent="0.2">
      <c r="A127" s="24" t="s">
        <v>1502</v>
      </c>
      <c r="B127" s="174">
        <v>44652</v>
      </c>
      <c r="C127" s="23" t="s">
        <v>389</v>
      </c>
      <c r="D127" s="106">
        <v>5000500</v>
      </c>
      <c r="E127" s="24" t="s">
        <v>390</v>
      </c>
      <c r="F127" s="44" t="s">
        <v>426</v>
      </c>
      <c r="G127" s="29" t="s">
        <v>265</v>
      </c>
      <c r="H127" s="24" t="s">
        <v>633</v>
      </c>
      <c r="I127" s="44">
        <v>30</v>
      </c>
      <c r="J127" s="24" t="s">
        <v>7</v>
      </c>
      <c r="K127" s="103">
        <v>20355</v>
      </c>
      <c r="L127" s="46">
        <f t="shared" si="12"/>
        <v>610650</v>
      </c>
      <c r="M127" s="173">
        <f t="shared" si="8"/>
        <v>6.1065000000000001E-2</v>
      </c>
      <c r="N127" s="144">
        <v>2.521326530612245</v>
      </c>
      <c r="O127" s="146">
        <f t="shared" si="13"/>
        <v>51321.60153061225</v>
      </c>
      <c r="P127" s="144">
        <v>310.97474953509999</v>
      </c>
      <c r="Q127" s="146">
        <f t="shared" si="7"/>
        <v>6329891.0267869607</v>
      </c>
      <c r="R127" s="133">
        <f t="shared" si="9"/>
        <v>0.63298910267869601</v>
      </c>
      <c r="S127" s="23" t="s">
        <v>1493</v>
      </c>
      <c r="T127" s="45" t="s">
        <v>1479</v>
      </c>
      <c r="AA127"/>
    </row>
    <row r="128" spans="1:27" s="45" customFormat="1" ht="12.75" x14ac:dyDescent="0.2">
      <c r="A128" s="24" t="s">
        <v>1502</v>
      </c>
      <c r="B128" s="174">
        <v>44652</v>
      </c>
      <c r="C128" s="23" t="s">
        <v>389</v>
      </c>
      <c r="D128" s="106">
        <v>5001514</v>
      </c>
      <c r="E128" s="24" t="s">
        <v>212</v>
      </c>
      <c r="F128" s="44" t="s">
        <v>426</v>
      </c>
      <c r="G128" s="29" t="s">
        <v>265</v>
      </c>
      <c r="H128" s="24" t="s">
        <v>634</v>
      </c>
      <c r="I128" s="44">
        <v>1000</v>
      </c>
      <c r="J128" s="24" t="s">
        <v>7</v>
      </c>
      <c r="K128" s="103">
        <v>613</v>
      </c>
      <c r="L128" s="46">
        <f t="shared" si="12"/>
        <v>613000</v>
      </c>
      <c r="M128" s="173">
        <f t="shared" si="8"/>
        <v>6.13E-2</v>
      </c>
      <c r="N128" s="144">
        <v>58.071428571428569</v>
      </c>
      <c r="O128" s="146">
        <f t="shared" si="13"/>
        <v>35597.78571428571</v>
      </c>
      <c r="P128" s="144">
        <v>4994.5609829059831</v>
      </c>
      <c r="Q128" s="146">
        <f t="shared" si="7"/>
        <v>3061665.8825213676</v>
      </c>
      <c r="R128" s="133">
        <f t="shared" si="9"/>
        <v>0.30616658825213677</v>
      </c>
      <c r="S128" s="23" t="s">
        <v>1493</v>
      </c>
      <c r="T128" s="45" t="s">
        <v>1479</v>
      </c>
      <c r="AA128"/>
    </row>
    <row r="129" spans="1:27" s="45" customFormat="1" ht="12.75" x14ac:dyDescent="0.2">
      <c r="A129" s="24" t="s">
        <v>1502</v>
      </c>
      <c r="B129" s="174">
        <v>44652</v>
      </c>
      <c r="C129" s="23" t="s">
        <v>389</v>
      </c>
      <c r="D129" s="106">
        <v>5001620</v>
      </c>
      <c r="E129" s="24" t="s">
        <v>576</v>
      </c>
      <c r="F129" s="44" t="s">
        <v>426</v>
      </c>
      <c r="G129" s="29" t="s">
        <v>265</v>
      </c>
      <c r="H129" s="24" t="s">
        <v>635</v>
      </c>
      <c r="I129" s="44">
        <v>30</v>
      </c>
      <c r="J129" s="24" t="s">
        <v>7</v>
      </c>
      <c r="K129" s="103">
        <v>4029</v>
      </c>
      <c r="L129" s="46">
        <f t="shared" si="12"/>
        <v>120870</v>
      </c>
      <c r="M129" s="173">
        <f t="shared" si="8"/>
        <v>1.2087000000000001E-2</v>
      </c>
      <c r="N129" s="144">
        <v>2.521326530612245</v>
      </c>
      <c r="O129" s="146">
        <f t="shared" si="13"/>
        <v>10158.424591836734</v>
      </c>
      <c r="P129" s="144">
        <v>461.90000000000003</v>
      </c>
      <c r="Q129" s="146">
        <f t="shared" si="7"/>
        <v>1860995.1</v>
      </c>
      <c r="R129" s="133">
        <f t="shared" si="9"/>
        <v>0.18609951</v>
      </c>
      <c r="S129" s="23" t="s">
        <v>1493</v>
      </c>
      <c r="T129" s="45" t="s">
        <v>1479</v>
      </c>
      <c r="AA129"/>
    </row>
    <row r="130" spans="1:27" s="45" customFormat="1" ht="12.75" x14ac:dyDescent="0.2">
      <c r="A130" s="24" t="s">
        <v>1502</v>
      </c>
      <c r="B130" s="174">
        <v>44652</v>
      </c>
      <c r="C130" s="23" t="s">
        <v>389</v>
      </c>
      <c r="D130" s="106">
        <v>5001620</v>
      </c>
      <c r="E130" s="24" t="s">
        <v>576</v>
      </c>
      <c r="F130" s="44" t="s">
        <v>426</v>
      </c>
      <c r="G130" s="29" t="s">
        <v>265</v>
      </c>
      <c r="H130" s="24" t="s">
        <v>637</v>
      </c>
      <c r="I130" s="44">
        <v>30</v>
      </c>
      <c r="J130" s="24" t="s">
        <v>7</v>
      </c>
      <c r="K130" s="103">
        <v>4029</v>
      </c>
      <c r="L130" s="46">
        <f t="shared" si="12"/>
        <v>120870</v>
      </c>
      <c r="M130" s="173">
        <f t="shared" si="8"/>
        <v>1.2087000000000001E-2</v>
      </c>
      <c r="N130" s="144">
        <v>2.521326530612245</v>
      </c>
      <c r="O130" s="146">
        <f t="shared" si="13"/>
        <v>10158.424591836734</v>
      </c>
      <c r="P130" s="144">
        <v>461.90000000000003</v>
      </c>
      <c r="Q130" s="146">
        <f t="shared" ref="Q130:Q193" si="14">+K130*P130</f>
        <v>1860995.1</v>
      </c>
      <c r="R130" s="133">
        <f t="shared" si="9"/>
        <v>0.18609951</v>
      </c>
      <c r="S130" s="23" t="s">
        <v>1493</v>
      </c>
      <c r="T130" s="45" t="s">
        <v>1479</v>
      </c>
      <c r="AA130"/>
    </row>
    <row r="131" spans="1:27" s="45" customFormat="1" ht="12.75" x14ac:dyDescent="0.2">
      <c r="A131" s="24" t="s">
        <v>1502</v>
      </c>
      <c r="B131" s="174">
        <v>44652</v>
      </c>
      <c r="C131" s="23" t="s">
        <v>389</v>
      </c>
      <c r="D131" s="106">
        <v>5001620</v>
      </c>
      <c r="E131" s="24" t="s">
        <v>576</v>
      </c>
      <c r="F131" s="44" t="s">
        <v>426</v>
      </c>
      <c r="G131" s="29" t="s">
        <v>265</v>
      </c>
      <c r="H131" s="24" t="s">
        <v>638</v>
      </c>
      <c r="I131" s="44">
        <v>30</v>
      </c>
      <c r="J131" s="24" t="s">
        <v>7</v>
      </c>
      <c r="K131" s="103">
        <v>3965</v>
      </c>
      <c r="L131" s="46">
        <f t="shared" si="12"/>
        <v>118950</v>
      </c>
      <c r="M131" s="173">
        <f t="shared" ref="M131:M194" si="15">L131/10^7</f>
        <v>1.1894999999999999E-2</v>
      </c>
      <c r="N131" s="144">
        <v>2.521326530612245</v>
      </c>
      <c r="O131" s="146">
        <f t="shared" si="13"/>
        <v>9997.0596938775507</v>
      </c>
      <c r="P131" s="144">
        <v>461.90000000000003</v>
      </c>
      <c r="Q131" s="146">
        <f t="shared" si="14"/>
        <v>1831433.5000000002</v>
      </c>
      <c r="R131" s="133">
        <f t="shared" ref="R131:R194" si="16">Q131/10^7</f>
        <v>0.18314335000000001</v>
      </c>
      <c r="S131" s="23" t="s">
        <v>1493</v>
      </c>
      <c r="T131" s="45" t="s">
        <v>1479</v>
      </c>
      <c r="AA131"/>
    </row>
    <row r="132" spans="1:27" s="45" customFormat="1" ht="12.75" x14ac:dyDescent="0.2">
      <c r="A132" s="24" t="s">
        <v>1502</v>
      </c>
      <c r="B132" s="174">
        <v>44652</v>
      </c>
      <c r="C132" s="23" t="s">
        <v>389</v>
      </c>
      <c r="D132" s="106">
        <v>5001215</v>
      </c>
      <c r="E132" s="24" t="s">
        <v>395</v>
      </c>
      <c r="F132" s="44" t="s">
        <v>426</v>
      </c>
      <c r="G132" s="29" t="s">
        <v>265</v>
      </c>
      <c r="H132" s="24" t="s">
        <v>645</v>
      </c>
      <c r="I132" s="44">
        <v>1000</v>
      </c>
      <c r="J132" s="24" t="s">
        <v>7</v>
      </c>
      <c r="K132" s="103">
        <v>2311</v>
      </c>
      <c r="L132" s="46">
        <f t="shared" si="12"/>
        <v>2311000</v>
      </c>
      <c r="M132" s="173">
        <f t="shared" si="15"/>
        <v>0.2311</v>
      </c>
      <c r="N132" s="144">
        <v>58.670103092783506</v>
      </c>
      <c r="O132" s="146">
        <f t="shared" si="13"/>
        <v>135586.60824742267</v>
      </c>
      <c r="P132" s="144">
        <v>2690.5450000000001</v>
      </c>
      <c r="Q132" s="146">
        <f t="shared" si="14"/>
        <v>6217849.4950000001</v>
      </c>
      <c r="R132" s="133">
        <f t="shared" si="16"/>
        <v>0.62178494949999996</v>
      </c>
      <c r="S132" s="23" t="s">
        <v>1493</v>
      </c>
      <c r="T132" s="45" t="s">
        <v>1479</v>
      </c>
      <c r="AA132"/>
    </row>
    <row r="133" spans="1:27" s="45" customFormat="1" ht="12.75" x14ac:dyDescent="0.2">
      <c r="A133" s="24" t="s">
        <v>1502</v>
      </c>
      <c r="B133" s="174">
        <v>44652</v>
      </c>
      <c r="C133" s="23" t="s">
        <v>389</v>
      </c>
      <c r="D133" s="106">
        <v>5001619</v>
      </c>
      <c r="E133" s="24" t="s">
        <v>578</v>
      </c>
      <c r="F133" s="44" t="s">
        <v>426</v>
      </c>
      <c r="G133" s="29" t="s">
        <v>265</v>
      </c>
      <c r="H133" s="24" t="s">
        <v>646</v>
      </c>
      <c r="I133" s="44">
        <v>30</v>
      </c>
      <c r="J133" s="24" t="s">
        <v>7</v>
      </c>
      <c r="K133" s="103">
        <v>3989</v>
      </c>
      <c r="L133" s="46">
        <f t="shared" si="12"/>
        <v>119670</v>
      </c>
      <c r="M133" s="173">
        <f t="shared" si="15"/>
        <v>1.1967E-2</v>
      </c>
      <c r="N133" s="144">
        <v>2.521326530612245</v>
      </c>
      <c r="O133" s="146">
        <f t="shared" si="13"/>
        <v>10057.571530612246</v>
      </c>
      <c r="P133" s="144">
        <v>521.5</v>
      </c>
      <c r="Q133" s="146">
        <f t="shared" si="14"/>
        <v>2080263.5</v>
      </c>
      <c r="R133" s="133">
        <f t="shared" si="16"/>
        <v>0.20802635</v>
      </c>
      <c r="S133" s="23" t="s">
        <v>1493</v>
      </c>
      <c r="T133" s="45" t="s">
        <v>1479</v>
      </c>
      <c r="AA133"/>
    </row>
    <row r="134" spans="1:27" s="45" customFormat="1" ht="12.75" x14ac:dyDescent="0.2">
      <c r="A134" s="24" t="s">
        <v>1502</v>
      </c>
      <c r="B134" s="174">
        <v>44652</v>
      </c>
      <c r="C134" s="23" t="s">
        <v>389</v>
      </c>
      <c r="D134" s="106">
        <v>5000351</v>
      </c>
      <c r="E134" s="24" t="s">
        <v>210</v>
      </c>
      <c r="F134" s="44" t="s">
        <v>424</v>
      </c>
      <c r="G134" s="29" t="s">
        <v>265</v>
      </c>
      <c r="H134" s="24" t="s">
        <v>648</v>
      </c>
      <c r="I134" s="44">
        <v>7</v>
      </c>
      <c r="J134" s="24" t="s">
        <v>65</v>
      </c>
      <c r="K134" s="103">
        <v>281178</v>
      </c>
      <c r="L134" s="46">
        <f t="shared" si="12"/>
        <v>1968246</v>
      </c>
      <c r="M134" s="173">
        <f t="shared" si="15"/>
        <v>0.19682459999999999</v>
      </c>
      <c r="N134" s="144">
        <v>0.57686294416243655</v>
      </c>
      <c r="O134" s="146">
        <f t="shared" si="13"/>
        <v>162201.16891370559</v>
      </c>
      <c r="P134" s="144">
        <v>15.092000000000001</v>
      </c>
      <c r="Q134" s="146">
        <f t="shared" si="14"/>
        <v>4243538.3760000002</v>
      </c>
      <c r="R134" s="133">
        <f t="shared" si="16"/>
        <v>0.42435383760000001</v>
      </c>
      <c r="S134" s="23" t="s">
        <v>1493</v>
      </c>
      <c r="T134" s="45" t="s">
        <v>1479</v>
      </c>
      <c r="AA134"/>
    </row>
    <row r="135" spans="1:27" s="45" customFormat="1" ht="12.75" x14ac:dyDescent="0.2">
      <c r="A135" s="24" t="s">
        <v>1502</v>
      </c>
      <c r="B135" s="174">
        <v>44652</v>
      </c>
      <c r="C135" s="23" t="s">
        <v>389</v>
      </c>
      <c r="D135" s="106">
        <v>5001215</v>
      </c>
      <c r="E135" s="24" t="s">
        <v>395</v>
      </c>
      <c r="F135" s="44" t="s">
        <v>426</v>
      </c>
      <c r="G135" s="29" t="s">
        <v>265</v>
      </c>
      <c r="H135" s="24" t="s">
        <v>649</v>
      </c>
      <c r="I135" s="44">
        <v>1000</v>
      </c>
      <c r="J135" s="24" t="s">
        <v>7</v>
      </c>
      <c r="K135" s="103">
        <v>2353</v>
      </c>
      <c r="L135" s="46">
        <f t="shared" si="12"/>
        <v>2353000</v>
      </c>
      <c r="M135" s="173">
        <f t="shared" si="15"/>
        <v>0.23530000000000001</v>
      </c>
      <c r="N135" s="144">
        <v>58.670103092783506</v>
      </c>
      <c r="O135" s="146">
        <f t="shared" si="13"/>
        <v>138050.7525773196</v>
      </c>
      <c r="P135" s="144">
        <v>2690.5450000000001</v>
      </c>
      <c r="Q135" s="146">
        <f t="shared" si="14"/>
        <v>6330852.3849999998</v>
      </c>
      <c r="R135" s="133">
        <f t="shared" si="16"/>
        <v>0.63308523849999998</v>
      </c>
      <c r="S135" s="23" t="s">
        <v>1493</v>
      </c>
      <c r="T135" s="45" t="s">
        <v>1479</v>
      </c>
      <c r="AA135"/>
    </row>
    <row r="136" spans="1:27" s="45" customFormat="1" ht="12.75" x14ac:dyDescent="0.2">
      <c r="A136" s="24" t="s">
        <v>1502</v>
      </c>
      <c r="B136" s="174">
        <v>44652</v>
      </c>
      <c r="C136" s="23" t="s">
        <v>389</v>
      </c>
      <c r="D136" s="106">
        <v>5002576</v>
      </c>
      <c r="E136" s="24" t="s">
        <v>396</v>
      </c>
      <c r="F136" s="44" t="s">
        <v>426</v>
      </c>
      <c r="G136" s="29" t="s">
        <v>265</v>
      </c>
      <c r="H136" s="24" t="s">
        <v>634</v>
      </c>
      <c r="I136" s="44">
        <v>100</v>
      </c>
      <c r="J136" s="24" t="s">
        <v>7</v>
      </c>
      <c r="K136" s="103">
        <v>6392</v>
      </c>
      <c r="L136" s="46">
        <f t="shared" si="12"/>
        <v>639200</v>
      </c>
      <c r="M136" s="173">
        <f t="shared" si="15"/>
        <v>6.3920000000000005E-2</v>
      </c>
      <c r="N136" s="144">
        <v>6.7275510204081632</v>
      </c>
      <c r="O136" s="146">
        <f t="shared" si="13"/>
        <v>43002.506122448976</v>
      </c>
      <c r="P136" s="144">
        <v>419.03125</v>
      </c>
      <c r="Q136" s="146">
        <f t="shared" si="14"/>
        <v>2678447.75</v>
      </c>
      <c r="R136" s="133">
        <f t="shared" si="16"/>
        <v>0.26784477499999998</v>
      </c>
      <c r="S136" s="23" t="s">
        <v>1493</v>
      </c>
      <c r="T136" s="45" t="s">
        <v>1479</v>
      </c>
      <c r="AA136"/>
    </row>
    <row r="137" spans="1:27" s="45" customFormat="1" ht="12.75" x14ac:dyDescent="0.2">
      <c r="A137" s="24" t="s">
        <v>1502</v>
      </c>
      <c r="B137" s="174">
        <v>44652</v>
      </c>
      <c r="C137" s="23" t="s">
        <v>389</v>
      </c>
      <c r="D137" s="106">
        <v>5000500</v>
      </c>
      <c r="E137" s="24" t="s">
        <v>390</v>
      </c>
      <c r="F137" s="44" t="s">
        <v>426</v>
      </c>
      <c r="G137" s="29" t="s">
        <v>265</v>
      </c>
      <c r="H137" s="24" t="s">
        <v>661</v>
      </c>
      <c r="I137" s="44">
        <v>30</v>
      </c>
      <c r="J137" s="24" t="s">
        <v>7</v>
      </c>
      <c r="K137" s="103">
        <v>20331</v>
      </c>
      <c r="L137" s="46">
        <f t="shared" si="12"/>
        <v>609930</v>
      </c>
      <c r="M137" s="173">
        <f t="shared" si="15"/>
        <v>6.0992999999999999E-2</v>
      </c>
      <c r="N137" s="144">
        <v>2.521326530612245</v>
      </c>
      <c r="O137" s="146">
        <f t="shared" si="13"/>
        <v>51261.089693877555</v>
      </c>
      <c r="P137" s="144">
        <v>310.97474953509999</v>
      </c>
      <c r="Q137" s="146">
        <f t="shared" si="14"/>
        <v>6322427.6327981176</v>
      </c>
      <c r="R137" s="133">
        <f t="shared" si="16"/>
        <v>0.63224276327981177</v>
      </c>
      <c r="S137" s="23" t="s">
        <v>1493</v>
      </c>
      <c r="T137" s="45" t="s">
        <v>1479</v>
      </c>
      <c r="AA137"/>
    </row>
    <row r="138" spans="1:27" s="45" customFormat="1" ht="12.75" x14ac:dyDescent="0.2">
      <c r="A138" s="24" t="s">
        <v>1502</v>
      </c>
      <c r="B138" s="174">
        <v>44652</v>
      </c>
      <c r="C138" s="23" t="s">
        <v>389</v>
      </c>
      <c r="D138" s="106">
        <v>5001215</v>
      </c>
      <c r="E138" s="24" t="s">
        <v>395</v>
      </c>
      <c r="F138" s="44" t="s">
        <v>426</v>
      </c>
      <c r="G138" s="29" t="s">
        <v>265</v>
      </c>
      <c r="H138" s="24" t="s">
        <v>662</v>
      </c>
      <c r="I138" s="44">
        <v>1000</v>
      </c>
      <c r="J138" s="24" t="s">
        <v>7</v>
      </c>
      <c r="K138" s="103">
        <v>2407</v>
      </c>
      <c r="L138" s="46">
        <f t="shared" si="12"/>
        <v>2407000</v>
      </c>
      <c r="M138" s="173">
        <f t="shared" si="15"/>
        <v>0.2407</v>
      </c>
      <c r="N138" s="144">
        <v>58.670103092783506</v>
      </c>
      <c r="O138" s="146">
        <f t="shared" si="13"/>
        <v>141218.93814432991</v>
      </c>
      <c r="P138" s="144">
        <v>2690.5450000000001</v>
      </c>
      <c r="Q138" s="146">
        <f t="shared" si="14"/>
        <v>6476141.8150000004</v>
      </c>
      <c r="R138" s="133">
        <f t="shared" si="16"/>
        <v>0.64761418150000005</v>
      </c>
      <c r="S138" s="23" t="s">
        <v>1493</v>
      </c>
      <c r="T138" s="45" t="s">
        <v>1479</v>
      </c>
      <c r="AA138"/>
    </row>
    <row r="139" spans="1:27" s="45" customFormat="1" ht="12.75" x14ac:dyDescent="0.2">
      <c r="A139" s="24" t="s">
        <v>1502</v>
      </c>
      <c r="B139" s="174">
        <v>44652</v>
      </c>
      <c r="C139" s="23" t="s">
        <v>389</v>
      </c>
      <c r="D139" s="106">
        <v>5002406</v>
      </c>
      <c r="E139" s="24" t="s">
        <v>580</v>
      </c>
      <c r="F139" s="44" t="s">
        <v>426</v>
      </c>
      <c r="G139" s="29" t="s">
        <v>265</v>
      </c>
      <c r="H139" s="24" t="s">
        <v>664</v>
      </c>
      <c r="I139" s="44">
        <v>100</v>
      </c>
      <c r="J139" s="24" t="s">
        <v>7</v>
      </c>
      <c r="K139" s="103">
        <v>3741</v>
      </c>
      <c r="L139" s="46">
        <f t="shared" si="12"/>
        <v>374100</v>
      </c>
      <c r="M139" s="173">
        <f t="shared" si="15"/>
        <v>3.7409999999999999E-2</v>
      </c>
      <c r="N139" s="144">
        <v>6.7275510204081632</v>
      </c>
      <c r="O139" s="146">
        <f t="shared" si="13"/>
        <v>25167.76836734694</v>
      </c>
      <c r="P139" s="144">
        <v>114.735</v>
      </c>
      <c r="Q139" s="146">
        <f t="shared" si="14"/>
        <v>429223.63500000001</v>
      </c>
      <c r="R139" s="133">
        <f t="shared" si="16"/>
        <v>4.2922363499999998E-2</v>
      </c>
      <c r="S139" s="23" t="s">
        <v>1493</v>
      </c>
      <c r="T139" s="45" t="s">
        <v>1479</v>
      </c>
      <c r="AA139"/>
    </row>
    <row r="140" spans="1:27" s="45" customFormat="1" ht="12.75" x14ac:dyDescent="0.2">
      <c r="A140" s="24" t="s">
        <v>1502</v>
      </c>
      <c r="B140" s="174">
        <v>44652</v>
      </c>
      <c r="C140" s="23" t="s">
        <v>389</v>
      </c>
      <c r="D140" s="106">
        <v>5002407</v>
      </c>
      <c r="E140" s="24" t="s">
        <v>398</v>
      </c>
      <c r="F140" s="44" t="s">
        <v>426</v>
      </c>
      <c r="G140" s="29" t="s">
        <v>265</v>
      </c>
      <c r="H140" s="24" t="s">
        <v>665</v>
      </c>
      <c r="I140" s="44">
        <v>100</v>
      </c>
      <c r="J140" s="24" t="s">
        <v>7</v>
      </c>
      <c r="K140" s="103">
        <v>9584</v>
      </c>
      <c r="L140" s="46">
        <f t="shared" si="12"/>
        <v>958400</v>
      </c>
      <c r="M140" s="173">
        <f t="shared" si="15"/>
        <v>9.5839999999999995E-2</v>
      </c>
      <c r="N140" s="144">
        <v>6.7275510204081632</v>
      </c>
      <c r="O140" s="146">
        <f t="shared" si="13"/>
        <v>64476.848979591836</v>
      </c>
      <c r="P140" s="144">
        <v>197.05399936467597</v>
      </c>
      <c r="Q140" s="146">
        <f t="shared" si="14"/>
        <v>1888565.5299110545</v>
      </c>
      <c r="R140" s="133">
        <f t="shared" si="16"/>
        <v>0.18885655299110546</v>
      </c>
      <c r="S140" s="23" t="s">
        <v>1493</v>
      </c>
      <c r="T140" s="45" t="s">
        <v>1479</v>
      </c>
      <c r="AA140"/>
    </row>
    <row r="141" spans="1:27" s="45" customFormat="1" ht="12.75" x14ac:dyDescent="0.2">
      <c r="A141" s="24" t="s">
        <v>1502</v>
      </c>
      <c r="B141" s="174">
        <v>44652</v>
      </c>
      <c r="C141" s="23" t="s">
        <v>389</v>
      </c>
      <c r="D141" s="106">
        <v>5000502</v>
      </c>
      <c r="E141" s="24" t="s">
        <v>402</v>
      </c>
      <c r="F141" s="44" t="s">
        <v>426</v>
      </c>
      <c r="G141" s="29" t="s">
        <v>265</v>
      </c>
      <c r="H141" s="24" t="s">
        <v>672</v>
      </c>
      <c r="I141" s="44">
        <v>500</v>
      </c>
      <c r="J141" s="24" t="s">
        <v>7</v>
      </c>
      <c r="K141" s="103">
        <v>1200</v>
      </c>
      <c r="L141" s="46">
        <f t="shared" si="12"/>
        <v>600000</v>
      </c>
      <c r="M141" s="173">
        <f t="shared" si="15"/>
        <v>0.06</v>
      </c>
      <c r="N141" s="144">
        <v>29.903061224489797</v>
      </c>
      <c r="O141" s="146">
        <f t="shared" si="13"/>
        <v>35883.673469387759</v>
      </c>
      <c r="P141" s="144">
        <v>4990.7654687499999</v>
      </c>
      <c r="Q141" s="146">
        <f t="shared" si="14"/>
        <v>5988918.5625</v>
      </c>
      <c r="R141" s="133">
        <f t="shared" si="16"/>
        <v>0.59889185624999997</v>
      </c>
      <c r="S141" s="23" t="s">
        <v>1493</v>
      </c>
      <c r="T141" s="45" t="s">
        <v>1479</v>
      </c>
      <c r="AA141"/>
    </row>
    <row r="142" spans="1:27" s="45" customFormat="1" ht="12.75" x14ac:dyDescent="0.2">
      <c r="A142" s="24" t="s">
        <v>1502</v>
      </c>
      <c r="B142" s="174">
        <v>44652</v>
      </c>
      <c r="C142" s="23" t="s">
        <v>389</v>
      </c>
      <c r="D142" s="106">
        <v>5000620</v>
      </c>
      <c r="E142" s="24" t="s">
        <v>581</v>
      </c>
      <c r="F142" s="44" t="s">
        <v>424</v>
      </c>
      <c r="G142" s="29" t="s">
        <v>265</v>
      </c>
      <c r="H142" s="24" t="s">
        <v>673</v>
      </c>
      <c r="I142" s="44">
        <v>10</v>
      </c>
      <c r="J142" s="24" t="s">
        <v>3</v>
      </c>
      <c r="K142" s="103">
        <v>45477</v>
      </c>
      <c r="L142" s="46">
        <f t="shared" si="12"/>
        <v>454770</v>
      </c>
      <c r="M142" s="173">
        <f t="shared" si="15"/>
        <v>4.5476999999999997E-2</v>
      </c>
      <c r="N142" s="144">
        <v>0.74520408163265306</v>
      </c>
      <c r="O142" s="146">
        <f t="shared" si="13"/>
        <v>33889.646020408167</v>
      </c>
      <c r="P142" s="144">
        <v>7.45</v>
      </c>
      <c r="Q142" s="146">
        <f t="shared" si="14"/>
        <v>338803.65</v>
      </c>
      <c r="R142" s="133">
        <f t="shared" si="16"/>
        <v>3.3880365000000003E-2</v>
      </c>
      <c r="S142" s="23" t="s">
        <v>1493</v>
      </c>
      <c r="T142" s="45" t="s">
        <v>1479</v>
      </c>
      <c r="AA142"/>
    </row>
    <row r="143" spans="1:27" s="45" customFormat="1" ht="12.75" x14ac:dyDescent="0.2">
      <c r="A143" s="24" t="s">
        <v>1502</v>
      </c>
      <c r="B143" s="174">
        <v>44652</v>
      </c>
      <c r="C143" s="23" t="s">
        <v>389</v>
      </c>
      <c r="D143" s="106">
        <v>5001215</v>
      </c>
      <c r="E143" s="24" t="s">
        <v>395</v>
      </c>
      <c r="F143" s="44" t="s">
        <v>426</v>
      </c>
      <c r="G143" s="29" t="s">
        <v>265</v>
      </c>
      <c r="H143" s="24" t="s">
        <v>675</v>
      </c>
      <c r="I143" s="44">
        <v>1000</v>
      </c>
      <c r="J143" s="24" t="s">
        <v>7</v>
      </c>
      <c r="K143" s="103">
        <v>2365</v>
      </c>
      <c r="L143" s="46">
        <f t="shared" si="12"/>
        <v>2365000</v>
      </c>
      <c r="M143" s="173">
        <f t="shared" si="15"/>
        <v>0.23649999999999999</v>
      </c>
      <c r="N143" s="144">
        <v>58.670103092783506</v>
      </c>
      <c r="O143" s="146">
        <f t="shared" si="13"/>
        <v>138754.79381443298</v>
      </c>
      <c r="P143" s="144">
        <v>2690.5450000000001</v>
      </c>
      <c r="Q143" s="146">
        <f t="shared" si="14"/>
        <v>6363138.9249999998</v>
      </c>
      <c r="R143" s="133">
        <f t="shared" si="16"/>
        <v>0.63631389250000003</v>
      </c>
      <c r="S143" s="23" t="s">
        <v>1493</v>
      </c>
      <c r="T143" s="45" t="s">
        <v>1479</v>
      </c>
      <c r="AA143"/>
    </row>
    <row r="144" spans="1:27" s="45" customFormat="1" ht="12.75" x14ac:dyDescent="0.2">
      <c r="A144" s="24" t="s">
        <v>1502</v>
      </c>
      <c r="B144" s="174">
        <v>44652</v>
      </c>
      <c r="C144" s="23" t="s">
        <v>389</v>
      </c>
      <c r="D144" s="106">
        <v>5001215</v>
      </c>
      <c r="E144" s="24" t="s">
        <v>395</v>
      </c>
      <c r="F144" s="44" t="s">
        <v>426</v>
      </c>
      <c r="G144" s="29" t="s">
        <v>265</v>
      </c>
      <c r="H144" s="24" t="s">
        <v>679</v>
      </c>
      <c r="I144" s="44">
        <v>1000</v>
      </c>
      <c r="J144" s="24" t="s">
        <v>7</v>
      </c>
      <c r="K144" s="103">
        <v>2347</v>
      </c>
      <c r="L144" s="46">
        <f t="shared" si="12"/>
        <v>2347000</v>
      </c>
      <c r="M144" s="173">
        <f t="shared" si="15"/>
        <v>0.23469999999999999</v>
      </c>
      <c r="N144" s="144">
        <v>58.670103092783506</v>
      </c>
      <c r="O144" s="146">
        <f t="shared" si="13"/>
        <v>137698.73195876289</v>
      </c>
      <c r="P144" s="144">
        <v>2690.5450000000001</v>
      </c>
      <c r="Q144" s="146">
        <f t="shared" si="14"/>
        <v>6314709.1150000002</v>
      </c>
      <c r="R144" s="133">
        <f t="shared" si="16"/>
        <v>0.63147091150000001</v>
      </c>
      <c r="S144" s="23" t="s">
        <v>1493</v>
      </c>
      <c r="T144" s="45" t="s">
        <v>1479</v>
      </c>
      <c r="AA144"/>
    </row>
    <row r="145" spans="1:27" s="45" customFormat="1" ht="12.75" x14ac:dyDescent="0.2">
      <c r="A145" s="24" t="s">
        <v>1502</v>
      </c>
      <c r="B145" s="174">
        <v>44652</v>
      </c>
      <c r="C145" s="23" t="s">
        <v>389</v>
      </c>
      <c r="D145" s="106">
        <v>5000501</v>
      </c>
      <c r="E145" s="24" t="s">
        <v>397</v>
      </c>
      <c r="F145" s="44" t="s">
        <v>426</v>
      </c>
      <c r="G145" s="29" t="s">
        <v>265</v>
      </c>
      <c r="H145" s="24" t="s">
        <v>686</v>
      </c>
      <c r="I145" s="44">
        <v>90</v>
      </c>
      <c r="J145" s="24" t="s">
        <v>7</v>
      </c>
      <c r="K145" s="103">
        <v>2346</v>
      </c>
      <c r="L145" s="46">
        <f t="shared" si="12"/>
        <v>211140</v>
      </c>
      <c r="M145" s="173">
        <f t="shared" si="15"/>
        <v>2.1114000000000001E-2</v>
      </c>
      <c r="N145" s="144">
        <v>6.176224489795918</v>
      </c>
      <c r="O145" s="146">
        <f t="shared" si="13"/>
        <v>14489.422653061223</v>
      </c>
      <c r="P145" s="144">
        <v>993.60224780701753</v>
      </c>
      <c r="Q145" s="146">
        <f t="shared" si="14"/>
        <v>2330990.8733552629</v>
      </c>
      <c r="R145" s="133">
        <f t="shared" si="16"/>
        <v>0.23309908733552628</v>
      </c>
      <c r="S145" s="23" t="s">
        <v>1493</v>
      </c>
      <c r="T145" s="45" t="s">
        <v>1479</v>
      </c>
      <c r="AA145"/>
    </row>
    <row r="146" spans="1:27" s="45" customFormat="1" ht="12.75" x14ac:dyDescent="0.2">
      <c r="A146" s="24" t="s">
        <v>1502</v>
      </c>
      <c r="B146" s="174">
        <v>44652</v>
      </c>
      <c r="C146" s="23" t="s">
        <v>389</v>
      </c>
      <c r="D146" s="106">
        <v>5000502</v>
      </c>
      <c r="E146" s="24" t="s">
        <v>402</v>
      </c>
      <c r="F146" s="44" t="s">
        <v>426</v>
      </c>
      <c r="G146" s="29" t="s">
        <v>265</v>
      </c>
      <c r="H146" s="24" t="s">
        <v>686</v>
      </c>
      <c r="I146" s="44">
        <v>500</v>
      </c>
      <c r="J146" s="24" t="s">
        <v>7</v>
      </c>
      <c r="K146" s="103">
        <v>798</v>
      </c>
      <c r="L146" s="46">
        <f t="shared" si="12"/>
        <v>399000</v>
      </c>
      <c r="M146" s="173">
        <f t="shared" si="15"/>
        <v>3.9899999999999998E-2</v>
      </c>
      <c r="N146" s="144">
        <v>29.903061224489797</v>
      </c>
      <c r="O146" s="146">
        <f t="shared" si="13"/>
        <v>23862.642857142859</v>
      </c>
      <c r="P146" s="144">
        <v>4990.7654687499999</v>
      </c>
      <c r="Q146" s="146">
        <f t="shared" si="14"/>
        <v>3982630.8440624997</v>
      </c>
      <c r="R146" s="133">
        <f t="shared" si="16"/>
        <v>0.39826308440624997</v>
      </c>
      <c r="S146" s="23" t="s">
        <v>1493</v>
      </c>
      <c r="T146" s="45" t="s">
        <v>1479</v>
      </c>
      <c r="AA146"/>
    </row>
    <row r="147" spans="1:27" s="45" customFormat="1" ht="12.75" x14ac:dyDescent="0.2">
      <c r="A147" s="24" t="s">
        <v>1502</v>
      </c>
      <c r="B147" s="174">
        <v>44652</v>
      </c>
      <c r="C147" s="23" t="s">
        <v>389</v>
      </c>
      <c r="D147" s="106">
        <v>5002406</v>
      </c>
      <c r="E147" s="24" t="s">
        <v>580</v>
      </c>
      <c r="F147" s="44" t="s">
        <v>426</v>
      </c>
      <c r="G147" s="29" t="s">
        <v>265</v>
      </c>
      <c r="H147" s="24" t="s">
        <v>689</v>
      </c>
      <c r="I147" s="44">
        <v>100</v>
      </c>
      <c r="J147" s="24" t="s">
        <v>7</v>
      </c>
      <c r="K147" s="103">
        <v>3801</v>
      </c>
      <c r="L147" s="46">
        <f t="shared" si="12"/>
        <v>380100</v>
      </c>
      <c r="M147" s="173">
        <f t="shared" si="15"/>
        <v>3.8010000000000002E-2</v>
      </c>
      <c r="N147" s="144">
        <v>6.7275510204081632</v>
      </c>
      <c r="O147" s="146">
        <f t="shared" si="13"/>
        <v>25571.42142857143</v>
      </c>
      <c r="P147" s="144">
        <v>114.735</v>
      </c>
      <c r="Q147" s="146">
        <f t="shared" si="14"/>
        <v>436107.73499999999</v>
      </c>
      <c r="R147" s="133">
        <f t="shared" si="16"/>
        <v>4.3610773499999998E-2</v>
      </c>
      <c r="S147" s="23" t="s">
        <v>1493</v>
      </c>
      <c r="T147" s="45" t="s">
        <v>1479</v>
      </c>
      <c r="AA147"/>
    </row>
    <row r="148" spans="1:27" s="45" customFormat="1" ht="12.75" x14ac:dyDescent="0.2">
      <c r="A148" s="24" t="s">
        <v>1502</v>
      </c>
      <c r="B148" s="174">
        <v>44652</v>
      </c>
      <c r="C148" s="23" t="s">
        <v>389</v>
      </c>
      <c r="D148" s="106">
        <v>5000351</v>
      </c>
      <c r="E148" s="24" t="s">
        <v>210</v>
      </c>
      <c r="F148" s="44" t="s">
        <v>424</v>
      </c>
      <c r="G148" s="29" t="s">
        <v>265</v>
      </c>
      <c r="H148" s="24" t="s">
        <v>691</v>
      </c>
      <c r="I148" s="44">
        <v>7</v>
      </c>
      <c r="J148" s="24" t="s">
        <v>65</v>
      </c>
      <c r="K148" s="103">
        <v>281478</v>
      </c>
      <c r="L148" s="46">
        <f t="shared" si="12"/>
        <v>1970346</v>
      </c>
      <c r="M148" s="173">
        <f t="shared" si="15"/>
        <v>0.1970346</v>
      </c>
      <c r="N148" s="144">
        <v>0.57686294416243655</v>
      </c>
      <c r="O148" s="146">
        <f t="shared" si="13"/>
        <v>162374.22779695431</v>
      </c>
      <c r="P148" s="144">
        <v>15.092000000000001</v>
      </c>
      <c r="Q148" s="146">
        <f t="shared" si="14"/>
        <v>4248065.9759999998</v>
      </c>
      <c r="R148" s="133">
        <f t="shared" si="16"/>
        <v>0.4248065976</v>
      </c>
      <c r="S148" s="23" t="s">
        <v>1493</v>
      </c>
      <c r="T148" s="45" t="s">
        <v>1479</v>
      </c>
      <c r="AA148"/>
    </row>
    <row r="149" spans="1:27" s="45" customFormat="1" ht="12.75" x14ac:dyDescent="0.2">
      <c r="A149" s="24" t="s">
        <v>1502</v>
      </c>
      <c r="B149" s="174">
        <v>44652</v>
      </c>
      <c r="C149" s="23" t="s">
        <v>389</v>
      </c>
      <c r="D149" s="106">
        <v>5000501</v>
      </c>
      <c r="E149" s="24" t="s">
        <v>397</v>
      </c>
      <c r="F149" s="44" t="s">
        <v>426</v>
      </c>
      <c r="G149" s="29" t="s">
        <v>265</v>
      </c>
      <c r="H149" s="24" t="s">
        <v>692</v>
      </c>
      <c r="I149" s="44">
        <v>90</v>
      </c>
      <c r="J149" s="24" t="s">
        <v>7</v>
      </c>
      <c r="K149" s="103">
        <v>6426</v>
      </c>
      <c r="L149" s="46">
        <f t="shared" si="12"/>
        <v>578340</v>
      </c>
      <c r="M149" s="173">
        <f t="shared" si="15"/>
        <v>5.7834000000000003E-2</v>
      </c>
      <c r="N149" s="144">
        <v>6.176224489795918</v>
      </c>
      <c r="O149" s="146">
        <f t="shared" si="13"/>
        <v>39688.41857142857</v>
      </c>
      <c r="P149" s="144">
        <v>993.60224780701753</v>
      </c>
      <c r="Q149" s="146">
        <f t="shared" si="14"/>
        <v>6384888.0444078948</v>
      </c>
      <c r="R149" s="133">
        <f t="shared" si="16"/>
        <v>0.63848880444078948</v>
      </c>
      <c r="S149" s="23" t="s">
        <v>1493</v>
      </c>
      <c r="T149" s="45" t="s">
        <v>1479</v>
      </c>
      <c r="AA149"/>
    </row>
    <row r="150" spans="1:27" s="45" customFormat="1" ht="12.75" x14ac:dyDescent="0.2">
      <c r="A150" s="24" t="s">
        <v>1502</v>
      </c>
      <c r="B150" s="174">
        <v>44652</v>
      </c>
      <c r="C150" s="23" t="s">
        <v>389</v>
      </c>
      <c r="D150" s="106">
        <v>5000620</v>
      </c>
      <c r="E150" s="24" t="s">
        <v>581</v>
      </c>
      <c r="F150" s="44" t="s">
        <v>424</v>
      </c>
      <c r="G150" s="29" t="s">
        <v>265</v>
      </c>
      <c r="H150" s="24" t="s">
        <v>693</v>
      </c>
      <c r="I150" s="44">
        <v>10</v>
      </c>
      <c r="J150" s="24" t="s">
        <v>3</v>
      </c>
      <c r="K150" s="103">
        <v>46009</v>
      </c>
      <c r="L150" s="46">
        <f t="shared" si="12"/>
        <v>460090</v>
      </c>
      <c r="M150" s="173">
        <f t="shared" si="15"/>
        <v>4.6009000000000001E-2</v>
      </c>
      <c r="N150" s="144">
        <v>0.74520408163265306</v>
      </c>
      <c r="O150" s="146">
        <f t="shared" si="13"/>
        <v>34286.094591836736</v>
      </c>
      <c r="P150" s="144">
        <v>7.45</v>
      </c>
      <c r="Q150" s="146">
        <f t="shared" si="14"/>
        <v>342767.05</v>
      </c>
      <c r="R150" s="133">
        <f t="shared" si="16"/>
        <v>3.4276704999999998E-2</v>
      </c>
      <c r="S150" s="23" t="s">
        <v>1493</v>
      </c>
      <c r="T150" s="45" t="s">
        <v>1479</v>
      </c>
      <c r="AA150"/>
    </row>
    <row r="151" spans="1:27" s="45" customFormat="1" ht="12.75" x14ac:dyDescent="0.2">
      <c r="A151" s="24" t="s">
        <v>1502</v>
      </c>
      <c r="B151" s="174">
        <v>44652</v>
      </c>
      <c r="C151" s="23" t="s">
        <v>389</v>
      </c>
      <c r="D151" s="106">
        <v>5001805</v>
      </c>
      <c r="E151" s="24" t="s">
        <v>584</v>
      </c>
      <c r="F151" s="44" t="s">
        <v>426</v>
      </c>
      <c r="G151" s="29" t="s">
        <v>265</v>
      </c>
      <c r="H151" s="24" t="s">
        <v>696</v>
      </c>
      <c r="I151" s="44">
        <v>100</v>
      </c>
      <c r="J151" s="24" t="s">
        <v>7</v>
      </c>
      <c r="K151" s="103">
        <v>2396</v>
      </c>
      <c r="L151" s="46">
        <f t="shared" si="12"/>
        <v>239600</v>
      </c>
      <c r="M151" s="173">
        <f t="shared" si="15"/>
        <v>2.3959999999999999E-2</v>
      </c>
      <c r="N151" s="144">
        <v>7.3255555555555558</v>
      </c>
      <c r="O151" s="146">
        <f t="shared" si="13"/>
        <v>17552.031111111111</v>
      </c>
      <c r="P151" s="144">
        <v>358.02250000000004</v>
      </c>
      <c r="Q151" s="146">
        <f t="shared" si="14"/>
        <v>857821.91</v>
      </c>
      <c r="R151" s="133">
        <f t="shared" si="16"/>
        <v>8.5782191000000008E-2</v>
      </c>
      <c r="S151" s="23" t="s">
        <v>1493</v>
      </c>
      <c r="T151" s="45" t="s">
        <v>1479</v>
      </c>
      <c r="AA151"/>
    </row>
    <row r="152" spans="1:27" s="45" customFormat="1" ht="12.75" x14ac:dyDescent="0.2">
      <c r="A152" s="24" t="s">
        <v>1502</v>
      </c>
      <c r="B152" s="174">
        <v>44652</v>
      </c>
      <c r="C152" s="23" t="s">
        <v>389</v>
      </c>
      <c r="D152" s="106">
        <v>5001214</v>
      </c>
      <c r="E152" s="24" t="s">
        <v>225</v>
      </c>
      <c r="F152" s="44" t="s">
        <v>426</v>
      </c>
      <c r="G152" s="29" t="s">
        <v>265</v>
      </c>
      <c r="H152" s="24" t="s">
        <v>704</v>
      </c>
      <c r="I152" s="44">
        <v>30</v>
      </c>
      <c r="J152" s="24" t="s">
        <v>7</v>
      </c>
      <c r="K152" s="103">
        <v>77880</v>
      </c>
      <c r="L152" s="46">
        <f t="shared" si="12"/>
        <v>2336400</v>
      </c>
      <c r="M152" s="173">
        <f t="shared" si="15"/>
        <v>0.23363999999999999</v>
      </c>
      <c r="N152" s="144">
        <v>2.5473195876288663</v>
      </c>
      <c r="O152" s="146">
        <f t="shared" si="13"/>
        <v>198385.24948453612</v>
      </c>
      <c r="P152" s="144">
        <v>90.948000000000008</v>
      </c>
      <c r="Q152" s="146">
        <f t="shared" si="14"/>
        <v>7083030.2400000002</v>
      </c>
      <c r="R152" s="133">
        <f t="shared" si="16"/>
        <v>0.708303024</v>
      </c>
      <c r="S152" s="23" t="s">
        <v>1493</v>
      </c>
      <c r="T152" s="45" t="s">
        <v>1479</v>
      </c>
      <c r="AA152"/>
    </row>
    <row r="153" spans="1:27" s="45" customFormat="1" ht="12.75" x14ac:dyDescent="0.2">
      <c r="A153" s="24" t="s">
        <v>1502</v>
      </c>
      <c r="B153" s="174">
        <v>44652</v>
      </c>
      <c r="C153" s="23" t="s">
        <v>389</v>
      </c>
      <c r="D153" s="106">
        <v>5000620</v>
      </c>
      <c r="E153" s="24" t="s">
        <v>581</v>
      </c>
      <c r="F153" s="44" t="s">
        <v>424</v>
      </c>
      <c r="G153" s="29" t="s">
        <v>265</v>
      </c>
      <c r="H153" s="24" t="s">
        <v>710</v>
      </c>
      <c r="I153" s="44">
        <v>10</v>
      </c>
      <c r="J153" s="24" t="s">
        <v>3</v>
      </c>
      <c r="K153" s="103">
        <v>45843</v>
      </c>
      <c r="L153" s="46">
        <f t="shared" si="12"/>
        <v>458430</v>
      </c>
      <c r="M153" s="173">
        <f t="shared" si="15"/>
        <v>4.5843000000000002E-2</v>
      </c>
      <c r="N153" s="144">
        <v>0.74520408163265306</v>
      </c>
      <c r="O153" s="146">
        <f t="shared" si="13"/>
        <v>34162.390714285713</v>
      </c>
      <c r="P153" s="144">
        <v>7.45</v>
      </c>
      <c r="Q153" s="146">
        <f t="shared" si="14"/>
        <v>341530.35000000003</v>
      </c>
      <c r="R153" s="133">
        <f t="shared" si="16"/>
        <v>3.4153035000000005E-2</v>
      </c>
      <c r="S153" s="23" t="s">
        <v>1493</v>
      </c>
      <c r="T153" s="45" t="s">
        <v>1479</v>
      </c>
      <c r="AA153"/>
    </row>
    <row r="154" spans="1:27" s="45" customFormat="1" ht="12.75" x14ac:dyDescent="0.2">
      <c r="A154" s="24" t="s">
        <v>1502</v>
      </c>
      <c r="B154" s="174">
        <v>44652</v>
      </c>
      <c r="C154" s="23" t="s">
        <v>389</v>
      </c>
      <c r="D154" s="106">
        <v>5001214</v>
      </c>
      <c r="E154" s="24" t="s">
        <v>225</v>
      </c>
      <c r="F154" s="44" t="s">
        <v>426</v>
      </c>
      <c r="G154" s="29" t="s">
        <v>265</v>
      </c>
      <c r="H154" s="24" t="s">
        <v>718</v>
      </c>
      <c r="I154" s="44">
        <v>30</v>
      </c>
      <c r="J154" s="24" t="s">
        <v>7</v>
      </c>
      <c r="K154" s="103">
        <v>80664</v>
      </c>
      <c r="L154" s="46">
        <f t="shared" si="12"/>
        <v>2419920</v>
      </c>
      <c r="M154" s="173">
        <f t="shared" si="15"/>
        <v>0.24199200000000001</v>
      </c>
      <c r="N154" s="144">
        <v>2.5473195876288663</v>
      </c>
      <c r="O154" s="146">
        <f t="shared" si="13"/>
        <v>205476.98721649486</v>
      </c>
      <c r="P154" s="144">
        <v>90.948000000000008</v>
      </c>
      <c r="Q154" s="146">
        <f t="shared" si="14"/>
        <v>7336229.472000001</v>
      </c>
      <c r="R154" s="133">
        <f t="shared" si="16"/>
        <v>0.7336229472000001</v>
      </c>
      <c r="S154" s="23" t="s">
        <v>1493</v>
      </c>
      <c r="T154" s="45" t="s">
        <v>1479</v>
      </c>
      <c r="AA154"/>
    </row>
    <row r="155" spans="1:27" s="45" customFormat="1" ht="12.75" x14ac:dyDescent="0.2">
      <c r="A155" s="24" t="s">
        <v>1502</v>
      </c>
      <c r="B155" s="174">
        <v>44652</v>
      </c>
      <c r="C155" s="23" t="s">
        <v>389</v>
      </c>
      <c r="D155" s="106">
        <v>5001805</v>
      </c>
      <c r="E155" s="24" t="s">
        <v>584</v>
      </c>
      <c r="F155" s="44" t="s">
        <v>426</v>
      </c>
      <c r="G155" s="29" t="s">
        <v>265</v>
      </c>
      <c r="H155" s="24" t="s">
        <v>720</v>
      </c>
      <c r="I155" s="44">
        <v>100</v>
      </c>
      <c r="J155" s="24" t="s">
        <v>7</v>
      </c>
      <c r="K155" s="103">
        <v>2400</v>
      </c>
      <c r="L155" s="46">
        <f t="shared" si="12"/>
        <v>240000</v>
      </c>
      <c r="M155" s="173">
        <f t="shared" si="15"/>
        <v>2.4E-2</v>
      </c>
      <c r="N155" s="144">
        <v>7.3255555555555558</v>
      </c>
      <c r="O155" s="146">
        <f t="shared" si="13"/>
        <v>17581.333333333336</v>
      </c>
      <c r="P155" s="144">
        <v>358.02250000000004</v>
      </c>
      <c r="Q155" s="146">
        <f t="shared" si="14"/>
        <v>859254.00000000012</v>
      </c>
      <c r="R155" s="133">
        <f t="shared" si="16"/>
        <v>8.5925400000000013E-2</v>
      </c>
      <c r="S155" s="23" t="s">
        <v>1493</v>
      </c>
      <c r="T155" s="45" t="s">
        <v>1479</v>
      </c>
      <c r="AA155"/>
    </row>
    <row r="156" spans="1:27" s="45" customFormat="1" ht="12.75" x14ac:dyDescent="0.2">
      <c r="A156" s="24" t="s">
        <v>1502</v>
      </c>
      <c r="B156" s="174">
        <v>44652</v>
      </c>
      <c r="C156" s="23" t="s">
        <v>389</v>
      </c>
      <c r="D156" s="106">
        <v>5000501</v>
      </c>
      <c r="E156" s="24" t="s">
        <v>397</v>
      </c>
      <c r="F156" s="44" t="s">
        <v>426</v>
      </c>
      <c r="G156" s="29" t="s">
        <v>265</v>
      </c>
      <c r="H156" s="24" t="s">
        <v>403</v>
      </c>
      <c r="I156" s="44">
        <v>90</v>
      </c>
      <c r="J156" s="24" t="s">
        <v>7</v>
      </c>
      <c r="K156" s="103">
        <v>1092</v>
      </c>
      <c r="L156" s="46">
        <f t="shared" si="12"/>
        <v>98280</v>
      </c>
      <c r="M156" s="173">
        <f t="shared" si="15"/>
        <v>9.8279999999999999E-3</v>
      </c>
      <c r="N156" s="144">
        <v>6.176224489795918</v>
      </c>
      <c r="O156" s="146">
        <f t="shared" si="13"/>
        <v>6744.4371428571421</v>
      </c>
      <c r="P156" s="144">
        <v>993.60224780701753</v>
      </c>
      <c r="Q156" s="146">
        <f t="shared" si="14"/>
        <v>1085013.6546052631</v>
      </c>
      <c r="R156" s="133">
        <f t="shared" si="16"/>
        <v>0.10850136546052631</v>
      </c>
      <c r="S156" s="23" t="s">
        <v>1493</v>
      </c>
      <c r="T156" s="45" t="s">
        <v>1479</v>
      </c>
      <c r="AA156"/>
    </row>
    <row r="157" spans="1:27" s="45" customFormat="1" ht="12.75" x14ac:dyDescent="0.2">
      <c r="A157" s="24" t="s">
        <v>1502</v>
      </c>
      <c r="B157" s="174">
        <v>44652</v>
      </c>
      <c r="C157" s="23" t="s">
        <v>389</v>
      </c>
      <c r="D157" s="106">
        <v>5000502</v>
      </c>
      <c r="E157" s="24" t="s">
        <v>402</v>
      </c>
      <c r="F157" s="44" t="s">
        <v>426</v>
      </c>
      <c r="G157" s="29" t="s">
        <v>265</v>
      </c>
      <c r="H157" s="24" t="s">
        <v>403</v>
      </c>
      <c r="I157" s="44">
        <v>500</v>
      </c>
      <c r="J157" s="24" t="s">
        <v>7</v>
      </c>
      <c r="K157" s="103">
        <v>198</v>
      </c>
      <c r="L157" s="46">
        <f t="shared" si="12"/>
        <v>99000</v>
      </c>
      <c r="M157" s="173">
        <f t="shared" si="15"/>
        <v>9.9000000000000008E-3</v>
      </c>
      <c r="N157" s="144">
        <v>29.903061224489797</v>
      </c>
      <c r="O157" s="146">
        <f t="shared" si="13"/>
        <v>5920.8061224489793</v>
      </c>
      <c r="P157" s="144">
        <v>4990.7654687499999</v>
      </c>
      <c r="Q157" s="146">
        <f t="shared" si="14"/>
        <v>988171.56281249993</v>
      </c>
      <c r="R157" s="133">
        <f t="shared" si="16"/>
        <v>9.8817156281249999E-2</v>
      </c>
      <c r="S157" s="23" t="s">
        <v>1493</v>
      </c>
      <c r="T157" s="45" t="s">
        <v>1479</v>
      </c>
      <c r="AA157"/>
    </row>
    <row r="158" spans="1:27" s="45" customFormat="1" ht="12.75" x14ac:dyDescent="0.2">
      <c r="A158" s="24" t="s">
        <v>1502</v>
      </c>
      <c r="B158" s="174">
        <v>44652</v>
      </c>
      <c r="C158" s="23" t="s">
        <v>389</v>
      </c>
      <c r="D158" s="106">
        <v>5001652</v>
      </c>
      <c r="E158" s="24" t="s">
        <v>214</v>
      </c>
      <c r="F158" s="44" t="s">
        <v>426</v>
      </c>
      <c r="G158" s="47" t="s">
        <v>1506</v>
      </c>
      <c r="H158" s="24" t="s">
        <v>618</v>
      </c>
      <c r="I158" s="44">
        <v>1</v>
      </c>
      <c r="J158" s="24" t="s">
        <v>1</v>
      </c>
      <c r="K158" s="103">
        <v>137385</v>
      </c>
      <c r="L158" s="46">
        <f t="shared" si="12"/>
        <v>137385</v>
      </c>
      <c r="M158" s="173">
        <f t="shared" si="15"/>
        <v>1.3738500000000001E-2</v>
      </c>
      <c r="N158" s="144">
        <v>0.99132777042056131</v>
      </c>
      <c r="O158" s="146">
        <f t="shared" ref="O158:O176" si="17">+K158*N158</f>
        <v>136193.56573922883</v>
      </c>
      <c r="P158" s="144">
        <v>19.073816666666669</v>
      </c>
      <c r="Q158" s="146">
        <f t="shared" si="14"/>
        <v>2620456.3027500003</v>
      </c>
      <c r="R158" s="133">
        <f t="shared" si="16"/>
        <v>0.26204563027500005</v>
      </c>
      <c r="S158" s="23" t="s">
        <v>1493</v>
      </c>
      <c r="T158" s="45" t="s">
        <v>1479</v>
      </c>
      <c r="AA158"/>
    </row>
    <row r="159" spans="1:27" s="45" customFormat="1" ht="12.75" x14ac:dyDescent="0.2">
      <c r="A159" s="24" t="s">
        <v>1502</v>
      </c>
      <c r="B159" s="174">
        <v>44652</v>
      </c>
      <c r="C159" s="23" t="s">
        <v>389</v>
      </c>
      <c r="D159" s="106">
        <v>5001652</v>
      </c>
      <c r="E159" s="24" t="s">
        <v>214</v>
      </c>
      <c r="F159" s="44" t="s">
        <v>426</v>
      </c>
      <c r="G159" s="47" t="s">
        <v>1506</v>
      </c>
      <c r="H159" s="24" t="s">
        <v>619</v>
      </c>
      <c r="I159" s="44">
        <v>1</v>
      </c>
      <c r="J159" s="24" t="s">
        <v>1</v>
      </c>
      <c r="K159" s="103">
        <v>136485</v>
      </c>
      <c r="L159" s="46">
        <f t="shared" si="12"/>
        <v>136485</v>
      </c>
      <c r="M159" s="173">
        <f t="shared" si="15"/>
        <v>1.3648499999999999E-2</v>
      </c>
      <c r="N159" s="144">
        <v>0.99132777042056131</v>
      </c>
      <c r="O159" s="146">
        <f t="shared" si="17"/>
        <v>135301.37074585032</v>
      </c>
      <c r="P159" s="144">
        <v>19.073816666666669</v>
      </c>
      <c r="Q159" s="146">
        <f t="shared" si="14"/>
        <v>2603289.8677500002</v>
      </c>
      <c r="R159" s="133">
        <f t="shared" si="16"/>
        <v>0.26032898677500005</v>
      </c>
      <c r="S159" s="23" t="s">
        <v>1493</v>
      </c>
      <c r="T159" s="45" t="s">
        <v>1479</v>
      </c>
      <c r="AA159"/>
    </row>
    <row r="160" spans="1:27" s="45" customFormat="1" ht="12.75" x14ac:dyDescent="0.2">
      <c r="A160" s="24" t="s">
        <v>1502</v>
      </c>
      <c r="B160" s="174">
        <v>44652</v>
      </c>
      <c r="C160" s="23" t="s">
        <v>389</v>
      </c>
      <c r="D160" s="106">
        <v>5001652</v>
      </c>
      <c r="E160" s="24" t="s">
        <v>214</v>
      </c>
      <c r="F160" s="44" t="s">
        <v>426</v>
      </c>
      <c r="G160" s="47" t="s">
        <v>1506</v>
      </c>
      <c r="H160" s="24" t="s">
        <v>639</v>
      </c>
      <c r="I160" s="44">
        <v>1</v>
      </c>
      <c r="J160" s="24" t="s">
        <v>1</v>
      </c>
      <c r="K160" s="103">
        <v>135945</v>
      </c>
      <c r="L160" s="46">
        <f t="shared" si="12"/>
        <v>135945</v>
      </c>
      <c r="M160" s="173">
        <f t="shared" si="15"/>
        <v>1.3594500000000001E-2</v>
      </c>
      <c r="N160" s="144">
        <v>0.99132777042056131</v>
      </c>
      <c r="O160" s="146">
        <f t="shared" si="17"/>
        <v>134766.05374982322</v>
      </c>
      <c r="P160" s="144">
        <v>19.073816666666669</v>
      </c>
      <c r="Q160" s="146">
        <f t="shared" si="14"/>
        <v>2592990.0067500002</v>
      </c>
      <c r="R160" s="133">
        <f t="shared" si="16"/>
        <v>0.259299000675</v>
      </c>
      <c r="S160" s="23" t="s">
        <v>1493</v>
      </c>
      <c r="T160" s="45" t="s">
        <v>1479</v>
      </c>
      <c r="AA160"/>
    </row>
    <row r="161" spans="1:27" s="45" customFormat="1" ht="12.75" x14ac:dyDescent="0.2">
      <c r="A161" s="24" t="s">
        <v>1502</v>
      </c>
      <c r="B161" s="174">
        <v>44652</v>
      </c>
      <c r="C161" s="23" t="s">
        <v>389</v>
      </c>
      <c r="D161" s="106">
        <v>5006242</v>
      </c>
      <c r="E161" s="24" t="s">
        <v>321</v>
      </c>
      <c r="F161" s="44" t="s">
        <v>426</v>
      </c>
      <c r="G161" s="47" t="s">
        <v>1506</v>
      </c>
      <c r="H161" s="24" t="s">
        <v>641</v>
      </c>
      <c r="I161" s="44">
        <v>1</v>
      </c>
      <c r="J161" s="24" t="s">
        <v>7</v>
      </c>
      <c r="K161" s="103">
        <v>48</v>
      </c>
      <c r="L161" s="46">
        <f t="shared" si="12"/>
        <v>48</v>
      </c>
      <c r="M161" s="173">
        <f t="shared" si="15"/>
        <v>4.7999999999999998E-6</v>
      </c>
      <c r="N161" s="144">
        <v>0</v>
      </c>
      <c r="O161" s="146">
        <f t="shared" si="17"/>
        <v>0</v>
      </c>
      <c r="P161" s="144">
        <v>0</v>
      </c>
      <c r="Q161" s="146">
        <f t="shared" si="14"/>
        <v>0</v>
      </c>
      <c r="R161" s="133">
        <f t="shared" si="16"/>
        <v>0</v>
      </c>
      <c r="S161" s="23" t="s">
        <v>1493</v>
      </c>
      <c r="T161" s="45" t="s">
        <v>1479</v>
      </c>
      <c r="AA161"/>
    </row>
    <row r="162" spans="1:27" s="45" customFormat="1" ht="12.75" x14ac:dyDescent="0.2">
      <c r="A162" s="24" t="s">
        <v>1502</v>
      </c>
      <c r="B162" s="174">
        <v>44652</v>
      </c>
      <c r="C162" s="23" t="s">
        <v>389</v>
      </c>
      <c r="D162" s="106">
        <v>5006242</v>
      </c>
      <c r="E162" s="24" t="s">
        <v>321</v>
      </c>
      <c r="F162" s="44" t="s">
        <v>426</v>
      </c>
      <c r="G162" s="47" t="s">
        <v>1506</v>
      </c>
      <c r="H162" s="24" t="s">
        <v>642</v>
      </c>
      <c r="I162" s="44">
        <v>1</v>
      </c>
      <c r="J162" s="24" t="s">
        <v>7</v>
      </c>
      <c r="K162" s="103">
        <v>49</v>
      </c>
      <c r="L162" s="46">
        <f t="shared" si="12"/>
        <v>49</v>
      </c>
      <c r="M162" s="173">
        <f t="shared" si="15"/>
        <v>4.8999999999999997E-6</v>
      </c>
      <c r="N162" s="144">
        <v>0</v>
      </c>
      <c r="O162" s="146">
        <f t="shared" si="17"/>
        <v>0</v>
      </c>
      <c r="P162" s="144">
        <v>0</v>
      </c>
      <c r="Q162" s="146">
        <f t="shared" si="14"/>
        <v>0</v>
      </c>
      <c r="R162" s="133">
        <f t="shared" si="16"/>
        <v>0</v>
      </c>
      <c r="S162" s="23" t="s">
        <v>1493</v>
      </c>
      <c r="T162" s="45" t="s">
        <v>1479</v>
      </c>
      <c r="AA162"/>
    </row>
    <row r="163" spans="1:27" s="45" customFormat="1" ht="12.75" x14ac:dyDescent="0.2">
      <c r="A163" s="24" t="s">
        <v>1502</v>
      </c>
      <c r="B163" s="174">
        <v>44652</v>
      </c>
      <c r="C163" s="23" t="s">
        <v>389</v>
      </c>
      <c r="D163" s="106">
        <v>5006243</v>
      </c>
      <c r="E163" s="24" t="s">
        <v>214</v>
      </c>
      <c r="F163" s="44" t="s">
        <v>426</v>
      </c>
      <c r="G163" s="47" t="s">
        <v>1506</v>
      </c>
      <c r="H163" s="24" t="s">
        <v>642</v>
      </c>
      <c r="I163" s="44">
        <v>1</v>
      </c>
      <c r="J163" s="24" t="s">
        <v>1</v>
      </c>
      <c r="K163" s="103">
        <v>37305</v>
      </c>
      <c r="L163" s="46">
        <f t="shared" si="12"/>
        <v>37305</v>
      </c>
      <c r="M163" s="173">
        <f t="shared" si="15"/>
        <v>3.7304999999999999E-3</v>
      </c>
      <c r="N163" s="144">
        <v>0</v>
      </c>
      <c r="O163" s="146">
        <f t="shared" si="17"/>
        <v>0</v>
      </c>
      <c r="P163" s="144">
        <v>0</v>
      </c>
      <c r="Q163" s="146">
        <f t="shared" si="14"/>
        <v>0</v>
      </c>
      <c r="R163" s="133">
        <f t="shared" si="16"/>
        <v>0</v>
      </c>
      <c r="S163" s="23" t="s">
        <v>1493</v>
      </c>
      <c r="T163" s="45" t="s">
        <v>1479</v>
      </c>
      <c r="AA163"/>
    </row>
    <row r="164" spans="1:27" s="45" customFormat="1" ht="12.75" x14ac:dyDescent="0.2">
      <c r="A164" s="24" t="s">
        <v>1502</v>
      </c>
      <c r="B164" s="174">
        <v>44652</v>
      </c>
      <c r="C164" s="23" t="s">
        <v>389</v>
      </c>
      <c r="D164" s="106">
        <v>5001652</v>
      </c>
      <c r="E164" s="24" t="s">
        <v>214</v>
      </c>
      <c r="F164" s="44" t="s">
        <v>426</v>
      </c>
      <c r="G164" s="47" t="s">
        <v>1506</v>
      </c>
      <c r="H164" s="24" t="s">
        <v>650</v>
      </c>
      <c r="I164" s="44">
        <v>1</v>
      </c>
      <c r="J164" s="24" t="s">
        <v>1</v>
      </c>
      <c r="K164" s="103">
        <v>137145</v>
      </c>
      <c r="L164" s="46">
        <f t="shared" si="12"/>
        <v>137145</v>
      </c>
      <c r="M164" s="173">
        <f t="shared" si="15"/>
        <v>1.3714499999999999E-2</v>
      </c>
      <c r="N164" s="144">
        <v>0.99132777042056131</v>
      </c>
      <c r="O164" s="146">
        <f t="shared" si="17"/>
        <v>135955.64707432789</v>
      </c>
      <c r="P164" s="144">
        <v>19.073816666666669</v>
      </c>
      <c r="Q164" s="146">
        <f t="shared" si="14"/>
        <v>2615878.5867500002</v>
      </c>
      <c r="R164" s="133">
        <f t="shared" si="16"/>
        <v>0.26158785867500001</v>
      </c>
      <c r="S164" s="23" t="s">
        <v>1493</v>
      </c>
      <c r="T164" s="45" t="s">
        <v>1479</v>
      </c>
      <c r="AA164"/>
    </row>
    <row r="165" spans="1:27" s="45" customFormat="1" ht="12.75" x14ac:dyDescent="0.2">
      <c r="A165" s="24" t="s">
        <v>1502</v>
      </c>
      <c r="B165" s="174">
        <v>44652</v>
      </c>
      <c r="C165" s="23" t="s">
        <v>389</v>
      </c>
      <c r="D165" s="106">
        <v>5006242</v>
      </c>
      <c r="E165" s="24" t="s">
        <v>321</v>
      </c>
      <c r="F165" s="44" t="s">
        <v>426</v>
      </c>
      <c r="G165" s="47" t="s">
        <v>1506</v>
      </c>
      <c r="H165" s="24" t="s">
        <v>653</v>
      </c>
      <c r="I165" s="44">
        <v>1</v>
      </c>
      <c r="J165" s="24" t="s">
        <v>7</v>
      </c>
      <c r="K165" s="103">
        <v>48</v>
      </c>
      <c r="L165" s="46">
        <f t="shared" si="12"/>
        <v>48</v>
      </c>
      <c r="M165" s="173">
        <f t="shared" si="15"/>
        <v>4.7999999999999998E-6</v>
      </c>
      <c r="N165" s="144">
        <v>0</v>
      </c>
      <c r="O165" s="146">
        <f t="shared" si="17"/>
        <v>0</v>
      </c>
      <c r="P165" s="144">
        <v>0</v>
      </c>
      <c r="Q165" s="146">
        <f t="shared" si="14"/>
        <v>0</v>
      </c>
      <c r="R165" s="133">
        <f t="shared" si="16"/>
        <v>0</v>
      </c>
      <c r="S165" s="23" t="s">
        <v>1493</v>
      </c>
      <c r="T165" s="45" t="s">
        <v>1479</v>
      </c>
      <c r="AA165"/>
    </row>
    <row r="166" spans="1:27" s="45" customFormat="1" ht="12.75" x14ac:dyDescent="0.2">
      <c r="A166" s="24" t="s">
        <v>1502</v>
      </c>
      <c r="B166" s="174">
        <v>44652</v>
      </c>
      <c r="C166" s="23" t="s">
        <v>389</v>
      </c>
      <c r="D166" s="106">
        <v>5001618</v>
      </c>
      <c r="E166" s="24" t="s">
        <v>321</v>
      </c>
      <c r="F166" s="44" t="s">
        <v>426</v>
      </c>
      <c r="G166" s="47" t="s">
        <v>1506</v>
      </c>
      <c r="H166" s="24" t="s">
        <v>663</v>
      </c>
      <c r="I166" s="44">
        <v>1</v>
      </c>
      <c r="J166" s="24" t="s">
        <v>7</v>
      </c>
      <c r="K166" s="103">
        <v>3127</v>
      </c>
      <c r="L166" s="46">
        <f t="shared" si="12"/>
        <v>3127</v>
      </c>
      <c r="M166" s="173">
        <f t="shared" si="15"/>
        <v>3.1270000000000001E-4</v>
      </c>
      <c r="N166" s="144">
        <v>7.1825995807127878</v>
      </c>
      <c r="O166" s="146">
        <f t="shared" si="17"/>
        <v>22459.988888888889</v>
      </c>
      <c r="P166" s="144">
        <v>986.01749999999993</v>
      </c>
      <c r="Q166" s="146">
        <f t="shared" si="14"/>
        <v>3083276.7224999997</v>
      </c>
      <c r="R166" s="133">
        <f t="shared" si="16"/>
        <v>0.30832767224999996</v>
      </c>
      <c r="S166" s="23" t="s">
        <v>1493</v>
      </c>
      <c r="T166" s="45" t="s">
        <v>1479</v>
      </c>
      <c r="AA166"/>
    </row>
    <row r="167" spans="1:27" s="45" customFormat="1" ht="12.75" x14ac:dyDescent="0.2">
      <c r="A167" s="24" t="s">
        <v>1502</v>
      </c>
      <c r="B167" s="174">
        <v>44652</v>
      </c>
      <c r="C167" s="23" t="s">
        <v>389</v>
      </c>
      <c r="D167" s="106">
        <v>5006243</v>
      </c>
      <c r="E167" s="24" t="s">
        <v>214</v>
      </c>
      <c r="F167" s="44" t="s">
        <v>426</v>
      </c>
      <c r="G167" s="47" t="s">
        <v>1506</v>
      </c>
      <c r="H167" s="24" t="s">
        <v>641</v>
      </c>
      <c r="I167" s="44">
        <v>1</v>
      </c>
      <c r="J167" s="24" t="s">
        <v>1</v>
      </c>
      <c r="K167" s="103">
        <v>38745</v>
      </c>
      <c r="L167" s="46">
        <f t="shared" si="12"/>
        <v>38745</v>
      </c>
      <c r="M167" s="173">
        <f t="shared" si="15"/>
        <v>3.8744999999999999E-3</v>
      </c>
      <c r="N167" s="144">
        <v>0</v>
      </c>
      <c r="O167" s="146">
        <f t="shared" si="17"/>
        <v>0</v>
      </c>
      <c r="P167" s="144">
        <v>0</v>
      </c>
      <c r="Q167" s="146">
        <f t="shared" si="14"/>
        <v>0</v>
      </c>
      <c r="R167" s="133">
        <f t="shared" si="16"/>
        <v>0</v>
      </c>
      <c r="S167" s="23" t="s">
        <v>1493</v>
      </c>
      <c r="T167" s="45" t="s">
        <v>1479</v>
      </c>
      <c r="AA167"/>
    </row>
    <row r="168" spans="1:27" s="45" customFormat="1" ht="12.75" x14ac:dyDescent="0.2">
      <c r="A168" s="24" t="s">
        <v>1502</v>
      </c>
      <c r="B168" s="174">
        <v>44652</v>
      </c>
      <c r="C168" s="23" t="s">
        <v>389</v>
      </c>
      <c r="D168" s="106">
        <v>5001618</v>
      </c>
      <c r="E168" s="24" t="s">
        <v>321</v>
      </c>
      <c r="F168" s="44" t="s">
        <v>426</v>
      </c>
      <c r="G168" s="47" t="s">
        <v>1506</v>
      </c>
      <c r="H168" s="24" t="s">
        <v>676</v>
      </c>
      <c r="I168" s="44">
        <v>1</v>
      </c>
      <c r="J168" s="24" t="s">
        <v>7</v>
      </c>
      <c r="K168" s="103">
        <v>3111</v>
      </c>
      <c r="L168" s="46">
        <f t="shared" si="12"/>
        <v>3111</v>
      </c>
      <c r="M168" s="173">
        <f t="shared" si="15"/>
        <v>3.1110000000000003E-4</v>
      </c>
      <c r="N168" s="144">
        <v>7.1825995807127878</v>
      </c>
      <c r="O168" s="146">
        <f t="shared" si="17"/>
        <v>22345.067295597484</v>
      </c>
      <c r="P168" s="144">
        <v>986.01749999999993</v>
      </c>
      <c r="Q168" s="146">
        <f t="shared" si="14"/>
        <v>3067500.4424999999</v>
      </c>
      <c r="R168" s="133">
        <f t="shared" si="16"/>
        <v>0.30675004424999996</v>
      </c>
      <c r="S168" s="23" t="s">
        <v>1493</v>
      </c>
      <c r="T168" s="45" t="s">
        <v>1479</v>
      </c>
      <c r="AA168"/>
    </row>
    <row r="169" spans="1:27" s="45" customFormat="1" ht="12.75" x14ac:dyDescent="0.2">
      <c r="A169" s="24" t="s">
        <v>1502</v>
      </c>
      <c r="B169" s="174">
        <v>44652</v>
      </c>
      <c r="C169" s="23" t="s">
        <v>389</v>
      </c>
      <c r="D169" s="106">
        <v>5006243</v>
      </c>
      <c r="E169" s="24" t="s">
        <v>214</v>
      </c>
      <c r="F169" s="44" t="s">
        <v>426</v>
      </c>
      <c r="G169" s="47" t="s">
        <v>1506</v>
      </c>
      <c r="H169" s="24" t="s">
        <v>653</v>
      </c>
      <c r="I169" s="44">
        <v>1</v>
      </c>
      <c r="J169" s="24" t="s">
        <v>1</v>
      </c>
      <c r="K169" s="103">
        <v>39165</v>
      </c>
      <c r="L169" s="46">
        <f t="shared" si="12"/>
        <v>39165</v>
      </c>
      <c r="M169" s="173">
        <f t="shared" si="15"/>
        <v>3.9164999999999998E-3</v>
      </c>
      <c r="N169" s="144">
        <v>0</v>
      </c>
      <c r="O169" s="146">
        <f t="shared" si="17"/>
        <v>0</v>
      </c>
      <c r="P169" s="144">
        <v>0</v>
      </c>
      <c r="Q169" s="146">
        <f t="shared" si="14"/>
        <v>0</v>
      </c>
      <c r="R169" s="133">
        <f t="shared" si="16"/>
        <v>0</v>
      </c>
      <c r="S169" s="23" t="s">
        <v>1493</v>
      </c>
      <c r="T169" s="45" t="s">
        <v>1479</v>
      </c>
      <c r="AA169"/>
    </row>
    <row r="170" spans="1:27" s="45" customFormat="1" ht="12.75" x14ac:dyDescent="0.2">
      <c r="A170" s="24" t="s">
        <v>1502</v>
      </c>
      <c r="B170" s="174">
        <v>44652</v>
      </c>
      <c r="C170" s="23" t="s">
        <v>389</v>
      </c>
      <c r="D170" s="106">
        <v>5001618</v>
      </c>
      <c r="E170" s="24" t="s">
        <v>321</v>
      </c>
      <c r="F170" s="44" t="s">
        <v>426</v>
      </c>
      <c r="G170" s="47" t="s">
        <v>1506</v>
      </c>
      <c r="H170" s="24" t="s">
        <v>687</v>
      </c>
      <c r="I170" s="44">
        <v>1</v>
      </c>
      <c r="J170" s="24" t="s">
        <v>7</v>
      </c>
      <c r="K170" s="103">
        <v>3159</v>
      </c>
      <c r="L170" s="46">
        <f t="shared" si="12"/>
        <v>3159</v>
      </c>
      <c r="M170" s="173">
        <f t="shared" si="15"/>
        <v>3.1589999999999998E-4</v>
      </c>
      <c r="N170" s="144">
        <v>7.1825995807127878</v>
      </c>
      <c r="O170" s="146">
        <f t="shared" si="17"/>
        <v>22689.832075471695</v>
      </c>
      <c r="P170" s="144">
        <v>986.01749999999993</v>
      </c>
      <c r="Q170" s="146">
        <f t="shared" si="14"/>
        <v>3114829.2824999997</v>
      </c>
      <c r="R170" s="133">
        <f t="shared" si="16"/>
        <v>0.31148292824999996</v>
      </c>
      <c r="S170" s="23" t="s">
        <v>1493</v>
      </c>
      <c r="T170" s="45" t="s">
        <v>1479</v>
      </c>
      <c r="AA170"/>
    </row>
    <row r="171" spans="1:27" s="45" customFormat="1" ht="12.75" x14ac:dyDescent="0.2">
      <c r="A171" s="24" t="s">
        <v>1502</v>
      </c>
      <c r="B171" s="174">
        <v>44652</v>
      </c>
      <c r="C171" s="23" t="s">
        <v>389</v>
      </c>
      <c r="D171" s="106">
        <v>5001652</v>
      </c>
      <c r="E171" s="24" t="s">
        <v>214</v>
      </c>
      <c r="F171" s="44" t="s">
        <v>426</v>
      </c>
      <c r="G171" s="47" t="s">
        <v>1506</v>
      </c>
      <c r="H171" s="24" t="s">
        <v>688</v>
      </c>
      <c r="I171" s="44">
        <v>1</v>
      </c>
      <c r="J171" s="24" t="s">
        <v>1</v>
      </c>
      <c r="K171" s="103">
        <v>136965</v>
      </c>
      <c r="L171" s="46">
        <f t="shared" si="12"/>
        <v>136965</v>
      </c>
      <c r="M171" s="173">
        <f t="shared" si="15"/>
        <v>1.36965E-2</v>
      </c>
      <c r="N171" s="144">
        <v>0.99132777042056131</v>
      </c>
      <c r="O171" s="146">
        <f t="shared" si="17"/>
        <v>135777.20807565219</v>
      </c>
      <c r="P171" s="144">
        <v>19.073816666666669</v>
      </c>
      <c r="Q171" s="146">
        <f t="shared" si="14"/>
        <v>2612445.2997500002</v>
      </c>
      <c r="R171" s="133">
        <f t="shared" si="16"/>
        <v>0.26124452997500003</v>
      </c>
      <c r="S171" s="23" t="s">
        <v>1493</v>
      </c>
      <c r="T171" s="45" t="s">
        <v>1479</v>
      </c>
      <c r="AA171"/>
    </row>
    <row r="172" spans="1:27" s="45" customFormat="1" ht="12.75" x14ac:dyDescent="0.2">
      <c r="A172" s="24" t="s">
        <v>1502</v>
      </c>
      <c r="B172" s="174">
        <v>44652</v>
      </c>
      <c r="C172" s="23" t="s">
        <v>389</v>
      </c>
      <c r="D172" s="106">
        <v>5001652</v>
      </c>
      <c r="E172" s="24" t="s">
        <v>214</v>
      </c>
      <c r="F172" s="44" t="s">
        <v>426</v>
      </c>
      <c r="G172" s="47" t="s">
        <v>1506</v>
      </c>
      <c r="H172" s="24" t="s">
        <v>695</v>
      </c>
      <c r="I172" s="44">
        <v>1</v>
      </c>
      <c r="J172" s="24" t="s">
        <v>1</v>
      </c>
      <c r="K172" s="103">
        <v>138225</v>
      </c>
      <c r="L172" s="46">
        <f t="shared" si="12"/>
        <v>138225</v>
      </c>
      <c r="M172" s="173">
        <f t="shared" si="15"/>
        <v>1.38225E-2</v>
      </c>
      <c r="N172" s="144">
        <v>0.99132777042056131</v>
      </c>
      <c r="O172" s="146">
        <f t="shared" si="17"/>
        <v>137026.2810663821</v>
      </c>
      <c r="P172" s="144">
        <v>19.073816666666669</v>
      </c>
      <c r="Q172" s="146">
        <f t="shared" si="14"/>
        <v>2636478.3087500003</v>
      </c>
      <c r="R172" s="133">
        <f t="shared" si="16"/>
        <v>0.26364783087500004</v>
      </c>
      <c r="S172" s="23" t="s">
        <v>1493</v>
      </c>
      <c r="T172" s="45" t="s">
        <v>1479</v>
      </c>
      <c r="AA172"/>
    </row>
    <row r="173" spans="1:27" s="45" customFormat="1" ht="12.75" x14ac:dyDescent="0.2">
      <c r="A173" s="24" t="s">
        <v>1502</v>
      </c>
      <c r="B173" s="174">
        <v>44652</v>
      </c>
      <c r="C173" s="23" t="s">
        <v>389</v>
      </c>
      <c r="D173" s="106">
        <v>5001299</v>
      </c>
      <c r="E173" s="24" t="s">
        <v>323</v>
      </c>
      <c r="F173" s="44" t="s">
        <v>424</v>
      </c>
      <c r="G173" s="47" t="s">
        <v>1506</v>
      </c>
      <c r="H173" s="24" t="s">
        <v>705</v>
      </c>
      <c r="I173" s="44">
        <v>1</v>
      </c>
      <c r="J173" s="24" t="s">
        <v>7</v>
      </c>
      <c r="K173" s="103">
        <v>19040</v>
      </c>
      <c r="L173" s="46">
        <f t="shared" si="12"/>
        <v>19040</v>
      </c>
      <c r="M173" s="173">
        <f t="shared" si="15"/>
        <v>1.9040000000000001E-3</v>
      </c>
      <c r="N173" s="144">
        <v>0.86199999999999999</v>
      </c>
      <c r="O173" s="146">
        <f t="shared" si="17"/>
        <v>16412.48</v>
      </c>
      <c r="P173" s="144">
        <v>113.68499999999999</v>
      </c>
      <c r="Q173" s="146">
        <f t="shared" si="14"/>
        <v>2164562.4</v>
      </c>
      <c r="R173" s="133">
        <f t="shared" si="16"/>
        <v>0.21645623999999999</v>
      </c>
      <c r="S173" s="23" t="s">
        <v>1493</v>
      </c>
      <c r="T173" s="45" t="s">
        <v>1479</v>
      </c>
      <c r="AA173"/>
    </row>
    <row r="174" spans="1:27" s="45" customFormat="1" ht="12.75" x14ac:dyDescent="0.2">
      <c r="A174" s="24" t="s">
        <v>1502</v>
      </c>
      <c r="B174" s="174">
        <v>44652</v>
      </c>
      <c r="C174" s="23" t="s">
        <v>389</v>
      </c>
      <c r="D174" s="106">
        <v>5001652</v>
      </c>
      <c r="E174" s="24" t="s">
        <v>214</v>
      </c>
      <c r="F174" s="44" t="s">
        <v>426</v>
      </c>
      <c r="G174" s="47" t="s">
        <v>1506</v>
      </c>
      <c r="H174" s="24" t="s">
        <v>709</v>
      </c>
      <c r="I174" s="44">
        <v>1</v>
      </c>
      <c r="J174" s="24" t="s">
        <v>1</v>
      </c>
      <c r="K174" s="103">
        <v>134870</v>
      </c>
      <c r="L174" s="46">
        <f t="shared" si="12"/>
        <v>134870</v>
      </c>
      <c r="M174" s="173">
        <f t="shared" si="15"/>
        <v>1.3487000000000001E-2</v>
      </c>
      <c r="N174" s="144">
        <v>0.99132777042056131</v>
      </c>
      <c r="O174" s="146">
        <f t="shared" si="17"/>
        <v>133700.37639662111</v>
      </c>
      <c r="P174" s="144">
        <v>19.073816666666669</v>
      </c>
      <c r="Q174" s="146">
        <f t="shared" si="14"/>
        <v>2572485.6538333339</v>
      </c>
      <c r="R174" s="133">
        <f t="shared" si="16"/>
        <v>0.25724856538333341</v>
      </c>
      <c r="S174" s="23" t="s">
        <v>1493</v>
      </c>
      <c r="T174" s="45" t="s">
        <v>1479</v>
      </c>
      <c r="AA174"/>
    </row>
    <row r="175" spans="1:27" s="45" customFormat="1" ht="12.75" x14ac:dyDescent="0.2">
      <c r="A175" s="24" t="s">
        <v>1502</v>
      </c>
      <c r="B175" s="174">
        <v>44652</v>
      </c>
      <c r="C175" s="23" t="s">
        <v>389</v>
      </c>
      <c r="D175" s="106">
        <v>5001299</v>
      </c>
      <c r="E175" s="24" t="s">
        <v>323</v>
      </c>
      <c r="F175" s="44" t="s">
        <v>424</v>
      </c>
      <c r="G175" s="47" t="s">
        <v>1506</v>
      </c>
      <c r="H175" s="24" t="s">
        <v>711</v>
      </c>
      <c r="I175" s="44">
        <v>1</v>
      </c>
      <c r="J175" s="24" t="s">
        <v>7</v>
      </c>
      <c r="K175" s="103">
        <v>19340</v>
      </c>
      <c r="L175" s="46">
        <f t="shared" si="12"/>
        <v>19340</v>
      </c>
      <c r="M175" s="173">
        <f t="shared" si="15"/>
        <v>1.934E-3</v>
      </c>
      <c r="N175" s="144">
        <v>0.86199999999999999</v>
      </c>
      <c r="O175" s="146">
        <f t="shared" si="17"/>
        <v>16671.079999999998</v>
      </c>
      <c r="P175" s="144">
        <v>113.68499999999999</v>
      </c>
      <c r="Q175" s="146">
        <f t="shared" si="14"/>
        <v>2198667.9</v>
      </c>
      <c r="R175" s="133">
        <f t="shared" si="16"/>
        <v>0.21986678999999998</v>
      </c>
      <c r="S175" s="23" t="s">
        <v>1493</v>
      </c>
      <c r="T175" s="45" t="s">
        <v>1479</v>
      </c>
      <c r="AA175"/>
    </row>
    <row r="176" spans="1:27" s="45" customFormat="1" ht="12.75" x14ac:dyDescent="0.2">
      <c r="A176" s="24" t="s">
        <v>1502</v>
      </c>
      <c r="B176" s="174">
        <v>44652</v>
      </c>
      <c r="C176" s="23" t="s">
        <v>389</v>
      </c>
      <c r="D176" s="106">
        <v>5001652</v>
      </c>
      <c r="E176" s="24" t="s">
        <v>214</v>
      </c>
      <c r="F176" s="44" t="s">
        <v>426</v>
      </c>
      <c r="G176" s="47" t="s">
        <v>1506</v>
      </c>
      <c r="H176" s="24" t="s">
        <v>725</v>
      </c>
      <c r="I176" s="44">
        <v>1</v>
      </c>
      <c r="J176" s="24" t="s">
        <v>1</v>
      </c>
      <c r="K176" s="103">
        <v>135525</v>
      </c>
      <c r="L176" s="46">
        <f t="shared" si="12"/>
        <v>135525</v>
      </c>
      <c r="M176" s="173">
        <f t="shared" si="15"/>
        <v>1.35525E-2</v>
      </c>
      <c r="N176" s="144">
        <v>0.99132777042056131</v>
      </c>
      <c r="O176" s="146">
        <f t="shared" si="17"/>
        <v>134349.69608624658</v>
      </c>
      <c r="P176" s="144">
        <v>19.073816666666669</v>
      </c>
      <c r="Q176" s="146">
        <f t="shared" si="14"/>
        <v>2584979.0037500001</v>
      </c>
      <c r="R176" s="133">
        <f t="shared" si="16"/>
        <v>0.25849790037500003</v>
      </c>
      <c r="S176" s="23" t="s">
        <v>1493</v>
      </c>
      <c r="T176" s="45" t="s">
        <v>1479</v>
      </c>
      <c r="AA176"/>
    </row>
    <row r="177" spans="1:27" s="45" customFormat="1" ht="12.75" x14ac:dyDescent="0.2">
      <c r="A177" s="24" t="s">
        <v>1502</v>
      </c>
      <c r="B177" s="174">
        <v>44652</v>
      </c>
      <c r="C177" s="23" t="s">
        <v>389</v>
      </c>
      <c r="D177" s="106">
        <v>5000200</v>
      </c>
      <c r="E177" s="24" t="s">
        <v>394</v>
      </c>
      <c r="F177" s="44" t="s">
        <v>424</v>
      </c>
      <c r="G177" s="47" t="s">
        <v>264</v>
      </c>
      <c r="H177" s="24" t="s">
        <v>588</v>
      </c>
      <c r="I177" s="44">
        <v>6</v>
      </c>
      <c r="J177" s="24" t="s">
        <v>3</v>
      </c>
      <c r="K177" s="103">
        <v>309555</v>
      </c>
      <c r="L177" s="46">
        <f t="shared" si="12"/>
        <v>1857330</v>
      </c>
      <c r="M177" s="173">
        <f t="shared" si="15"/>
        <v>0.18573300000000001</v>
      </c>
      <c r="N177" s="144">
        <v>0.28375510204081633</v>
      </c>
      <c r="O177" s="146">
        <f t="shared" ref="O177:O240" si="18">+K177*N177</f>
        <v>87837.810612244895</v>
      </c>
      <c r="P177" s="144">
        <v>19.479449996898072</v>
      </c>
      <c r="Q177" s="146">
        <f t="shared" si="14"/>
        <v>6029961.1437897831</v>
      </c>
      <c r="R177" s="133">
        <f t="shared" si="16"/>
        <v>0.60299611437897827</v>
      </c>
      <c r="S177" s="23" t="s">
        <v>1493</v>
      </c>
      <c r="T177" s="45" t="s">
        <v>1479</v>
      </c>
      <c r="AA177"/>
    </row>
    <row r="178" spans="1:27" s="45" customFormat="1" ht="12.75" x14ac:dyDescent="0.2">
      <c r="A178" s="24" t="s">
        <v>1502</v>
      </c>
      <c r="B178" s="174">
        <v>44652</v>
      </c>
      <c r="C178" s="23" t="s">
        <v>389</v>
      </c>
      <c r="D178" s="106">
        <v>5001351</v>
      </c>
      <c r="E178" s="24" t="s">
        <v>222</v>
      </c>
      <c r="F178" s="44" t="s">
        <v>424</v>
      </c>
      <c r="G178" s="47" t="s">
        <v>264</v>
      </c>
      <c r="H178" s="24" t="s">
        <v>591</v>
      </c>
      <c r="I178" s="44">
        <v>18</v>
      </c>
      <c r="J178" s="24" t="s">
        <v>3</v>
      </c>
      <c r="K178" s="103">
        <v>190248</v>
      </c>
      <c r="L178" s="46">
        <f t="shared" si="12"/>
        <v>3424464</v>
      </c>
      <c r="M178" s="173">
        <f t="shared" si="15"/>
        <v>0.34244639999999998</v>
      </c>
      <c r="N178" s="144">
        <v>0.42861224489795918</v>
      </c>
      <c r="O178" s="146">
        <f t="shared" si="18"/>
        <v>81542.622367346936</v>
      </c>
      <c r="P178" s="144">
        <v>32.777849881796691</v>
      </c>
      <c r="Q178" s="146">
        <f t="shared" si="14"/>
        <v>6235920.3843120569</v>
      </c>
      <c r="R178" s="133">
        <f t="shared" si="16"/>
        <v>0.6235920384312057</v>
      </c>
      <c r="S178" s="23" t="s">
        <v>1493</v>
      </c>
      <c r="T178" s="45" t="s">
        <v>1479</v>
      </c>
      <c r="AA178"/>
    </row>
    <row r="179" spans="1:27" s="45" customFormat="1" ht="12.75" x14ac:dyDescent="0.2">
      <c r="A179" s="24" t="s">
        <v>1502</v>
      </c>
      <c r="B179" s="174">
        <v>44652</v>
      </c>
      <c r="C179" s="23" t="s">
        <v>389</v>
      </c>
      <c r="D179" s="106">
        <v>5001534</v>
      </c>
      <c r="E179" s="24" t="s">
        <v>213</v>
      </c>
      <c r="F179" s="44" t="s">
        <v>426</v>
      </c>
      <c r="G179" s="47" t="s">
        <v>264</v>
      </c>
      <c r="H179" s="24" t="s">
        <v>592</v>
      </c>
      <c r="I179" s="44">
        <v>90</v>
      </c>
      <c r="J179" s="24" t="s">
        <v>7</v>
      </c>
      <c r="K179" s="103">
        <v>11455</v>
      </c>
      <c r="L179" s="46">
        <f t="shared" si="12"/>
        <v>1030950</v>
      </c>
      <c r="M179" s="173">
        <f t="shared" si="15"/>
        <v>0.10309500000000001</v>
      </c>
      <c r="N179" s="144">
        <v>3.0630208333333333</v>
      </c>
      <c r="O179" s="146">
        <f t="shared" si="18"/>
        <v>35086.903645833336</v>
      </c>
      <c r="P179" s="144">
        <v>144.11024929527838</v>
      </c>
      <c r="Q179" s="146">
        <f t="shared" si="14"/>
        <v>1650782.9056774138</v>
      </c>
      <c r="R179" s="133">
        <f t="shared" si="16"/>
        <v>0.16507829056774137</v>
      </c>
      <c r="S179" s="23" t="s">
        <v>1493</v>
      </c>
      <c r="T179" s="45" t="s">
        <v>1479</v>
      </c>
      <c r="AA179"/>
    </row>
    <row r="180" spans="1:27" s="45" customFormat="1" ht="12.75" x14ac:dyDescent="0.2">
      <c r="A180" s="24" t="s">
        <v>1502</v>
      </c>
      <c r="B180" s="174">
        <v>44652</v>
      </c>
      <c r="C180" s="23" t="s">
        <v>389</v>
      </c>
      <c r="D180" s="106">
        <v>5002960</v>
      </c>
      <c r="E180" s="24" t="s">
        <v>221</v>
      </c>
      <c r="F180" s="44" t="s">
        <v>426</v>
      </c>
      <c r="G180" s="47" t="s">
        <v>264</v>
      </c>
      <c r="H180" s="24" t="s">
        <v>593</v>
      </c>
      <c r="I180" s="44">
        <v>100</v>
      </c>
      <c r="J180" s="24" t="s">
        <v>7</v>
      </c>
      <c r="K180" s="103">
        <v>19167</v>
      </c>
      <c r="L180" s="46">
        <f t="shared" si="12"/>
        <v>1916700</v>
      </c>
      <c r="M180" s="173">
        <f t="shared" si="15"/>
        <v>0.19167000000000001</v>
      </c>
      <c r="N180" s="144">
        <v>2.2000000000000002</v>
      </c>
      <c r="O180" s="146">
        <f t="shared" si="18"/>
        <v>42167.4</v>
      </c>
      <c r="P180" s="144">
        <v>104.3</v>
      </c>
      <c r="Q180" s="146">
        <f t="shared" si="14"/>
        <v>1999118.0999999999</v>
      </c>
      <c r="R180" s="133">
        <f t="shared" si="16"/>
        <v>0.19991181</v>
      </c>
      <c r="S180" s="23" t="s">
        <v>1493</v>
      </c>
      <c r="T180" s="45" t="s">
        <v>1479</v>
      </c>
      <c r="AA180"/>
    </row>
    <row r="181" spans="1:27" s="45" customFormat="1" ht="12.75" x14ac:dyDescent="0.2">
      <c r="A181" s="24" t="s">
        <v>1502</v>
      </c>
      <c r="B181" s="174">
        <v>44652</v>
      </c>
      <c r="C181" s="23" t="s">
        <v>389</v>
      </c>
      <c r="D181" s="106">
        <v>5002960</v>
      </c>
      <c r="E181" s="24" t="s">
        <v>221</v>
      </c>
      <c r="F181" s="44" t="s">
        <v>426</v>
      </c>
      <c r="G181" s="47" t="s">
        <v>264</v>
      </c>
      <c r="H181" s="24" t="s">
        <v>594</v>
      </c>
      <c r="I181" s="44">
        <v>100</v>
      </c>
      <c r="J181" s="24" t="s">
        <v>7</v>
      </c>
      <c r="K181" s="103">
        <v>19167</v>
      </c>
      <c r="L181" s="46">
        <f t="shared" si="12"/>
        <v>1916700</v>
      </c>
      <c r="M181" s="173">
        <f t="shared" si="15"/>
        <v>0.19167000000000001</v>
      </c>
      <c r="N181" s="144">
        <v>2.2000000000000002</v>
      </c>
      <c r="O181" s="146">
        <f t="shared" si="18"/>
        <v>42167.4</v>
      </c>
      <c r="P181" s="144">
        <v>104.3</v>
      </c>
      <c r="Q181" s="146">
        <f t="shared" si="14"/>
        <v>1999118.0999999999</v>
      </c>
      <c r="R181" s="133">
        <f t="shared" si="16"/>
        <v>0.19991181</v>
      </c>
      <c r="S181" s="23" t="s">
        <v>1493</v>
      </c>
      <c r="T181" s="45" t="s">
        <v>1479</v>
      </c>
      <c r="AA181"/>
    </row>
    <row r="182" spans="1:27" s="45" customFormat="1" ht="12.75" x14ac:dyDescent="0.2">
      <c r="A182" s="24" t="s">
        <v>1502</v>
      </c>
      <c r="B182" s="174">
        <v>44652</v>
      </c>
      <c r="C182" s="23" t="s">
        <v>389</v>
      </c>
      <c r="D182" s="106">
        <v>5004756</v>
      </c>
      <c r="E182" s="24" t="s">
        <v>217</v>
      </c>
      <c r="F182" s="44" t="s">
        <v>426</v>
      </c>
      <c r="G182" s="47" t="s">
        <v>264</v>
      </c>
      <c r="H182" s="24" t="s">
        <v>595</v>
      </c>
      <c r="I182" s="44">
        <v>60</v>
      </c>
      <c r="J182" s="24" t="s">
        <v>7</v>
      </c>
      <c r="K182" s="103">
        <v>8216</v>
      </c>
      <c r="L182" s="46">
        <f t="shared" si="12"/>
        <v>492960</v>
      </c>
      <c r="M182" s="173">
        <f t="shared" si="15"/>
        <v>4.9296E-2</v>
      </c>
      <c r="N182" s="144">
        <v>3.0345833333333334</v>
      </c>
      <c r="O182" s="146">
        <f t="shared" si="18"/>
        <v>24932.136666666669</v>
      </c>
      <c r="P182" s="144">
        <v>319.98750000000001</v>
      </c>
      <c r="Q182" s="146">
        <f t="shared" si="14"/>
        <v>2629017.3000000003</v>
      </c>
      <c r="R182" s="133">
        <f t="shared" si="16"/>
        <v>0.26290173000000006</v>
      </c>
      <c r="S182" s="23" t="s">
        <v>1493</v>
      </c>
      <c r="T182" s="45" t="s">
        <v>1479</v>
      </c>
      <c r="AA182"/>
    </row>
    <row r="183" spans="1:27" s="45" customFormat="1" ht="12.75" x14ac:dyDescent="0.2">
      <c r="A183" s="24" t="s">
        <v>1502</v>
      </c>
      <c r="B183" s="174">
        <v>44652</v>
      </c>
      <c r="C183" s="23" t="s">
        <v>389</v>
      </c>
      <c r="D183" s="106">
        <v>5006034</v>
      </c>
      <c r="E183" s="24" t="s">
        <v>218</v>
      </c>
      <c r="F183" s="44" t="s">
        <v>424</v>
      </c>
      <c r="G183" s="47" t="s">
        <v>264</v>
      </c>
      <c r="H183" s="24" t="s">
        <v>596</v>
      </c>
      <c r="I183" s="44">
        <v>6</v>
      </c>
      <c r="J183" s="24" t="s">
        <v>3</v>
      </c>
      <c r="K183" s="103">
        <v>79050</v>
      </c>
      <c r="L183" s="46">
        <f t="shared" si="12"/>
        <v>474300</v>
      </c>
      <c r="M183" s="173">
        <f t="shared" si="15"/>
        <v>4.743E-2</v>
      </c>
      <c r="N183" s="144">
        <v>0.37546113989637309</v>
      </c>
      <c r="O183" s="146">
        <f t="shared" si="18"/>
        <v>29680.203108808291</v>
      </c>
      <c r="P183" s="144">
        <v>77.939732673267329</v>
      </c>
      <c r="Q183" s="146">
        <f t="shared" si="14"/>
        <v>6161135.8678217828</v>
      </c>
      <c r="R183" s="133">
        <f t="shared" si="16"/>
        <v>0.61611358678217831</v>
      </c>
      <c r="S183" s="23" t="s">
        <v>1493</v>
      </c>
      <c r="T183" s="45" t="s">
        <v>1479</v>
      </c>
      <c r="AA183"/>
    </row>
    <row r="184" spans="1:27" s="45" customFormat="1" ht="12.75" x14ac:dyDescent="0.2">
      <c r="A184" s="24" t="s">
        <v>1502</v>
      </c>
      <c r="B184" s="174">
        <v>44652</v>
      </c>
      <c r="C184" s="23" t="s">
        <v>389</v>
      </c>
      <c r="D184" s="106">
        <v>5001534</v>
      </c>
      <c r="E184" s="24" t="s">
        <v>213</v>
      </c>
      <c r="F184" s="44" t="s">
        <v>426</v>
      </c>
      <c r="G184" s="47" t="s">
        <v>264</v>
      </c>
      <c r="H184" s="24" t="s">
        <v>598</v>
      </c>
      <c r="I184" s="44">
        <v>90</v>
      </c>
      <c r="J184" s="24" t="s">
        <v>7</v>
      </c>
      <c r="K184" s="103">
        <v>11275</v>
      </c>
      <c r="L184" s="46">
        <f t="shared" ref="L184:L247" si="19">I184*K184</f>
        <v>1014750</v>
      </c>
      <c r="M184" s="173">
        <f t="shared" si="15"/>
        <v>0.101475</v>
      </c>
      <c r="N184" s="144">
        <v>3.0630208333333333</v>
      </c>
      <c r="O184" s="146">
        <f t="shared" si="18"/>
        <v>34535.559895833336</v>
      </c>
      <c r="P184" s="144">
        <v>144.11024929527838</v>
      </c>
      <c r="Q184" s="146">
        <f t="shared" si="14"/>
        <v>1624843.0608042637</v>
      </c>
      <c r="R184" s="133">
        <f t="shared" si="16"/>
        <v>0.16248430608042636</v>
      </c>
      <c r="S184" s="23" t="s">
        <v>1493</v>
      </c>
      <c r="T184" s="45" t="s">
        <v>1479</v>
      </c>
      <c r="AA184"/>
    </row>
    <row r="185" spans="1:27" s="45" customFormat="1" ht="12.75" x14ac:dyDescent="0.2">
      <c r="A185" s="24" t="s">
        <v>1502</v>
      </c>
      <c r="B185" s="174">
        <v>44652</v>
      </c>
      <c r="C185" s="23" t="s">
        <v>389</v>
      </c>
      <c r="D185" s="106">
        <v>5001534</v>
      </c>
      <c r="E185" s="24" t="s">
        <v>213</v>
      </c>
      <c r="F185" s="44" t="s">
        <v>426</v>
      </c>
      <c r="G185" s="47" t="s">
        <v>264</v>
      </c>
      <c r="H185" s="24" t="s">
        <v>599</v>
      </c>
      <c r="I185" s="44">
        <v>90</v>
      </c>
      <c r="J185" s="24" t="s">
        <v>7</v>
      </c>
      <c r="K185" s="103">
        <v>11407</v>
      </c>
      <c r="L185" s="46">
        <f t="shared" si="19"/>
        <v>1026630</v>
      </c>
      <c r="M185" s="173">
        <f t="shared" si="15"/>
        <v>0.102663</v>
      </c>
      <c r="N185" s="144">
        <v>3.0630208333333333</v>
      </c>
      <c r="O185" s="146">
        <f t="shared" si="18"/>
        <v>34939.878645833334</v>
      </c>
      <c r="P185" s="144">
        <v>144.11024929527838</v>
      </c>
      <c r="Q185" s="146">
        <f t="shared" si="14"/>
        <v>1643865.6137112405</v>
      </c>
      <c r="R185" s="133">
        <f t="shared" si="16"/>
        <v>0.16438656137112403</v>
      </c>
      <c r="S185" s="23" t="s">
        <v>1493</v>
      </c>
      <c r="T185" s="45" t="s">
        <v>1479</v>
      </c>
      <c r="AA185"/>
    </row>
    <row r="186" spans="1:27" s="45" customFormat="1" ht="12.75" x14ac:dyDescent="0.2">
      <c r="A186" s="24" t="s">
        <v>1502</v>
      </c>
      <c r="B186" s="174">
        <v>44652</v>
      </c>
      <c r="C186" s="23" t="s">
        <v>389</v>
      </c>
      <c r="D186" s="106">
        <v>5001552</v>
      </c>
      <c r="E186" s="24" t="s">
        <v>330</v>
      </c>
      <c r="F186" s="44" t="s">
        <v>426</v>
      </c>
      <c r="G186" s="47" t="s">
        <v>264</v>
      </c>
      <c r="H186" s="24" t="s">
        <v>600</v>
      </c>
      <c r="I186" s="44">
        <v>30</v>
      </c>
      <c r="J186" s="24" t="s">
        <v>7</v>
      </c>
      <c r="K186" s="103">
        <v>35019</v>
      </c>
      <c r="L186" s="46">
        <f t="shared" si="19"/>
        <v>1050570</v>
      </c>
      <c r="M186" s="173">
        <f t="shared" si="15"/>
        <v>0.105057</v>
      </c>
      <c r="N186" s="144">
        <v>1.3169791666666666</v>
      </c>
      <c r="O186" s="146">
        <f t="shared" si="18"/>
        <v>46119.293437499997</v>
      </c>
      <c r="P186" s="144">
        <v>60.67799988903684</v>
      </c>
      <c r="Q186" s="146">
        <f t="shared" si="14"/>
        <v>2124882.8781141811</v>
      </c>
      <c r="R186" s="133">
        <f t="shared" si="16"/>
        <v>0.2124882878114181</v>
      </c>
      <c r="S186" s="23" t="s">
        <v>1493</v>
      </c>
      <c r="T186" s="45" t="s">
        <v>1479</v>
      </c>
      <c r="AA186"/>
    </row>
    <row r="187" spans="1:27" s="45" customFormat="1" ht="12.75" x14ac:dyDescent="0.2">
      <c r="A187" s="24" t="s">
        <v>1502</v>
      </c>
      <c r="B187" s="174">
        <v>44652</v>
      </c>
      <c r="C187" s="23" t="s">
        <v>389</v>
      </c>
      <c r="D187" s="106">
        <v>5004885</v>
      </c>
      <c r="E187" s="24" t="s">
        <v>571</v>
      </c>
      <c r="F187" s="44" t="s">
        <v>426</v>
      </c>
      <c r="G187" s="47" t="s">
        <v>264</v>
      </c>
      <c r="H187" s="24" t="s">
        <v>601</v>
      </c>
      <c r="I187" s="44">
        <v>100</v>
      </c>
      <c r="J187" s="24" t="s">
        <v>7</v>
      </c>
      <c r="K187" s="103">
        <v>1211</v>
      </c>
      <c r="L187" s="46">
        <f t="shared" si="19"/>
        <v>121100</v>
      </c>
      <c r="M187" s="173">
        <f t="shared" si="15"/>
        <v>1.2109999999999999E-2</v>
      </c>
      <c r="N187" s="144">
        <v>0</v>
      </c>
      <c r="O187" s="146">
        <f t="shared" si="18"/>
        <v>0</v>
      </c>
      <c r="P187" s="144">
        <v>0</v>
      </c>
      <c r="Q187" s="146">
        <f t="shared" si="14"/>
        <v>0</v>
      </c>
      <c r="R187" s="133">
        <f t="shared" si="16"/>
        <v>0</v>
      </c>
      <c r="S187" s="23" t="s">
        <v>1493</v>
      </c>
      <c r="T187" s="45" t="s">
        <v>1479</v>
      </c>
      <c r="AA187"/>
    </row>
    <row r="188" spans="1:27" s="45" customFormat="1" ht="12.75" x14ac:dyDescent="0.2">
      <c r="A188" s="24" t="s">
        <v>1502</v>
      </c>
      <c r="B188" s="174">
        <v>44652</v>
      </c>
      <c r="C188" s="23" t="s">
        <v>389</v>
      </c>
      <c r="D188" s="106">
        <v>5006034</v>
      </c>
      <c r="E188" s="24" t="s">
        <v>218</v>
      </c>
      <c r="F188" s="44" t="s">
        <v>424</v>
      </c>
      <c r="G188" s="47" t="s">
        <v>264</v>
      </c>
      <c r="H188" s="24" t="s">
        <v>602</v>
      </c>
      <c r="I188" s="44">
        <v>6</v>
      </c>
      <c r="J188" s="24" t="s">
        <v>3</v>
      </c>
      <c r="K188" s="103">
        <v>78750</v>
      </c>
      <c r="L188" s="46">
        <f t="shared" si="19"/>
        <v>472500</v>
      </c>
      <c r="M188" s="173">
        <f t="shared" si="15"/>
        <v>4.725E-2</v>
      </c>
      <c r="N188" s="144">
        <v>0.37546113989637309</v>
      </c>
      <c r="O188" s="146">
        <f t="shared" si="18"/>
        <v>29567.564766839379</v>
      </c>
      <c r="P188" s="144">
        <v>77.939732673267329</v>
      </c>
      <c r="Q188" s="146">
        <f t="shared" si="14"/>
        <v>6137753.9480198026</v>
      </c>
      <c r="R188" s="133">
        <f t="shared" si="16"/>
        <v>0.61377539480198029</v>
      </c>
      <c r="S188" s="23" t="s">
        <v>1493</v>
      </c>
      <c r="T188" s="45" t="s">
        <v>1479</v>
      </c>
      <c r="AA188"/>
    </row>
    <row r="189" spans="1:27" s="45" customFormat="1" ht="12.75" x14ac:dyDescent="0.2">
      <c r="A189" s="24" t="s">
        <v>1502</v>
      </c>
      <c r="B189" s="174">
        <v>44652</v>
      </c>
      <c r="C189" s="23" t="s">
        <v>389</v>
      </c>
      <c r="D189" s="106">
        <v>5001352</v>
      </c>
      <c r="E189" s="24" t="s">
        <v>211</v>
      </c>
      <c r="F189" s="44" t="s">
        <v>424</v>
      </c>
      <c r="G189" s="47" t="s">
        <v>264</v>
      </c>
      <c r="H189" s="24" t="s">
        <v>604</v>
      </c>
      <c r="I189" s="44">
        <v>24</v>
      </c>
      <c r="J189" s="24" t="s">
        <v>3</v>
      </c>
      <c r="K189" s="103">
        <v>141984</v>
      </c>
      <c r="L189" s="46">
        <f t="shared" si="19"/>
        <v>3407616</v>
      </c>
      <c r="M189" s="173">
        <f t="shared" si="15"/>
        <v>0.3407616</v>
      </c>
      <c r="N189" s="144">
        <v>0.50685714285714278</v>
      </c>
      <c r="O189" s="146">
        <f t="shared" si="18"/>
        <v>71965.604571428557</v>
      </c>
      <c r="P189" s="144">
        <v>44.075208333333329</v>
      </c>
      <c r="Q189" s="146">
        <f t="shared" si="14"/>
        <v>6257974.379999999</v>
      </c>
      <c r="R189" s="133">
        <f t="shared" si="16"/>
        <v>0.62579743799999987</v>
      </c>
      <c r="S189" s="23" t="s">
        <v>1493</v>
      </c>
      <c r="T189" s="45" t="s">
        <v>1479</v>
      </c>
      <c r="AA189"/>
    </row>
    <row r="190" spans="1:27" s="45" customFormat="1" ht="12.75" x14ac:dyDescent="0.2">
      <c r="A190" s="24" t="s">
        <v>1502</v>
      </c>
      <c r="B190" s="174">
        <v>44652</v>
      </c>
      <c r="C190" s="23" t="s">
        <v>389</v>
      </c>
      <c r="D190" s="106">
        <v>5001534</v>
      </c>
      <c r="E190" s="24" t="s">
        <v>213</v>
      </c>
      <c r="F190" s="44" t="s">
        <v>426</v>
      </c>
      <c r="G190" s="47" t="s">
        <v>264</v>
      </c>
      <c r="H190" s="24" t="s">
        <v>605</v>
      </c>
      <c r="I190" s="44">
        <v>90</v>
      </c>
      <c r="J190" s="24" t="s">
        <v>7</v>
      </c>
      <c r="K190" s="103">
        <v>11419</v>
      </c>
      <c r="L190" s="46">
        <f t="shared" si="19"/>
        <v>1027710</v>
      </c>
      <c r="M190" s="173">
        <f t="shared" si="15"/>
        <v>0.102771</v>
      </c>
      <c r="N190" s="144">
        <v>3.0630208333333333</v>
      </c>
      <c r="O190" s="146">
        <f t="shared" si="18"/>
        <v>34976.634895833333</v>
      </c>
      <c r="P190" s="144">
        <v>144.11024929527838</v>
      </c>
      <c r="Q190" s="146">
        <f t="shared" si="14"/>
        <v>1645594.9367027839</v>
      </c>
      <c r="R190" s="133">
        <f t="shared" si="16"/>
        <v>0.16455949367027839</v>
      </c>
      <c r="S190" s="23" t="s">
        <v>1493</v>
      </c>
      <c r="T190" s="45" t="s">
        <v>1479</v>
      </c>
      <c r="AA190"/>
    </row>
    <row r="191" spans="1:27" s="45" customFormat="1" ht="12.75" x14ac:dyDescent="0.2">
      <c r="A191" s="24" t="s">
        <v>1502</v>
      </c>
      <c r="B191" s="174">
        <v>44652</v>
      </c>
      <c r="C191" s="23" t="s">
        <v>389</v>
      </c>
      <c r="D191" s="106">
        <v>5001352</v>
      </c>
      <c r="E191" s="24" t="s">
        <v>211</v>
      </c>
      <c r="F191" s="44" t="s">
        <v>424</v>
      </c>
      <c r="G191" s="47" t="s">
        <v>264</v>
      </c>
      <c r="H191" s="24" t="s">
        <v>606</v>
      </c>
      <c r="I191" s="44">
        <v>24</v>
      </c>
      <c r="J191" s="24" t="s">
        <v>3</v>
      </c>
      <c r="K191" s="103">
        <v>42636</v>
      </c>
      <c r="L191" s="46">
        <f t="shared" si="19"/>
        <v>1023264</v>
      </c>
      <c r="M191" s="173">
        <f t="shared" si="15"/>
        <v>0.1023264</v>
      </c>
      <c r="N191" s="144">
        <v>0.50685714285714278</v>
      </c>
      <c r="O191" s="146">
        <f t="shared" si="18"/>
        <v>21610.361142857138</v>
      </c>
      <c r="P191" s="144">
        <v>44.075208333333329</v>
      </c>
      <c r="Q191" s="146">
        <f t="shared" si="14"/>
        <v>1879190.5824999998</v>
      </c>
      <c r="R191" s="133">
        <f t="shared" si="16"/>
        <v>0.18791905824999997</v>
      </c>
      <c r="S191" s="23" t="s">
        <v>1493</v>
      </c>
      <c r="T191" s="45" t="s">
        <v>1479</v>
      </c>
      <c r="AA191"/>
    </row>
    <row r="192" spans="1:27" s="45" customFormat="1" ht="12.75" x14ac:dyDescent="0.2">
      <c r="A192" s="24" t="s">
        <v>1502</v>
      </c>
      <c r="B192" s="174">
        <v>44652</v>
      </c>
      <c r="C192" s="23" t="s">
        <v>389</v>
      </c>
      <c r="D192" s="106">
        <v>5002961</v>
      </c>
      <c r="E192" s="24" t="s">
        <v>399</v>
      </c>
      <c r="F192" s="44" t="s">
        <v>426</v>
      </c>
      <c r="G192" s="47" t="s">
        <v>264</v>
      </c>
      <c r="H192" s="24" t="s">
        <v>607</v>
      </c>
      <c r="I192" s="44">
        <v>100</v>
      </c>
      <c r="J192" s="24" t="s">
        <v>7</v>
      </c>
      <c r="K192" s="103">
        <v>9550</v>
      </c>
      <c r="L192" s="46">
        <f t="shared" si="19"/>
        <v>955000</v>
      </c>
      <c r="M192" s="173">
        <f t="shared" si="15"/>
        <v>9.5500000000000002E-2</v>
      </c>
      <c r="N192" s="144">
        <v>2.2000000000000002</v>
      </c>
      <c r="O192" s="146">
        <f t="shared" si="18"/>
        <v>21010</v>
      </c>
      <c r="P192" s="144">
        <v>181.89599957912458</v>
      </c>
      <c r="Q192" s="146">
        <f t="shared" si="14"/>
        <v>1737106.7959806398</v>
      </c>
      <c r="R192" s="133">
        <f t="shared" si="16"/>
        <v>0.17371067959806397</v>
      </c>
      <c r="S192" s="23" t="s">
        <v>1493</v>
      </c>
      <c r="T192" s="45" t="s">
        <v>1479</v>
      </c>
      <c r="AA192"/>
    </row>
    <row r="193" spans="1:27" s="45" customFormat="1" ht="12.75" x14ac:dyDescent="0.2">
      <c r="A193" s="24" t="s">
        <v>1502</v>
      </c>
      <c r="B193" s="174">
        <v>44652</v>
      </c>
      <c r="C193" s="23" t="s">
        <v>389</v>
      </c>
      <c r="D193" s="106">
        <v>5004883</v>
      </c>
      <c r="E193" s="24" t="s">
        <v>572</v>
      </c>
      <c r="F193" s="44" t="s">
        <v>426</v>
      </c>
      <c r="G193" s="47" t="s">
        <v>264</v>
      </c>
      <c r="H193" s="24" t="s">
        <v>608</v>
      </c>
      <c r="I193" s="44">
        <v>100</v>
      </c>
      <c r="J193" s="24" t="s">
        <v>7</v>
      </c>
      <c r="K193" s="103">
        <v>1243</v>
      </c>
      <c r="L193" s="46">
        <f t="shared" si="19"/>
        <v>124300</v>
      </c>
      <c r="M193" s="173">
        <f t="shared" si="15"/>
        <v>1.243E-2</v>
      </c>
      <c r="N193" s="144">
        <v>0</v>
      </c>
      <c r="O193" s="146">
        <f t="shared" si="18"/>
        <v>0</v>
      </c>
      <c r="P193" s="144">
        <v>0</v>
      </c>
      <c r="Q193" s="146">
        <f t="shared" si="14"/>
        <v>0</v>
      </c>
      <c r="R193" s="133">
        <f t="shared" si="16"/>
        <v>0</v>
      </c>
      <c r="S193" s="23" t="s">
        <v>1493</v>
      </c>
      <c r="T193" s="45" t="s">
        <v>1479</v>
      </c>
      <c r="AA193"/>
    </row>
    <row r="194" spans="1:27" s="45" customFormat="1" ht="12.75" x14ac:dyDescent="0.2">
      <c r="A194" s="24" t="s">
        <v>1502</v>
      </c>
      <c r="B194" s="174">
        <v>44652</v>
      </c>
      <c r="C194" s="23" t="s">
        <v>389</v>
      </c>
      <c r="D194" s="106">
        <v>5004883</v>
      </c>
      <c r="E194" s="24" t="s">
        <v>572</v>
      </c>
      <c r="F194" s="44" t="s">
        <v>426</v>
      </c>
      <c r="G194" s="47" t="s">
        <v>264</v>
      </c>
      <c r="H194" s="24" t="s">
        <v>609</v>
      </c>
      <c r="I194" s="44">
        <v>100</v>
      </c>
      <c r="J194" s="24" t="s">
        <v>7</v>
      </c>
      <c r="K194" s="103">
        <v>1243</v>
      </c>
      <c r="L194" s="46">
        <f t="shared" si="19"/>
        <v>124300</v>
      </c>
      <c r="M194" s="173">
        <f t="shared" si="15"/>
        <v>1.243E-2</v>
      </c>
      <c r="N194" s="144">
        <v>0</v>
      </c>
      <c r="O194" s="146">
        <f t="shared" si="18"/>
        <v>0</v>
      </c>
      <c r="P194" s="144">
        <v>0</v>
      </c>
      <c r="Q194" s="146">
        <f t="shared" ref="Q194:Q257" si="20">+K194*P194</f>
        <v>0</v>
      </c>
      <c r="R194" s="133">
        <f t="shared" si="16"/>
        <v>0</v>
      </c>
      <c r="S194" s="23" t="s">
        <v>1493</v>
      </c>
      <c r="T194" s="45" t="s">
        <v>1479</v>
      </c>
      <c r="AA194"/>
    </row>
    <row r="195" spans="1:27" s="45" customFormat="1" ht="12.75" x14ac:dyDescent="0.2">
      <c r="A195" s="24" t="s">
        <v>1502</v>
      </c>
      <c r="B195" s="174">
        <v>44652</v>
      </c>
      <c r="C195" s="23" t="s">
        <v>389</v>
      </c>
      <c r="D195" s="106">
        <v>5004883</v>
      </c>
      <c r="E195" s="24" t="s">
        <v>572</v>
      </c>
      <c r="F195" s="44" t="s">
        <v>426</v>
      </c>
      <c r="G195" s="47" t="s">
        <v>264</v>
      </c>
      <c r="H195" s="24" t="s">
        <v>610</v>
      </c>
      <c r="I195" s="44">
        <v>100</v>
      </c>
      <c r="J195" s="24" t="s">
        <v>7</v>
      </c>
      <c r="K195" s="103">
        <v>1091</v>
      </c>
      <c r="L195" s="46">
        <f t="shared" si="19"/>
        <v>109100</v>
      </c>
      <c r="M195" s="173">
        <f t="shared" ref="M195:M258" si="21">L195/10^7</f>
        <v>1.091E-2</v>
      </c>
      <c r="N195" s="144">
        <v>0</v>
      </c>
      <c r="O195" s="146">
        <f t="shared" si="18"/>
        <v>0</v>
      </c>
      <c r="P195" s="144">
        <v>0</v>
      </c>
      <c r="Q195" s="146">
        <f t="shared" si="20"/>
        <v>0</v>
      </c>
      <c r="R195" s="133">
        <f t="shared" ref="R195:R258" si="22">Q195/10^7</f>
        <v>0</v>
      </c>
      <c r="S195" s="23" t="s">
        <v>1493</v>
      </c>
      <c r="T195" s="45" t="s">
        <v>1479</v>
      </c>
      <c r="AA195"/>
    </row>
    <row r="196" spans="1:27" s="45" customFormat="1" ht="12.75" x14ac:dyDescent="0.2">
      <c r="A196" s="24" t="s">
        <v>1502</v>
      </c>
      <c r="B196" s="174">
        <v>44652</v>
      </c>
      <c r="C196" s="23" t="s">
        <v>389</v>
      </c>
      <c r="D196" s="106">
        <v>5006034</v>
      </c>
      <c r="E196" s="24" t="s">
        <v>218</v>
      </c>
      <c r="F196" s="44" t="s">
        <v>424</v>
      </c>
      <c r="G196" s="47" t="s">
        <v>264</v>
      </c>
      <c r="H196" s="24" t="s">
        <v>611</v>
      </c>
      <c r="I196" s="44">
        <v>6</v>
      </c>
      <c r="J196" s="24" t="s">
        <v>3</v>
      </c>
      <c r="K196" s="103">
        <v>78870</v>
      </c>
      <c r="L196" s="46">
        <f t="shared" si="19"/>
        <v>473220</v>
      </c>
      <c r="M196" s="173">
        <f t="shared" si="21"/>
        <v>4.7322000000000003E-2</v>
      </c>
      <c r="N196" s="144">
        <v>0.37546113989637309</v>
      </c>
      <c r="O196" s="146">
        <f t="shared" si="18"/>
        <v>29612.620103626945</v>
      </c>
      <c r="P196" s="144">
        <v>77.939732673267329</v>
      </c>
      <c r="Q196" s="146">
        <f t="shared" si="20"/>
        <v>6147106.7159405947</v>
      </c>
      <c r="R196" s="133">
        <f t="shared" si="22"/>
        <v>0.61471067159405945</v>
      </c>
      <c r="S196" s="23" t="s">
        <v>1493</v>
      </c>
      <c r="T196" s="45" t="s">
        <v>1479</v>
      </c>
      <c r="AA196"/>
    </row>
    <row r="197" spans="1:27" s="45" customFormat="1" ht="12.75" x14ac:dyDescent="0.2">
      <c r="A197" s="24" t="s">
        <v>1502</v>
      </c>
      <c r="B197" s="174">
        <v>44652</v>
      </c>
      <c r="C197" s="23" t="s">
        <v>389</v>
      </c>
      <c r="D197" s="106">
        <v>5000108</v>
      </c>
      <c r="E197" s="24" t="s">
        <v>573</v>
      </c>
      <c r="F197" s="44" t="s">
        <v>424</v>
      </c>
      <c r="G197" s="47" t="s">
        <v>264</v>
      </c>
      <c r="H197" s="24" t="s">
        <v>604</v>
      </c>
      <c r="I197" s="44">
        <v>24</v>
      </c>
      <c r="J197" s="24" t="s">
        <v>3</v>
      </c>
      <c r="K197" s="103">
        <v>846</v>
      </c>
      <c r="L197" s="46">
        <f t="shared" si="19"/>
        <v>20304</v>
      </c>
      <c r="M197" s="173">
        <f t="shared" si="21"/>
        <v>2.0303999999999999E-3</v>
      </c>
      <c r="N197" s="144">
        <v>0.67400000000000004</v>
      </c>
      <c r="O197" s="146">
        <f t="shared" si="18"/>
        <v>570.20400000000006</v>
      </c>
      <c r="P197" s="144">
        <v>43.458333333333336</v>
      </c>
      <c r="Q197" s="146">
        <f t="shared" si="20"/>
        <v>36765.75</v>
      </c>
      <c r="R197" s="133">
        <f t="shared" si="22"/>
        <v>3.6765750000000001E-3</v>
      </c>
      <c r="S197" s="23" t="s">
        <v>1493</v>
      </c>
      <c r="T197" s="45" t="s">
        <v>1479</v>
      </c>
      <c r="AA197"/>
    </row>
    <row r="198" spans="1:27" s="45" customFormat="1" ht="12.75" x14ac:dyDescent="0.2">
      <c r="A198" s="24" t="s">
        <v>1502</v>
      </c>
      <c r="B198" s="174">
        <v>44652</v>
      </c>
      <c r="C198" s="23" t="s">
        <v>389</v>
      </c>
      <c r="D198" s="106">
        <v>5000108</v>
      </c>
      <c r="E198" s="24" t="s">
        <v>573</v>
      </c>
      <c r="F198" s="44" t="s">
        <v>424</v>
      </c>
      <c r="G198" s="47" t="s">
        <v>264</v>
      </c>
      <c r="H198" s="24" t="s">
        <v>606</v>
      </c>
      <c r="I198" s="44">
        <v>24</v>
      </c>
      <c r="J198" s="24" t="s">
        <v>3</v>
      </c>
      <c r="K198" s="103">
        <v>99816</v>
      </c>
      <c r="L198" s="46">
        <f t="shared" si="19"/>
        <v>2395584</v>
      </c>
      <c r="M198" s="173">
        <f t="shared" si="21"/>
        <v>0.2395584</v>
      </c>
      <c r="N198" s="144">
        <v>0.67400000000000004</v>
      </c>
      <c r="O198" s="146">
        <f t="shared" si="18"/>
        <v>67275.984000000011</v>
      </c>
      <c r="P198" s="144">
        <v>43.458333333333336</v>
      </c>
      <c r="Q198" s="146">
        <f t="shared" si="20"/>
        <v>4337837</v>
      </c>
      <c r="R198" s="133">
        <f t="shared" si="22"/>
        <v>0.43378369999999999</v>
      </c>
      <c r="S198" s="23" t="s">
        <v>1493</v>
      </c>
      <c r="T198" s="45" t="s">
        <v>1479</v>
      </c>
      <c r="AA198"/>
    </row>
    <row r="199" spans="1:27" s="45" customFormat="1" ht="12.75" x14ac:dyDescent="0.2">
      <c r="A199" s="24" t="s">
        <v>1502</v>
      </c>
      <c r="B199" s="174">
        <v>44652</v>
      </c>
      <c r="C199" s="23" t="s">
        <v>389</v>
      </c>
      <c r="D199" s="106">
        <v>5000846</v>
      </c>
      <c r="E199" s="24" t="s">
        <v>401</v>
      </c>
      <c r="F199" s="44" t="s">
        <v>426</v>
      </c>
      <c r="G199" s="47" t="s">
        <v>264</v>
      </c>
      <c r="H199" s="24" t="s">
        <v>612</v>
      </c>
      <c r="I199" s="44">
        <v>500</v>
      </c>
      <c r="J199" s="24" t="s">
        <v>7</v>
      </c>
      <c r="K199" s="103">
        <v>3842</v>
      </c>
      <c r="L199" s="46">
        <f t="shared" si="19"/>
        <v>1921000</v>
      </c>
      <c r="M199" s="173">
        <f t="shared" si="21"/>
        <v>0.19209999999999999</v>
      </c>
      <c r="N199" s="144">
        <v>9.578125</v>
      </c>
      <c r="O199" s="146">
        <f t="shared" si="18"/>
        <v>36799.15625</v>
      </c>
      <c r="P199" s="144">
        <v>197.20349794238683</v>
      </c>
      <c r="Q199" s="146">
        <f t="shared" si="20"/>
        <v>757655.83909465023</v>
      </c>
      <c r="R199" s="133">
        <f t="shared" si="22"/>
        <v>7.5765583909465029E-2</v>
      </c>
      <c r="S199" s="23" t="s">
        <v>1493</v>
      </c>
      <c r="T199" s="45" t="s">
        <v>1479</v>
      </c>
      <c r="AA199"/>
    </row>
    <row r="200" spans="1:27" s="45" customFormat="1" ht="12.75" x14ac:dyDescent="0.2">
      <c r="A200" s="24" t="s">
        <v>1502</v>
      </c>
      <c r="B200" s="174">
        <v>44652</v>
      </c>
      <c r="C200" s="23" t="s">
        <v>389</v>
      </c>
      <c r="D200" s="106">
        <v>5002703</v>
      </c>
      <c r="E200" s="24" t="s">
        <v>393</v>
      </c>
      <c r="F200" s="44" t="s">
        <v>426</v>
      </c>
      <c r="G200" s="47" t="s">
        <v>264</v>
      </c>
      <c r="H200" s="24" t="s">
        <v>613</v>
      </c>
      <c r="I200" s="44">
        <v>30</v>
      </c>
      <c r="J200" s="24" t="s">
        <v>7</v>
      </c>
      <c r="K200" s="103">
        <v>11180</v>
      </c>
      <c r="L200" s="46">
        <f t="shared" si="19"/>
        <v>335400</v>
      </c>
      <c r="M200" s="173">
        <f t="shared" si="21"/>
        <v>3.354E-2</v>
      </c>
      <c r="N200" s="144">
        <v>1.3169791666666666</v>
      </c>
      <c r="O200" s="146">
        <f t="shared" si="18"/>
        <v>14723.827083333332</v>
      </c>
      <c r="P200" s="144">
        <v>83.792500000000004</v>
      </c>
      <c r="Q200" s="146">
        <f t="shared" si="20"/>
        <v>936800.15</v>
      </c>
      <c r="R200" s="133">
        <f t="shared" si="22"/>
        <v>9.3680015000000005E-2</v>
      </c>
      <c r="S200" s="23" t="s">
        <v>1493</v>
      </c>
      <c r="T200" s="45" t="s">
        <v>1479</v>
      </c>
      <c r="AA200"/>
    </row>
    <row r="201" spans="1:27" s="45" customFormat="1" ht="12.75" x14ac:dyDescent="0.2">
      <c r="A201" s="24" t="s">
        <v>1502</v>
      </c>
      <c r="B201" s="174">
        <v>44652</v>
      </c>
      <c r="C201" s="23" t="s">
        <v>389</v>
      </c>
      <c r="D201" s="106">
        <v>5004881</v>
      </c>
      <c r="E201" s="24" t="s">
        <v>574</v>
      </c>
      <c r="F201" s="44" t="s">
        <v>426</v>
      </c>
      <c r="G201" s="47" t="s">
        <v>264</v>
      </c>
      <c r="H201" s="24" t="s">
        <v>614</v>
      </c>
      <c r="I201" s="44">
        <v>100</v>
      </c>
      <c r="J201" s="24" t="s">
        <v>7</v>
      </c>
      <c r="K201" s="103">
        <v>1263</v>
      </c>
      <c r="L201" s="46">
        <f t="shared" si="19"/>
        <v>126300</v>
      </c>
      <c r="M201" s="173">
        <f t="shared" si="21"/>
        <v>1.2630000000000001E-2</v>
      </c>
      <c r="N201" s="144">
        <v>0</v>
      </c>
      <c r="O201" s="146">
        <f t="shared" si="18"/>
        <v>0</v>
      </c>
      <c r="P201" s="144">
        <v>0</v>
      </c>
      <c r="Q201" s="146">
        <f t="shared" si="20"/>
        <v>0</v>
      </c>
      <c r="R201" s="133">
        <f t="shared" si="22"/>
        <v>0</v>
      </c>
      <c r="S201" s="23" t="s">
        <v>1493</v>
      </c>
      <c r="T201" s="45" t="s">
        <v>1479</v>
      </c>
      <c r="AA201"/>
    </row>
    <row r="202" spans="1:27" s="45" customFormat="1" ht="12.75" x14ac:dyDescent="0.2">
      <c r="A202" s="24" t="s">
        <v>1502</v>
      </c>
      <c r="B202" s="174">
        <v>44652</v>
      </c>
      <c r="C202" s="23" t="s">
        <v>389</v>
      </c>
      <c r="D202" s="106">
        <v>5000108</v>
      </c>
      <c r="E202" s="24" t="s">
        <v>573</v>
      </c>
      <c r="F202" s="44" t="s">
        <v>424</v>
      </c>
      <c r="G202" s="47" t="s">
        <v>264</v>
      </c>
      <c r="H202" s="24" t="s">
        <v>615</v>
      </c>
      <c r="I202" s="44">
        <v>24</v>
      </c>
      <c r="J202" s="24" t="s">
        <v>3</v>
      </c>
      <c r="K202" s="103">
        <v>142056</v>
      </c>
      <c r="L202" s="46">
        <f t="shared" si="19"/>
        <v>3409344</v>
      </c>
      <c r="M202" s="173">
        <f t="shared" si="21"/>
        <v>0.34093440000000003</v>
      </c>
      <c r="N202" s="144">
        <v>0.67400000000000004</v>
      </c>
      <c r="O202" s="146">
        <f t="shared" si="18"/>
        <v>95745.744000000006</v>
      </c>
      <c r="P202" s="144">
        <v>43.458333333333336</v>
      </c>
      <c r="Q202" s="146">
        <f t="shared" si="20"/>
        <v>6173517</v>
      </c>
      <c r="R202" s="133">
        <f t="shared" si="22"/>
        <v>0.61735169999999995</v>
      </c>
      <c r="S202" s="23" t="s">
        <v>1493</v>
      </c>
      <c r="T202" s="45" t="s">
        <v>1479</v>
      </c>
      <c r="AA202"/>
    </row>
    <row r="203" spans="1:27" s="45" customFormat="1" ht="12.75" x14ac:dyDescent="0.2">
      <c r="A203" s="24" t="s">
        <v>1502</v>
      </c>
      <c r="B203" s="174">
        <v>44652</v>
      </c>
      <c r="C203" s="23" t="s">
        <v>389</v>
      </c>
      <c r="D203" s="106">
        <v>5002703</v>
      </c>
      <c r="E203" s="24" t="s">
        <v>393</v>
      </c>
      <c r="F203" s="44" t="s">
        <v>426</v>
      </c>
      <c r="G203" s="47" t="s">
        <v>264</v>
      </c>
      <c r="H203" s="24" t="s">
        <v>620</v>
      </c>
      <c r="I203" s="44">
        <v>30</v>
      </c>
      <c r="J203" s="24" t="s">
        <v>7</v>
      </c>
      <c r="K203" s="103">
        <v>10292</v>
      </c>
      <c r="L203" s="46">
        <f t="shared" si="19"/>
        <v>308760</v>
      </c>
      <c r="M203" s="173">
        <f t="shared" si="21"/>
        <v>3.0876000000000001E-2</v>
      </c>
      <c r="N203" s="144">
        <v>1.3169791666666666</v>
      </c>
      <c r="O203" s="146">
        <f t="shared" si="18"/>
        <v>13554.349583333333</v>
      </c>
      <c r="P203" s="144">
        <v>83.792500000000004</v>
      </c>
      <c r="Q203" s="146">
        <f t="shared" si="20"/>
        <v>862392.41</v>
      </c>
      <c r="R203" s="133">
        <f t="shared" si="22"/>
        <v>8.6239241000000008E-2</v>
      </c>
      <c r="S203" s="23" t="s">
        <v>1493</v>
      </c>
      <c r="T203" s="45" t="s">
        <v>1479</v>
      </c>
      <c r="AA203"/>
    </row>
    <row r="204" spans="1:27" s="45" customFormat="1" ht="12.75" x14ac:dyDescent="0.2">
      <c r="A204" s="24" t="s">
        <v>1502</v>
      </c>
      <c r="B204" s="174">
        <v>44652</v>
      </c>
      <c r="C204" s="23" t="s">
        <v>389</v>
      </c>
      <c r="D204" s="106">
        <v>5004881</v>
      </c>
      <c r="E204" s="24" t="s">
        <v>574</v>
      </c>
      <c r="F204" s="44" t="s">
        <v>426</v>
      </c>
      <c r="G204" s="47" t="s">
        <v>264</v>
      </c>
      <c r="H204" s="24" t="s">
        <v>621</v>
      </c>
      <c r="I204" s="44">
        <v>100</v>
      </c>
      <c r="J204" s="24" t="s">
        <v>7</v>
      </c>
      <c r="K204" s="103">
        <v>1251</v>
      </c>
      <c r="L204" s="46">
        <f t="shared" si="19"/>
        <v>125100</v>
      </c>
      <c r="M204" s="173">
        <f t="shared" si="21"/>
        <v>1.251E-2</v>
      </c>
      <c r="N204" s="144">
        <v>0</v>
      </c>
      <c r="O204" s="146">
        <f t="shared" si="18"/>
        <v>0</v>
      </c>
      <c r="P204" s="144">
        <v>0</v>
      </c>
      <c r="Q204" s="146">
        <f t="shared" si="20"/>
        <v>0</v>
      </c>
      <c r="R204" s="133">
        <f t="shared" si="22"/>
        <v>0</v>
      </c>
      <c r="S204" s="23" t="s">
        <v>1493</v>
      </c>
      <c r="T204" s="45" t="s">
        <v>1479</v>
      </c>
      <c r="AA204"/>
    </row>
    <row r="205" spans="1:27" s="45" customFormat="1" ht="12.75" x14ac:dyDescent="0.2">
      <c r="A205" s="24" t="s">
        <v>1502</v>
      </c>
      <c r="B205" s="174">
        <v>44652</v>
      </c>
      <c r="C205" s="23" t="s">
        <v>389</v>
      </c>
      <c r="D205" s="106">
        <v>5004881</v>
      </c>
      <c r="E205" s="24" t="s">
        <v>574</v>
      </c>
      <c r="F205" s="44" t="s">
        <v>426</v>
      </c>
      <c r="G205" s="47" t="s">
        <v>264</v>
      </c>
      <c r="H205" s="24" t="s">
        <v>622</v>
      </c>
      <c r="I205" s="44">
        <v>100</v>
      </c>
      <c r="J205" s="24" t="s">
        <v>7</v>
      </c>
      <c r="K205" s="103">
        <v>1199</v>
      </c>
      <c r="L205" s="46">
        <f t="shared" si="19"/>
        <v>119900</v>
      </c>
      <c r="M205" s="173">
        <f t="shared" si="21"/>
        <v>1.1990000000000001E-2</v>
      </c>
      <c r="N205" s="144">
        <v>0</v>
      </c>
      <c r="O205" s="146">
        <f t="shared" si="18"/>
        <v>0</v>
      </c>
      <c r="P205" s="144">
        <v>0</v>
      </c>
      <c r="Q205" s="146">
        <f t="shared" si="20"/>
        <v>0</v>
      </c>
      <c r="R205" s="133">
        <f t="shared" si="22"/>
        <v>0</v>
      </c>
      <c r="S205" s="23" t="s">
        <v>1493</v>
      </c>
      <c r="T205" s="45" t="s">
        <v>1479</v>
      </c>
      <c r="AA205"/>
    </row>
    <row r="206" spans="1:27" s="45" customFormat="1" ht="12.75" x14ac:dyDescent="0.2">
      <c r="A206" s="24" t="s">
        <v>1502</v>
      </c>
      <c r="B206" s="174">
        <v>44652</v>
      </c>
      <c r="C206" s="23" t="s">
        <v>389</v>
      </c>
      <c r="D206" s="106">
        <v>5006351</v>
      </c>
      <c r="E206" s="24" t="s">
        <v>575</v>
      </c>
      <c r="F206" s="44" t="s">
        <v>424</v>
      </c>
      <c r="G206" s="47" t="s">
        <v>264</v>
      </c>
      <c r="H206" s="24" t="s">
        <v>623</v>
      </c>
      <c r="I206" s="44">
        <v>14</v>
      </c>
      <c r="J206" s="24" t="s">
        <v>3</v>
      </c>
      <c r="K206" s="103">
        <v>450</v>
      </c>
      <c r="L206" s="46">
        <f t="shared" si="19"/>
        <v>6300</v>
      </c>
      <c r="M206" s="173">
        <f t="shared" si="21"/>
        <v>6.3000000000000003E-4</v>
      </c>
      <c r="N206" s="144">
        <v>0.38112500000000005</v>
      </c>
      <c r="O206" s="146">
        <f t="shared" si="18"/>
        <v>171.50625000000002</v>
      </c>
      <c r="P206" s="144">
        <v>0</v>
      </c>
      <c r="Q206" s="146">
        <f t="shared" si="20"/>
        <v>0</v>
      </c>
      <c r="R206" s="133">
        <f t="shared" si="22"/>
        <v>0</v>
      </c>
      <c r="S206" s="23" t="s">
        <v>1493</v>
      </c>
      <c r="T206" s="45" t="s">
        <v>1479</v>
      </c>
      <c r="AA206"/>
    </row>
    <row r="207" spans="1:27" s="45" customFormat="1" ht="12.75" x14ac:dyDescent="0.2">
      <c r="A207" s="24" t="s">
        <v>1502</v>
      </c>
      <c r="B207" s="174">
        <v>44652</v>
      </c>
      <c r="C207" s="23" t="s">
        <v>389</v>
      </c>
      <c r="D207" s="106">
        <v>5000108</v>
      </c>
      <c r="E207" s="24" t="s">
        <v>573</v>
      </c>
      <c r="F207" s="44" t="s">
        <v>424</v>
      </c>
      <c r="G207" s="47" t="s">
        <v>264</v>
      </c>
      <c r="H207" s="24" t="s">
        <v>624</v>
      </c>
      <c r="I207" s="44">
        <v>24</v>
      </c>
      <c r="J207" s="24" t="s">
        <v>3</v>
      </c>
      <c r="K207" s="103">
        <v>143136</v>
      </c>
      <c r="L207" s="46">
        <f t="shared" si="19"/>
        <v>3435264</v>
      </c>
      <c r="M207" s="173">
        <f t="shared" si="21"/>
        <v>0.34352640000000001</v>
      </c>
      <c r="N207" s="144">
        <v>0.67400000000000004</v>
      </c>
      <c r="O207" s="146">
        <f t="shared" si="18"/>
        <v>96473.664000000004</v>
      </c>
      <c r="P207" s="144">
        <v>43.458333333333336</v>
      </c>
      <c r="Q207" s="146">
        <f t="shared" si="20"/>
        <v>6220452</v>
      </c>
      <c r="R207" s="133">
        <f t="shared" si="22"/>
        <v>0.62204519999999996</v>
      </c>
      <c r="S207" s="23" t="s">
        <v>1493</v>
      </c>
      <c r="T207" s="45" t="s">
        <v>1479</v>
      </c>
      <c r="AA207"/>
    </row>
    <row r="208" spans="1:27" s="45" customFormat="1" ht="12.75" x14ac:dyDescent="0.2">
      <c r="A208" s="24" t="s">
        <v>1502</v>
      </c>
      <c r="B208" s="174">
        <v>44652</v>
      </c>
      <c r="C208" s="23" t="s">
        <v>389</v>
      </c>
      <c r="D208" s="106">
        <v>5000494</v>
      </c>
      <c r="E208" s="24" t="s">
        <v>226</v>
      </c>
      <c r="F208" s="44" t="s">
        <v>426</v>
      </c>
      <c r="G208" s="47" t="s">
        <v>264</v>
      </c>
      <c r="H208" s="24" t="s">
        <v>625</v>
      </c>
      <c r="I208" s="44">
        <v>60</v>
      </c>
      <c r="J208" s="24" t="s">
        <v>7</v>
      </c>
      <c r="K208" s="103">
        <v>903</v>
      </c>
      <c r="L208" s="46">
        <f t="shared" si="19"/>
        <v>54180</v>
      </c>
      <c r="M208" s="173">
        <f t="shared" si="21"/>
        <v>5.4180000000000001E-3</v>
      </c>
      <c r="N208" s="144">
        <v>3.0345833333333334</v>
      </c>
      <c r="O208" s="146">
        <f t="shared" si="18"/>
        <v>2740.2287500000002</v>
      </c>
      <c r="P208" s="144">
        <v>3534.4934956709958</v>
      </c>
      <c r="Q208" s="146">
        <f t="shared" si="20"/>
        <v>3191647.6265909094</v>
      </c>
      <c r="R208" s="133">
        <f t="shared" si="22"/>
        <v>0.31916476265909094</v>
      </c>
      <c r="S208" s="23" t="s">
        <v>1493</v>
      </c>
      <c r="T208" s="45" t="s">
        <v>1479</v>
      </c>
      <c r="AA208"/>
    </row>
    <row r="209" spans="1:27" s="45" customFormat="1" ht="12.75" x14ac:dyDescent="0.2">
      <c r="A209" s="24" t="s">
        <v>1502</v>
      </c>
      <c r="B209" s="174">
        <v>44652</v>
      </c>
      <c r="C209" s="23" t="s">
        <v>389</v>
      </c>
      <c r="D209" s="106">
        <v>5000494</v>
      </c>
      <c r="E209" s="24" t="s">
        <v>226</v>
      </c>
      <c r="F209" s="44" t="s">
        <v>426</v>
      </c>
      <c r="G209" s="47" t="s">
        <v>264</v>
      </c>
      <c r="H209" s="24" t="s">
        <v>626</v>
      </c>
      <c r="I209" s="44">
        <v>60</v>
      </c>
      <c r="J209" s="24" t="s">
        <v>7</v>
      </c>
      <c r="K209" s="103">
        <v>951</v>
      </c>
      <c r="L209" s="46">
        <f t="shared" si="19"/>
        <v>57060</v>
      </c>
      <c r="M209" s="173">
        <f t="shared" si="21"/>
        <v>5.7060000000000001E-3</v>
      </c>
      <c r="N209" s="144">
        <v>3.0345833333333334</v>
      </c>
      <c r="O209" s="146">
        <f t="shared" si="18"/>
        <v>2885.8887500000001</v>
      </c>
      <c r="P209" s="144">
        <v>3534.4934956709958</v>
      </c>
      <c r="Q209" s="146">
        <f t="shared" si="20"/>
        <v>3361303.314383117</v>
      </c>
      <c r="R209" s="133">
        <f t="shared" si="22"/>
        <v>0.33613033143831172</v>
      </c>
      <c r="S209" s="23" t="s">
        <v>1493</v>
      </c>
      <c r="T209" s="45" t="s">
        <v>1479</v>
      </c>
      <c r="AA209"/>
    </row>
    <row r="210" spans="1:27" s="45" customFormat="1" ht="12.75" x14ac:dyDescent="0.2">
      <c r="A210" s="24" t="s">
        <v>1502</v>
      </c>
      <c r="B210" s="174">
        <v>44652</v>
      </c>
      <c r="C210" s="23" t="s">
        <v>389</v>
      </c>
      <c r="D210" s="106">
        <v>5000494</v>
      </c>
      <c r="E210" s="24" t="s">
        <v>226</v>
      </c>
      <c r="F210" s="44" t="s">
        <v>426</v>
      </c>
      <c r="G210" s="47" t="s">
        <v>264</v>
      </c>
      <c r="H210" s="24" t="s">
        <v>627</v>
      </c>
      <c r="I210" s="44">
        <v>60</v>
      </c>
      <c r="J210" s="24" t="s">
        <v>7</v>
      </c>
      <c r="K210" s="103">
        <v>939</v>
      </c>
      <c r="L210" s="46">
        <f t="shared" si="19"/>
        <v>56340</v>
      </c>
      <c r="M210" s="173">
        <f t="shared" si="21"/>
        <v>5.6340000000000001E-3</v>
      </c>
      <c r="N210" s="144">
        <v>3.0345833333333334</v>
      </c>
      <c r="O210" s="146">
        <f t="shared" si="18"/>
        <v>2849.4737500000001</v>
      </c>
      <c r="P210" s="144">
        <v>3534.4934956709958</v>
      </c>
      <c r="Q210" s="146">
        <f t="shared" si="20"/>
        <v>3318889.392435065</v>
      </c>
      <c r="R210" s="133">
        <f t="shared" si="22"/>
        <v>0.33188893924350649</v>
      </c>
      <c r="S210" s="23" t="s">
        <v>1493</v>
      </c>
      <c r="T210" s="45" t="s">
        <v>1479</v>
      </c>
      <c r="AA210"/>
    </row>
    <row r="211" spans="1:27" s="45" customFormat="1" ht="12.75" x14ac:dyDescent="0.2">
      <c r="A211" s="24" t="s">
        <v>1502</v>
      </c>
      <c r="B211" s="174">
        <v>44652</v>
      </c>
      <c r="C211" s="23" t="s">
        <v>389</v>
      </c>
      <c r="D211" s="106">
        <v>5002703</v>
      </c>
      <c r="E211" s="24" t="s">
        <v>393</v>
      </c>
      <c r="F211" s="44" t="s">
        <v>426</v>
      </c>
      <c r="G211" s="47" t="s">
        <v>264</v>
      </c>
      <c r="H211" s="24" t="s">
        <v>630</v>
      </c>
      <c r="I211" s="44">
        <v>30</v>
      </c>
      <c r="J211" s="24" t="s">
        <v>7</v>
      </c>
      <c r="K211" s="103">
        <v>10599</v>
      </c>
      <c r="L211" s="46">
        <f t="shared" si="19"/>
        <v>317970</v>
      </c>
      <c r="M211" s="173">
        <f t="shared" si="21"/>
        <v>3.1796999999999999E-2</v>
      </c>
      <c r="N211" s="144">
        <v>1.3169791666666666</v>
      </c>
      <c r="O211" s="146">
        <f t="shared" si="18"/>
        <v>13958.6621875</v>
      </c>
      <c r="P211" s="144">
        <v>83.792500000000004</v>
      </c>
      <c r="Q211" s="146">
        <f t="shared" si="20"/>
        <v>888116.70750000002</v>
      </c>
      <c r="R211" s="133">
        <f t="shared" si="22"/>
        <v>8.8811670750000002E-2</v>
      </c>
      <c r="S211" s="23" t="s">
        <v>1493</v>
      </c>
      <c r="T211" s="45" t="s">
        <v>1479</v>
      </c>
      <c r="AA211"/>
    </row>
    <row r="212" spans="1:27" s="45" customFormat="1" ht="12.75" x14ac:dyDescent="0.2">
      <c r="A212" s="24" t="s">
        <v>1502</v>
      </c>
      <c r="B212" s="174">
        <v>44652</v>
      </c>
      <c r="C212" s="23" t="s">
        <v>389</v>
      </c>
      <c r="D212" s="106">
        <v>5002703</v>
      </c>
      <c r="E212" s="24" t="s">
        <v>393</v>
      </c>
      <c r="F212" s="44" t="s">
        <v>426</v>
      </c>
      <c r="G212" s="47" t="s">
        <v>264</v>
      </c>
      <c r="H212" s="24" t="s">
        <v>631</v>
      </c>
      <c r="I212" s="44">
        <v>30</v>
      </c>
      <c r="J212" s="24" t="s">
        <v>7</v>
      </c>
      <c r="K212" s="103">
        <v>7184</v>
      </c>
      <c r="L212" s="46">
        <f t="shared" si="19"/>
        <v>215520</v>
      </c>
      <c r="M212" s="173">
        <f t="shared" si="21"/>
        <v>2.1552000000000002E-2</v>
      </c>
      <c r="N212" s="144">
        <v>1.3169791666666666</v>
      </c>
      <c r="O212" s="146">
        <f t="shared" si="18"/>
        <v>9461.1783333333333</v>
      </c>
      <c r="P212" s="144">
        <v>83.792500000000004</v>
      </c>
      <c r="Q212" s="146">
        <f t="shared" si="20"/>
        <v>601965.32000000007</v>
      </c>
      <c r="R212" s="133">
        <f t="shared" si="22"/>
        <v>6.0196532000000004E-2</v>
      </c>
      <c r="S212" s="23" t="s">
        <v>1493</v>
      </c>
      <c r="T212" s="45" t="s">
        <v>1479</v>
      </c>
      <c r="AA212"/>
    </row>
    <row r="213" spans="1:27" s="45" customFormat="1" ht="12.75" x14ac:dyDescent="0.2">
      <c r="A213" s="24" t="s">
        <v>1502</v>
      </c>
      <c r="B213" s="174">
        <v>44652</v>
      </c>
      <c r="C213" s="23" t="s">
        <v>389</v>
      </c>
      <c r="D213" s="106">
        <v>5000200</v>
      </c>
      <c r="E213" s="24" t="s">
        <v>394</v>
      </c>
      <c r="F213" s="44" t="s">
        <v>424</v>
      </c>
      <c r="G213" s="47" t="s">
        <v>264</v>
      </c>
      <c r="H213" s="24" t="s">
        <v>632</v>
      </c>
      <c r="I213" s="44">
        <v>6</v>
      </c>
      <c r="J213" s="24" t="s">
        <v>3</v>
      </c>
      <c r="K213" s="103">
        <v>20115</v>
      </c>
      <c r="L213" s="46">
        <f t="shared" si="19"/>
        <v>120690</v>
      </c>
      <c r="M213" s="173">
        <f t="shared" si="21"/>
        <v>1.2069E-2</v>
      </c>
      <c r="N213" s="144">
        <v>0.28375510204081633</v>
      </c>
      <c r="O213" s="146">
        <f t="shared" si="18"/>
        <v>5707.7338775510207</v>
      </c>
      <c r="P213" s="144">
        <v>19.479449996898072</v>
      </c>
      <c r="Q213" s="146">
        <f t="shared" si="20"/>
        <v>391829.13668760471</v>
      </c>
      <c r="R213" s="133">
        <f t="shared" si="22"/>
        <v>3.918291366876047E-2</v>
      </c>
      <c r="S213" s="23" t="s">
        <v>1493</v>
      </c>
      <c r="T213" s="45" t="s">
        <v>1479</v>
      </c>
      <c r="AA213"/>
    </row>
    <row r="214" spans="1:27" s="45" customFormat="1" ht="12.75" x14ac:dyDescent="0.2">
      <c r="A214" s="24" t="s">
        <v>1502</v>
      </c>
      <c r="B214" s="174">
        <v>44652</v>
      </c>
      <c r="C214" s="23" t="s">
        <v>389</v>
      </c>
      <c r="D214" s="106">
        <v>5004756</v>
      </c>
      <c r="E214" s="24" t="s">
        <v>217</v>
      </c>
      <c r="F214" s="44" t="s">
        <v>426</v>
      </c>
      <c r="G214" s="47" t="s">
        <v>264</v>
      </c>
      <c r="H214" s="24" t="s">
        <v>636</v>
      </c>
      <c r="I214" s="44">
        <v>60</v>
      </c>
      <c r="J214" s="24" t="s">
        <v>7</v>
      </c>
      <c r="K214" s="103">
        <v>7905</v>
      </c>
      <c r="L214" s="46">
        <f t="shared" si="19"/>
        <v>474300</v>
      </c>
      <c r="M214" s="173">
        <f t="shared" si="21"/>
        <v>4.743E-2</v>
      </c>
      <c r="N214" s="144">
        <v>3.0345833333333334</v>
      </c>
      <c r="O214" s="146">
        <f t="shared" si="18"/>
        <v>23988.381250000002</v>
      </c>
      <c r="P214" s="144">
        <v>319.98750000000001</v>
      </c>
      <c r="Q214" s="146">
        <f t="shared" si="20"/>
        <v>2529501.1875</v>
      </c>
      <c r="R214" s="133">
        <f t="shared" si="22"/>
        <v>0.25295011875000001</v>
      </c>
      <c r="S214" s="23" t="s">
        <v>1493</v>
      </c>
      <c r="T214" s="45" t="s">
        <v>1479</v>
      </c>
      <c r="AA214"/>
    </row>
    <row r="215" spans="1:27" s="45" customFormat="1" ht="12.75" x14ac:dyDescent="0.2">
      <c r="A215" s="24" t="s">
        <v>1502</v>
      </c>
      <c r="B215" s="174">
        <v>44652</v>
      </c>
      <c r="C215" s="23" t="s">
        <v>389</v>
      </c>
      <c r="D215" s="106">
        <v>5001666</v>
      </c>
      <c r="E215" s="24" t="s">
        <v>327</v>
      </c>
      <c r="F215" s="44" t="s">
        <v>426</v>
      </c>
      <c r="G215" s="47" t="s">
        <v>264</v>
      </c>
      <c r="H215" s="24" t="s">
        <v>640</v>
      </c>
      <c r="I215" s="44">
        <v>500</v>
      </c>
      <c r="J215" s="24" t="s">
        <v>7</v>
      </c>
      <c r="K215" s="103">
        <v>3607</v>
      </c>
      <c r="L215" s="46">
        <f t="shared" si="19"/>
        <v>1803500</v>
      </c>
      <c r="M215" s="173">
        <f t="shared" si="21"/>
        <v>0.18035000000000001</v>
      </c>
      <c r="N215" s="144">
        <v>9.578125</v>
      </c>
      <c r="O215" s="146">
        <f t="shared" si="18"/>
        <v>34548.296875</v>
      </c>
      <c r="P215" s="144">
        <v>250.29674944812362</v>
      </c>
      <c r="Q215" s="146">
        <f t="shared" si="20"/>
        <v>902820.37525938195</v>
      </c>
      <c r="R215" s="133">
        <f t="shared" si="22"/>
        <v>9.0282037525938191E-2</v>
      </c>
      <c r="S215" s="23" t="s">
        <v>1493</v>
      </c>
      <c r="T215" s="45" t="s">
        <v>1479</v>
      </c>
      <c r="AA215"/>
    </row>
    <row r="216" spans="1:27" s="45" customFormat="1" ht="12.75" x14ac:dyDescent="0.2">
      <c r="A216" s="24" t="s">
        <v>1502</v>
      </c>
      <c r="B216" s="174">
        <v>44652</v>
      </c>
      <c r="C216" s="23" t="s">
        <v>389</v>
      </c>
      <c r="D216" s="106">
        <v>5006350</v>
      </c>
      <c r="E216" s="24" t="s">
        <v>577</v>
      </c>
      <c r="F216" s="44" t="s">
        <v>424</v>
      </c>
      <c r="G216" s="47" t="s">
        <v>264</v>
      </c>
      <c r="H216" s="24" t="s">
        <v>643</v>
      </c>
      <c r="I216" s="44">
        <v>14</v>
      </c>
      <c r="J216" s="24" t="s">
        <v>3</v>
      </c>
      <c r="K216" s="103">
        <v>2800</v>
      </c>
      <c r="L216" s="46">
        <f t="shared" si="19"/>
        <v>39200</v>
      </c>
      <c r="M216" s="173">
        <f t="shared" si="21"/>
        <v>3.9199999999999999E-3</v>
      </c>
      <c r="N216" s="144">
        <v>0.38112500000000005</v>
      </c>
      <c r="O216" s="146">
        <f t="shared" si="18"/>
        <v>1067.1500000000001</v>
      </c>
      <c r="P216" s="144">
        <v>0</v>
      </c>
      <c r="Q216" s="146">
        <f t="shared" si="20"/>
        <v>0</v>
      </c>
      <c r="R216" s="133">
        <f t="shared" si="22"/>
        <v>0</v>
      </c>
      <c r="S216" s="23" t="s">
        <v>1493</v>
      </c>
      <c r="T216" s="45" t="s">
        <v>1479</v>
      </c>
      <c r="AA216"/>
    </row>
    <row r="217" spans="1:27" s="45" customFormat="1" ht="12.75" x14ac:dyDescent="0.2">
      <c r="A217" s="24" t="s">
        <v>1502</v>
      </c>
      <c r="B217" s="174">
        <v>44652</v>
      </c>
      <c r="C217" s="23" t="s">
        <v>389</v>
      </c>
      <c r="D217" s="106">
        <v>5000108</v>
      </c>
      <c r="E217" s="24" t="s">
        <v>573</v>
      </c>
      <c r="F217" s="44" t="s">
        <v>424</v>
      </c>
      <c r="G217" s="47" t="s">
        <v>264</v>
      </c>
      <c r="H217" s="24" t="s">
        <v>644</v>
      </c>
      <c r="I217" s="44">
        <v>24</v>
      </c>
      <c r="J217" s="24" t="s">
        <v>3</v>
      </c>
      <c r="K217" s="103">
        <v>142536</v>
      </c>
      <c r="L217" s="46">
        <f t="shared" si="19"/>
        <v>3420864</v>
      </c>
      <c r="M217" s="173">
        <f t="shared" si="21"/>
        <v>0.34208640000000001</v>
      </c>
      <c r="N217" s="144">
        <v>0.67400000000000004</v>
      </c>
      <c r="O217" s="146">
        <f t="shared" si="18"/>
        <v>96069.26400000001</v>
      </c>
      <c r="P217" s="144">
        <v>43.458333333333336</v>
      </c>
      <c r="Q217" s="146">
        <f t="shared" si="20"/>
        <v>6194377</v>
      </c>
      <c r="R217" s="133">
        <f t="shared" si="22"/>
        <v>0.61943769999999998</v>
      </c>
      <c r="S217" s="23" t="s">
        <v>1493</v>
      </c>
      <c r="T217" s="45" t="s">
        <v>1479</v>
      </c>
      <c r="AA217"/>
    </row>
    <row r="218" spans="1:27" s="45" customFormat="1" ht="12.75" x14ac:dyDescent="0.2">
      <c r="A218" s="24" t="s">
        <v>1502</v>
      </c>
      <c r="B218" s="174">
        <v>44652</v>
      </c>
      <c r="C218" s="23" t="s">
        <v>389</v>
      </c>
      <c r="D218" s="106">
        <v>5000108</v>
      </c>
      <c r="E218" s="24" t="s">
        <v>573</v>
      </c>
      <c r="F218" s="44" t="s">
        <v>424</v>
      </c>
      <c r="G218" s="47" t="s">
        <v>264</v>
      </c>
      <c r="H218" s="24" t="s">
        <v>647</v>
      </c>
      <c r="I218" s="44">
        <v>24</v>
      </c>
      <c r="J218" s="24" t="s">
        <v>3</v>
      </c>
      <c r="K218" s="103">
        <v>142326</v>
      </c>
      <c r="L218" s="46">
        <f t="shared" si="19"/>
        <v>3415824</v>
      </c>
      <c r="M218" s="173">
        <f t="shared" si="21"/>
        <v>0.34158240000000001</v>
      </c>
      <c r="N218" s="144">
        <v>0.67400000000000004</v>
      </c>
      <c r="O218" s="146">
        <f t="shared" si="18"/>
        <v>95927.724000000002</v>
      </c>
      <c r="P218" s="144">
        <v>43.458333333333336</v>
      </c>
      <c r="Q218" s="146">
        <f t="shared" si="20"/>
        <v>6185250.75</v>
      </c>
      <c r="R218" s="133">
        <f t="shared" si="22"/>
        <v>0.61852507499999998</v>
      </c>
      <c r="S218" s="23" t="s">
        <v>1493</v>
      </c>
      <c r="T218" s="45" t="s">
        <v>1479</v>
      </c>
      <c r="AA218"/>
    </row>
    <row r="219" spans="1:27" s="45" customFormat="1" ht="12.75" x14ac:dyDescent="0.2">
      <c r="A219" s="24" t="s">
        <v>1502</v>
      </c>
      <c r="B219" s="174">
        <v>44652</v>
      </c>
      <c r="C219" s="23" t="s">
        <v>389</v>
      </c>
      <c r="D219" s="106">
        <v>5002702</v>
      </c>
      <c r="E219" s="24" t="s">
        <v>579</v>
      </c>
      <c r="F219" s="44" t="s">
        <v>426</v>
      </c>
      <c r="G219" s="47" t="s">
        <v>264</v>
      </c>
      <c r="H219" s="24" t="s">
        <v>651</v>
      </c>
      <c r="I219" s="44">
        <v>30</v>
      </c>
      <c r="J219" s="24" t="s">
        <v>7</v>
      </c>
      <c r="K219" s="103">
        <v>4030</v>
      </c>
      <c r="L219" s="46">
        <f t="shared" si="19"/>
        <v>120900</v>
      </c>
      <c r="M219" s="173">
        <f t="shared" si="21"/>
        <v>1.209E-2</v>
      </c>
      <c r="N219" s="144">
        <v>1.3169791666666666</v>
      </c>
      <c r="O219" s="146">
        <f t="shared" si="18"/>
        <v>5307.4260416666666</v>
      </c>
      <c r="P219" s="144">
        <v>67.05</v>
      </c>
      <c r="Q219" s="146">
        <f t="shared" si="20"/>
        <v>270211.5</v>
      </c>
      <c r="R219" s="133">
        <f t="shared" si="22"/>
        <v>2.7021150000000001E-2</v>
      </c>
      <c r="S219" s="23" t="s">
        <v>1493</v>
      </c>
      <c r="T219" s="45" t="s">
        <v>1479</v>
      </c>
      <c r="AA219"/>
    </row>
    <row r="220" spans="1:27" s="45" customFormat="1" ht="12.75" x14ac:dyDescent="0.2">
      <c r="A220" s="24" t="s">
        <v>1502</v>
      </c>
      <c r="B220" s="174">
        <v>44652</v>
      </c>
      <c r="C220" s="23" t="s">
        <v>389</v>
      </c>
      <c r="D220" s="106">
        <v>5002702</v>
      </c>
      <c r="E220" s="24" t="s">
        <v>579</v>
      </c>
      <c r="F220" s="44" t="s">
        <v>426</v>
      </c>
      <c r="G220" s="47" t="s">
        <v>264</v>
      </c>
      <c r="H220" s="24" t="s">
        <v>652</v>
      </c>
      <c r="I220" s="44">
        <v>30</v>
      </c>
      <c r="J220" s="24" t="s">
        <v>7</v>
      </c>
      <c r="K220" s="103">
        <v>3970</v>
      </c>
      <c r="L220" s="46">
        <f t="shared" si="19"/>
        <v>119100</v>
      </c>
      <c r="M220" s="173">
        <f t="shared" si="21"/>
        <v>1.191E-2</v>
      </c>
      <c r="N220" s="144">
        <v>1.3169791666666666</v>
      </c>
      <c r="O220" s="146">
        <f t="shared" si="18"/>
        <v>5228.4072916666664</v>
      </c>
      <c r="P220" s="144">
        <v>67.05</v>
      </c>
      <c r="Q220" s="146">
        <f t="shared" si="20"/>
        <v>266188.5</v>
      </c>
      <c r="R220" s="133">
        <f t="shared" si="22"/>
        <v>2.6618849999999999E-2</v>
      </c>
      <c r="S220" s="23" t="s">
        <v>1493</v>
      </c>
      <c r="T220" s="45" t="s">
        <v>1479</v>
      </c>
      <c r="AA220"/>
    </row>
    <row r="221" spans="1:27" s="45" customFormat="1" ht="12.75" x14ac:dyDescent="0.2">
      <c r="A221" s="24" t="s">
        <v>1502</v>
      </c>
      <c r="B221" s="174">
        <v>44652</v>
      </c>
      <c r="C221" s="23" t="s">
        <v>389</v>
      </c>
      <c r="D221" s="106">
        <v>5006350</v>
      </c>
      <c r="E221" s="24" t="s">
        <v>577</v>
      </c>
      <c r="F221" s="44" t="s">
        <v>424</v>
      </c>
      <c r="G221" s="47" t="s">
        <v>264</v>
      </c>
      <c r="H221" s="24" t="s">
        <v>654</v>
      </c>
      <c r="I221" s="44">
        <v>14</v>
      </c>
      <c r="J221" s="24" t="s">
        <v>3</v>
      </c>
      <c r="K221" s="103">
        <v>2220</v>
      </c>
      <c r="L221" s="46">
        <f t="shared" si="19"/>
        <v>31080</v>
      </c>
      <c r="M221" s="173">
        <f t="shared" si="21"/>
        <v>3.1080000000000001E-3</v>
      </c>
      <c r="N221" s="144">
        <v>0.38112500000000005</v>
      </c>
      <c r="O221" s="146">
        <f t="shared" si="18"/>
        <v>846.09750000000008</v>
      </c>
      <c r="P221" s="144">
        <v>0</v>
      </c>
      <c r="Q221" s="146">
        <f t="shared" si="20"/>
        <v>0</v>
      </c>
      <c r="R221" s="133">
        <f t="shared" si="22"/>
        <v>0</v>
      </c>
      <c r="S221" s="23" t="s">
        <v>1493</v>
      </c>
      <c r="T221" s="45" t="s">
        <v>1479</v>
      </c>
      <c r="AA221"/>
    </row>
    <row r="222" spans="1:27" s="45" customFormat="1" ht="12.75" x14ac:dyDescent="0.2">
      <c r="A222" s="24" t="s">
        <v>1502</v>
      </c>
      <c r="B222" s="174">
        <v>44652</v>
      </c>
      <c r="C222" s="23" t="s">
        <v>389</v>
      </c>
      <c r="D222" s="106">
        <v>5000108</v>
      </c>
      <c r="E222" s="24" t="s">
        <v>573</v>
      </c>
      <c r="F222" s="44" t="s">
        <v>424</v>
      </c>
      <c r="G222" s="47" t="s">
        <v>264</v>
      </c>
      <c r="H222" s="24" t="s">
        <v>655</v>
      </c>
      <c r="I222" s="44">
        <v>24</v>
      </c>
      <c r="J222" s="24" t="s">
        <v>3</v>
      </c>
      <c r="K222" s="103">
        <v>141306</v>
      </c>
      <c r="L222" s="46">
        <f t="shared" si="19"/>
        <v>3391344</v>
      </c>
      <c r="M222" s="173">
        <f t="shared" si="21"/>
        <v>0.3391344</v>
      </c>
      <c r="N222" s="144">
        <v>0.67400000000000004</v>
      </c>
      <c r="O222" s="146">
        <f t="shared" si="18"/>
        <v>95240.244000000006</v>
      </c>
      <c r="P222" s="144">
        <v>43.458333333333336</v>
      </c>
      <c r="Q222" s="146">
        <f t="shared" si="20"/>
        <v>6140923.25</v>
      </c>
      <c r="R222" s="133">
        <f t="shared" si="22"/>
        <v>0.61409232499999999</v>
      </c>
      <c r="S222" s="23" t="s">
        <v>1493</v>
      </c>
      <c r="T222" s="45" t="s">
        <v>1479</v>
      </c>
      <c r="AA222"/>
    </row>
    <row r="223" spans="1:27" s="45" customFormat="1" ht="12.75" x14ac:dyDescent="0.2">
      <c r="A223" s="24" t="s">
        <v>1502</v>
      </c>
      <c r="B223" s="174">
        <v>44652</v>
      </c>
      <c r="C223" s="23" t="s">
        <v>389</v>
      </c>
      <c r="D223" s="106">
        <v>5001467</v>
      </c>
      <c r="E223" s="24" t="s">
        <v>325</v>
      </c>
      <c r="F223" s="44" t="s">
        <v>426</v>
      </c>
      <c r="G223" s="47" t="s">
        <v>264</v>
      </c>
      <c r="H223" s="24" t="s">
        <v>656</v>
      </c>
      <c r="I223" s="44">
        <v>500</v>
      </c>
      <c r="J223" s="24" t="s">
        <v>7</v>
      </c>
      <c r="K223" s="103">
        <v>2785</v>
      </c>
      <c r="L223" s="46">
        <f t="shared" si="19"/>
        <v>1392500</v>
      </c>
      <c r="M223" s="173">
        <f t="shared" si="21"/>
        <v>0.13925000000000001</v>
      </c>
      <c r="N223" s="144">
        <v>9.578125</v>
      </c>
      <c r="O223" s="146">
        <f t="shared" si="18"/>
        <v>26675.078125</v>
      </c>
      <c r="P223" s="144">
        <v>341.31374999999997</v>
      </c>
      <c r="Q223" s="146">
        <f t="shared" si="20"/>
        <v>950558.79374999995</v>
      </c>
      <c r="R223" s="133">
        <f t="shared" si="22"/>
        <v>9.5055879374999999E-2</v>
      </c>
      <c r="S223" s="23" t="s">
        <v>1493</v>
      </c>
      <c r="T223" s="45" t="s">
        <v>1479</v>
      </c>
      <c r="AA223"/>
    </row>
    <row r="224" spans="1:27" s="45" customFormat="1" ht="12.75" x14ac:dyDescent="0.2">
      <c r="A224" s="24" t="s">
        <v>1502</v>
      </c>
      <c r="B224" s="174">
        <v>44652</v>
      </c>
      <c r="C224" s="23" t="s">
        <v>389</v>
      </c>
      <c r="D224" s="106">
        <v>5001467</v>
      </c>
      <c r="E224" s="24" t="s">
        <v>325</v>
      </c>
      <c r="F224" s="44" t="s">
        <v>426</v>
      </c>
      <c r="G224" s="47" t="s">
        <v>264</v>
      </c>
      <c r="H224" s="24" t="s">
        <v>657</v>
      </c>
      <c r="I224" s="44">
        <v>500</v>
      </c>
      <c r="J224" s="24" t="s">
        <v>7</v>
      </c>
      <c r="K224" s="103">
        <v>2851</v>
      </c>
      <c r="L224" s="46">
        <f t="shared" si="19"/>
        <v>1425500</v>
      </c>
      <c r="M224" s="173">
        <f t="shared" si="21"/>
        <v>0.14255000000000001</v>
      </c>
      <c r="N224" s="144">
        <v>9.578125</v>
      </c>
      <c r="O224" s="146">
        <f t="shared" si="18"/>
        <v>27307.234375</v>
      </c>
      <c r="P224" s="144">
        <v>341.31374999999997</v>
      </c>
      <c r="Q224" s="146">
        <f t="shared" si="20"/>
        <v>973085.50124999997</v>
      </c>
      <c r="R224" s="133">
        <f t="shared" si="22"/>
        <v>9.7308550125000004E-2</v>
      </c>
      <c r="S224" s="23" t="s">
        <v>1493</v>
      </c>
      <c r="T224" s="45" t="s">
        <v>1479</v>
      </c>
      <c r="AA224"/>
    </row>
    <row r="225" spans="1:27" s="45" customFormat="1" ht="12.75" x14ac:dyDescent="0.2">
      <c r="A225" s="24" t="s">
        <v>1502</v>
      </c>
      <c r="B225" s="174">
        <v>44652</v>
      </c>
      <c r="C225" s="23" t="s">
        <v>389</v>
      </c>
      <c r="D225" s="106">
        <v>5001552</v>
      </c>
      <c r="E225" s="24" t="s">
        <v>330</v>
      </c>
      <c r="F225" s="44" t="s">
        <v>426</v>
      </c>
      <c r="G225" s="47" t="s">
        <v>264</v>
      </c>
      <c r="H225" s="24" t="s">
        <v>658</v>
      </c>
      <c r="I225" s="44">
        <v>30</v>
      </c>
      <c r="J225" s="24" t="s">
        <v>7</v>
      </c>
      <c r="K225" s="103">
        <v>35019</v>
      </c>
      <c r="L225" s="46">
        <f t="shared" si="19"/>
        <v>1050570</v>
      </c>
      <c r="M225" s="173">
        <f t="shared" si="21"/>
        <v>0.105057</v>
      </c>
      <c r="N225" s="144">
        <v>1.3169791666666666</v>
      </c>
      <c r="O225" s="146">
        <f t="shared" si="18"/>
        <v>46119.293437499997</v>
      </c>
      <c r="P225" s="144">
        <v>60.67799988903684</v>
      </c>
      <c r="Q225" s="146">
        <f t="shared" si="20"/>
        <v>2124882.8781141811</v>
      </c>
      <c r="R225" s="133">
        <f t="shared" si="22"/>
        <v>0.2124882878114181</v>
      </c>
      <c r="S225" s="23" t="s">
        <v>1493</v>
      </c>
      <c r="T225" s="45" t="s">
        <v>1479</v>
      </c>
      <c r="AA225"/>
    </row>
    <row r="226" spans="1:27" s="45" customFormat="1" ht="12.75" x14ac:dyDescent="0.2">
      <c r="A226" s="24" t="s">
        <v>1502</v>
      </c>
      <c r="B226" s="174">
        <v>44652</v>
      </c>
      <c r="C226" s="23" t="s">
        <v>389</v>
      </c>
      <c r="D226" s="106">
        <v>5002702</v>
      </c>
      <c r="E226" s="24" t="s">
        <v>579</v>
      </c>
      <c r="F226" s="44" t="s">
        <v>426</v>
      </c>
      <c r="G226" s="47" t="s">
        <v>264</v>
      </c>
      <c r="H226" s="24" t="s">
        <v>659</v>
      </c>
      <c r="I226" s="44">
        <v>30</v>
      </c>
      <c r="J226" s="24" t="s">
        <v>7</v>
      </c>
      <c r="K226" s="103">
        <v>3490</v>
      </c>
      <c r="L226" s="46">
        <f t="shared" si="19"/>
        <v>104700</v>
      </c>
      <c r="M226" s="173">
        <f t="shared" si="21"/>
        <v>1.047E-2</v>
      </c>
      <c r="N226" s="144">
        <v>1.3169791666666666</v>
      </c>
      <c r="O226" s="146">
        <f t="shared" si="18"/>
        <v>4596.2572916666668</v>
      </c>
      <c r="P226" s="144">
        <v>67.05</v>
      </c>
      <c r="Q226" s="146">
        <f t="shared" si="20"/>
        <v>234004.5</v>
      </c>
      <c r="R226" s="133">
        <f t="shared" si="22"/>
        <v>2.340045E-2</v>
      </c>
      <c r="S226" s="23" t="s">
        <v>1493</v>
      </c>
      <c r="T226" s="45" t="s">
        <v>1479</v>
      </c>
      <c r="AA226"/>
    </row>
    <row r="227" spans="1:27" s="45" customFormat="1" ht="12.75" x14ac:dyDescent="0.2">
      <c r="A227" s="24" t="s">
        <v>1502</v>
      </c>
      <c r="B227" s="174">
        <v>44652</v>
      </c>
      <c r="C227" s="23" t="s">
        <v>389</v>
      </c>
      <c r="D227" s="106">
        <v>5000108</v>
      </c>
      <c r="E227" s="24" t="s">
        <v>573</v>
      </c>
      <c r="F227" s="44" t="s">
        <v>424</v>
      </c>
      <c r="G227" s="47" t="s">
        <v>264</v>
      </c>
      <c r="H227" s="24" t="s">
        <v>660</v>
      </c>
      <c r="I227" s="44">
        <v>24</v>
      </c>
      <c r="J227" s="24" t="s">
        <v>3</v>
      </c>
      <c r="K227" s="103">
        <v>143136</v>
      </c>
      <c r="L227" s="46">
        <f t="shared" si="19"/>
        <v>3435264</v>
      </c>
      <c r="M227" s="173">
        <f t="shared" si="21"/>
        <v>0.34352640000000001</v>
      </c>
      <c r="N227" s="144">
        <v>0.67400000000000004</v>
      </c>
      <c r="O227" s="146">
        <f t="shared" si="18"/>
        <v>96473.664000000004</v>
      </c>
      <c r="P227" s="144">
        <v>43.458333333333336</v>
      </c>
      <c r="Q227" s="146">
        <f t="shared" si="20"/>
        <v>6220452</v>
      </c>
      <c r="R227" s="133">
        <f t="shared" si="22"/>
        <v>0.62204519999999996</v>
      </c>
      <c r="S227" s="23" t="s">
        <v>1493</v>
      </c>
      <c r="T227" s="45" t="s">
        <v>1479</v>
      </c>
      <c r="AA227"/>
    </row>
    <row r="228" spans="1:27" s="45" customFormat="1" ht="12.75" x14ac:dyDescent="0.2">
      <c r="A228" s="24" t="s">
        <v>1502</v>
      </c>
      <c r="B228" s="174">
        <v>44652</v>
      </c>
      <c r="C228" s="23" t="s">
        <v>389</v>
      </c>
      <c r="D228" s="106">
        <v>5003032</v>
      </c>
      <c r="E228" s="24" t="s">
        <v>322</v>
      </c>
      <c r="F228" s="44" t="s">
        <v>426</v>
      </c>
      <c r="G228" s="47" t="s">
        <v>264</v>
      </c>
      <c r="H228" s="24" t="s">
        <v>666</v>
      </c>
      <c r="I228" s="44">
        <v>500</v>
      </c>
      <c r="J228" s="24" t="s">
        <v>7</v>
      </c>
      <c r="K228" s="103">
        <v>2041</v>
      </c>
      <c r="L228" s="46">
        <f t="shared" si="19"/>
        <v>1020500</v>
      </c>
      <c r="M228" s="173">
        <f t="shared" si="21"/>
        <v>0.10205</v>
      </c>
      <c r="N228" s="144">
        <v>12.515625</v>
      </c>
      <c r="O228" s="146">
        <f t="shared" si="18"/>
        <v>25544.390625</v>
      </c>
      <c r="P228" s="144">
        <v>891.39374753451682</v>
      </c>
      <c r="Q228" s="146">
        <f t="shared" si="20"/>
        <v>1819334.6387179489</v>
      </c>
      <c r="R228" s="133">
        <f t="shared" si="22"/>
        <v>0.1819334638717949</v>
      </c>
      <c r="S228" s="23" t="s">
        <v>1493</v>
      </c>
      <c r="T228" s="45" t="s">
        <v>1479</v>
      </c>
      <c r="AA228"/>
    </row>
    <row r="229" spans="1:27" s="45" customFormat="1" ht="12.75" x14ac:dyDescent="0.2">
      <c r="A229" s="24" t="s">
        <v>1502</v>
      </c>
      <c r="B229" s="174">
        <v>44652</v>
      </c>
      <c r="C229" s="23" t="s">
        <v>389</v>
      </c>
      <c r="D229" s="106">
        <v>5000108</v>
      </c>
      <c r="E229" s="24" t="s">
        <v>573</v>
      </c>
      <c r="F229" s="44" t="s">
        <v>424</v>
      </c>
      <c r="G229" s="47" t="s">
        <v>264</v>
      </c>
      <c r="H229" s="24" t="s">
        <v>667</v>
      </c>
      <c r="I229" s="44">
        <v>24</v>
      </c>
      <c r="J229" s="24" t="s">
        <v>3</v>
      </c>
      <c r="K229" s="103">
        <v>140826</v>
      </c>
      <c r="L229" s="46">
        <f t="shared" si="19"/>
        <v>3379824</v>
      </c>
      <c r="M229" s="173">
        <f t="shared" si="21"/>
        <v>0.33798240000000002</v>
      </c>
      <c r="N229" s="144">
        <v>0.67400000000000004</v>
      </c>
      <c r="O229" s="146">
        <f t="shared" si="18"/>
        <v>94916.724000000002</v>
      </c>
      <c r="P229" s="144">
        <v>43.458333333333336</v>
      </c>
      <c r="Q229" s="146">
        <f t="shared" si="20"/>
        <v>6120063.25</v>
      </c>
      <c r="R229" s="133">
        <f t="shared" si="22"/>
        <v>0.61200632499999996</v>
      </c>
      <c r="S229" s="23" t="s">
        <v>1493</v>
      </c>
      <c r="T229" s="45" t="s">
        <v>1479</v>
      </c>
      <c r="AA229"/>
    </row>
    <row r="230" spans="1:27" s="45" customFormat="1" ht="12.75" x14ac:dyDescent="0.2">
      <c r="A230" s="24" t="s">
        <v>1502</v>
      </c>
      <c r="B230" s="174">
        <v>44652</v>
      </c>
      <c r="C230" s="23" t="s">
        <v>389</v>
      </c>
      <c r="D230" s="106">
        <v>5000633</v>
      </c>
      <c r="E230" s="24" t="s">
        <v>12</v>
      </c>
      <c r="F230" s="44" t="s">
        <v>424</v>
      </c>
      <c r="G230" s="47" t="s">
        <v>264</v>
      </c>
      <c r="H230" s="24" t="s">
        <v>668</v>
      </c>
      <c r="I230" s="44">
        <v>10</v>
      </c>
      <c r="J230" s="24" t="s">
        <v>3</v>
      </c>
      <c r="K230" s="103">
        <v>97694</v>
      </c>
      <c r="L230" s="46">
        <f t="shared" si="19"/>
        <v>976940</v>
      </c>
      <c r="M230" s="173">
        <f t="shared" si="21"/>
        <v>9.7694000000000003E-2</v>
      </c>
      <c r="N230" s="144">
        <v>0.2879591836734694</v>
      </c>
      <c r="O230" s="146">
        <f t="shared" si="18"/>
        <v>28131.884489795921</v>
      </c>
      <c r="P230" s="144">
        <v>8.94</v>
      </c>
      <c r="Q230" s="146">
        <f t="shared" si="20"/>
        <v>873384.36</v>
      </c>
      <c r="R230" s="133">
        <f t="shared" si="22"/>
        <v>8.7338436000000005E-2</v>
      </c>
      <c r="S230" s="23" t="s">
        <v>1493</v>
      </c>
      <c r="T230" s="45" t="s">
        <v>1479</v>
      </c>
      <c r="AA230"/>
    </row>
    <row r="231" spans="1:27" s="45" customFormat="1" ht="12.75" x14ac:dyDescent="0.2">
      <c r="A231" s="24" t="s">
        <v>1502</v>
      </c>
      <c r="B231" s="174">
        <v>44652</v>
      </c>
      <c r="C231" s="23" t="s">
        <v>389</v>
      </c>
      <c r="D231" s="106">
        <v>5001534</v>
      </c>
      <c r="E231" s="24" t="s">
        <v>213</v>
      </c>
      <c r="F231" s="44" t="s">
        <v>426</v>
      </c>
      <c r="G231" s="47" t="s">
        <v>264</v>
      </c>
      <c r="H231" s="24" t="s">
        <v>669</v>
      </c>
      <c r="I231" s="44">
        <v>90</v>
      </c>
      <c r="J231" s="24" t="s">
        <v>7</v>
      </c>
      <c r="K231" s="103">
        <v>11347</v>
      </c>
      <c r="L231" s="46">
        <f t="shared" si="19"/>
        <v>1021230</v>
      </c>
      <c r="M231" s="173">
        <f t="shared" si="21"/>
        <v>0.10212300000000001</v>
      </c>
      <c r="N231" s="144">
        <v>3.0630208333333333</v>
      </c>
      <c r="O231" s="146">
        <f t="shared" si="18"/>
        <v>34756.097395833334</v>
      </c>
      <c r="P231" s="144">
        <v>144.11024929527838</v>
      </c>
      <c r="Q231" s="146">
        <f t="shared" si="20"/>
        <v>1635218.9987535237</v>
      </c>
      <c r="R231" s="133">
        <f t="shared" si="22"/>
        <v>0.16352189987535237</v>
      </c>
      <c r="S231" s="23" t="s">
        <v>1493</v>
      </c>
      <c r="T231" s="45" t="s">
        <v>1479</v>
      </c>
      <c r="AA231"/>
    </row>
    <row r="232" spans="1:27" s="45" customFormat="1" ht="12.75" x14ac:dyDescent="0.2">
      <c r="A232" s="24" t="s">
        <v>1502</v>
      </c>
      <c r="B232" s="174">
        <v>44652</v>
      </c>
      <c r="C232" s="23" t="s">
        <v>389</v>
      </c>
      <c r="D232" s="106">
        <v>5004756</v>
      </c>
      <c r="E232" s="24" t="s">
        <v>217</v>
      </c>
      <c r="F232" s="44" t="s">
        <v>426</v>
      </c>
      <c r="G232" s="47" t="s">
        <v>264</v>
      </c>
      <c r="H232" s="24" t="s">
        <v>670</v>
      </c>
      <c r="I232" s="44">
        <v>60</v>
      </c>
      <c r="J232" s="24" t="s">
        <v>7</v>
      </c>
      <c r="K232" s="103">
        <v>8072</v>
      </c>
      <c r="L232" s="46">
        <f t="shared" si="19"/>
        <v>484320</v>
      </c>
      <c r="M232" s="173">
        <f t="shared" si="21"/>
        <v>4.8432000000000003E-2</v>
      </c>
      <c r="N232" s="144">
        <v>3.0345833333333334</v>
      </c>
      <c r="O232" s="146">
        <f t="shared" si="18"/>
        <v>24495.156666666666</v>
      </c>
      <c r="P232" s="144">
        <v>319.98750000000001</v>
      </c>
      <c r="Q232" s="146">
        <f t="shared" si="20"/>
        <v>2582939.1</v>
      </c>
      <c r="R232" s="133">
        <f t="shared" si="22"/>
        <v>0.25829391000000002</v>
      </c>
      <c r="S232" s="23" t="s">
        <v>1493</v>
      </c>
      <c r="T232" s="45" t="s">
        <v>1479</v>
      </c>
      <c r="AA232"/>
    </row>
    <row r="233" spans="1:27" s="45" customFormat="1" ht="12.75" x14ac:dyDescent="0.2">
      <c r="A233" s="24" t="s">
        <v>1502</v>
      </c>
      <c r="B233" s="174">
        <v>44652</v>
      </c>
      <c r="C233" s="23" t="s">
        <v>389</v>
      </c>
      <c r="D233" s="106">
        <v>5006689</v>
      </c>
      <c r="E233" s="24" t="s">
        <v>415</v>
      </c>
      <c r="F233" s="44" t="s">
        <v>424</v>
      </c>
      <c r="G233" s="47" t="s">
        <v>264</v>
      </c>
      <c r="H233" s="24" t="s">
        <v>404</v>
      </c>
      <c r="I233" s="44">
        <v>18</v>
      </c>
      <c r="J233" s="24" t="s">
        <v>3</v>
      </c>
      <c r="K233" s="103">
        <v>1788</v>
      </c>
      <c r="L233" s="46">
        <f t="shared" si="19"/>
        <v>32184</v>
      </c>
      <c r="M233" s="173">
        <f t="shared" si="21"/>
        <v>3.2184000000000002E-3</v>
      </c>
      <c r="N233" s="144">
        <v>0</v>
      </c>
      <c r="O233" s="146">
        <f t="shared" si="18"/>
        <v>0</v>
      </c>
      <c r="P233" s="144">
        <v>0</v>
      </c>
      <c r="Q233" s="146">
        <f t="shared" si="20"/>
        <v>0</v>
      </c>
      <c r="R233" s="133">
        <f t="shared" si="22"/>
        <v>0</v>
      </c>
      <c r="S233" s="23" t="s">
        <v>1493</v>
      </c>
      <c r="T233" s="45" t="s">
        <v>1479</v>
      </c>
      <c r="AA233"/>
    </row>
    <row r="234" spans="1:27" s="45" customFormat="1" ht="12.75" x14ac:dyDescent="0.2">
      <c r="A234" s="24" t="s">
        <v>1502</v>
      </c>
      <c r="B234" s="174">
        <v>44652</v>
      </c>
      <c r="C234" s="23" t="s">
        <v>389</v>
      </c>
      <c r="D234" s="106">
        <v>5006730</v>
      </c>
      <c r="E234" s="24" t="s">
        <v>416</v>
      </c>
      <c r="F234" s="44" t="s">
        <v>424</v>
      </c>
      <c r="G234" s="47" t="s">
        <v>264</v>
      </c>
      <c r="H234" s="24" t="s">
        <v>404</v>
      </c>
      <c r="I234" s="44">
        <v>24</v>
      </c>
      <c r="J234" s="24" t="s">
        <v>3</v>
      </c>
      <c r="K234" s="103">
        <v>1836</v>
      </c>
      <c r="L234" s="46">
        <f t="shared" si="19"/>
        <v>44064</v>
      </c>
      <c r="M234" s="173">
        <f t="shared" si="21"/>
        <v>4.4064000000000004E-3</v>
      </c>
      <c r="N234" s="144">
        <v>0</v>
      </c>
      <c r="O234" s="146">
        <f t="shared" si="18"/>
        <v>0</v>
      </c>
      <c r="P234" s="144">
        <v>0</v>
      </c>
      <c r="Q234" s="146">
        <f t="shared" si="20"/>
        <v>0</v>
      </c>
      <c r="R234" s="133">
        <f t="shared" si="22"/>
        <v>0</v>
      </c>
      <c r="S234" s="23" t="s">
        <v>1493</v>
      </c>
      <c r="T234" s="45" t="s">
        <v>1479</v>
      </c>
      <c r="AA234"/>
    </row>
    <row r="235" spans="1:27" s="45" customFormat="1" ht="12.75" x14ac:dyDescent="0.2">
      <c r="A235" s="24" t="s">
        <v>1502</v>
      </c>
      <c r="B235" s="174">
        <v>44652</v>
      </c>
      <c r="C235" s="23" t="s">
        <v>389</v>
      </c>
      <c r="D235" s="106">
        <v>5000108</v>
      </c>
      <c r="E235" s="24" t="s">
        <v>573</v>
      </c>
      <c r="F235" s="44" t="s">
        <v>424</v>
      </c>
      <c r="G235" s="47" t="s">
        <v>264</v>
      </c>
      <c r="H235" s="24" t="s">
        <v>671</v>
      </c>
      <c r="I235" s="44">
        <v>24</v>
      </c>
      <c r="J235" s="24" t="s">
        <v>3</v>
      </c>
      <c r="K235" s="103">
        <v>136446</v>
      </c>
      <c r="L235" s="46">
        <f t="shared" si="19"/>
        <v>3274704</v>
      </c>
      <c r="M235" s="173">
        <f t="shared" si="21"/>
        <v>0.32747039999999999</v>
      </c>
      <c r="N235" s="144">
        <v>0.67400000000000004</v>
      </c>
      <c r="O235" s="146">
        <f t="shared" si="18"/>
        <v>91964.604000000007</v>
      </c>
      <c r="P235" s="144">
        <v>43.458333333333336</v>
      </c>
      <c r="Q235" s="146">
        <f t="shared" si="20"/>
        <v>5929715.75</v>
      </c>
      <c r="R235" s="133">
        <f t="shared" si="22"/>
        <v>0.59297157499999997</v>
      </c>
      <c r="S235" s="23" t="s">
        <v>1493</v>
      </c>
      <c r="T235" s="45" t="s">
        <v>1479</v>
      </c>
      <c r="AA235"/>
    </row>
    <row r="236" spans="1:27" s="45" customFormat="1" ht="12.75" x14ac:dyDescent="0.2">
      <c r="A236" s="24" t="s">
        <v>1502</v>
      </c>
      <c r="B236" s="174">
        <v>44652</v>
      </c>
      <c r="C236" s="23" t="s">
        <v>389</v>
      </c>
      <c r="D236" s="106">
        <v>5000633</v>
      </c>
      <c r="E236" s="24" t="s">
        <v>12</v>
      </c>
      <c r="F236" s="44" t="s">
        <v>424</v>
      </c>
      <c r="G236" s="47" t="s">
        <v>264</v>
      </c>
      <c r="H236" s="24" t="s">
        <v>674</v>
      </c>
      <c r="I236" s="44">
        <v>10</v>
      </c>
      <c r="J236" s="24" t="s">
        <v>3</v>
      </c>
      <c r="K236" s="103">
        <v>96734</v>
      </c>
      <c r="L236" s="46">
        <f t="shared" si="19"/>
        <v>967340</v>
      </c>
      <c r="M236" s="173">
        <f t="shared" si="21"/>
        <v>9.6734000000000001E-2</v>
      </c>
      <c r="N236" s="144">
        <v>0.2879591836734694</v>
      </c>
      <c r="O236" s="146">
        <f t="shared" si="18"/>
        <v>27855.443673469388</v>
      </c>
      <c r="P236" s="144">
        <v>8.94</v>
      </c>
      <c r="Q236" s="146">
        <f t="shared" si="20"/>
        <v>864801.96</v>
      </c>
      <c r="R236" s="133">
        <f t="shared" si="22"/>
        <v>8.6480195999999995E-2</v>
      </c>
      <c r="S236" s="23" t="s">
        <v>1493</v>
      </c>
      <c r="T236" s="45" t="s">
        <v>1479</v>
      </c>
      <c r="AA236"/>
    </row>
    <row r="237" spans="1:27" s="45" customFormat="1" ht="12.75" x14ac:dyDescent="0.2">
      <c r="A237" s="24" t="s">
        <v>1502</v>
      </c>
      <c r="B237" s="174">
        <v>44652</v>
      </c>
      <c r="C237" s="23" t="s">
        <v>389</v>
      </c>
      <c r="D237" s="106">
        <v>5004756</v>
      </c>
      <c r="E237" s="24" t="s">
        <v>217</v>
      </c>
      <c r="F237" s="44" t="s">
        <v>426</v>
      </c>
      <c r="G237" s="47" t="s">
        <v>264</v>
      </c>
      <c r="H237" s="24" t="s">
        <v>677</v>
      </c>
      <c r="I237" s="44">
        <v>60</v>
      </c>
      <c r="J237" s="24" t="s">
        <v>7</v>
      </c>
      <c r="K237" s="103">
        <v>8144</v>
      </c>
      <c r="L237" s="46">
        <f t="shared" si="19"/>
        <v>488640</v>
      </c>
      <c r="M237" s="173">
        <f t="shared" si="21"/>
        <v>4.8863999999999998E-2</v>
      </c>
      <c r="N237" s="144">
        <v>3.0345833333333334</v>
      </c>
      <c r="O237" s="146">
        <f t="shared" si="18"/>
        <v>24713.646666666667</v>
      </c>
      <c r="P237" s="144">
        <v>319.98750000000001</v>
      </c>
      <c r="Q237" s="146">
        <f t="shared" si="20"/>
        <v>2605978.2000000002</v>
      </c>
      <c r="R237" s="133">
        <f t="shared" si="22"/>
        <v>0.26059782000000004</v>
      </c>
      <c r="S237" s="23" t="s">
        <v>1493</v>
      </c>
      <c r="T237" s="45" t="s">
        <v>1479</v>
      </c>
      <c r="AA237"/>
    </row>
    <row r="238" spans="1:27" s="45" customFormat="1" ht="12.75" x14ac:dyDescent="0.2">
      <c r="A238" s="24" t="s">
        <v>1502</v>
      </c>
      <c r="B238" s="174">
        <v>44652</v>
      </c>
      <c r="C238" s="23" t="s">
        <v>389</v>
      </c>
      <c r="D238" s="106">
        <v>5000108</v>
      </c>
      <c r="E238" s="24" t="s">
        <v>573</v>
      </c>
      <c r="F238" s="44" t="s">
        <v>424</v>
      </c>
      <c r="G238" s="47" t="s">
        <v>264</v>
      </c>
      <c r="H238" s="24" t="s">
        <v>678</v>
      </c>
      <c r="I238" s="44">
        <v>24</v>
      </c>
      <c r="J238" s="24" t="s">
        <v>3</v>
      </c>
      <c r="K238" s="103">
        <v>140916</v>
      </c>
      <c r="L238" s="46">
        <f t="shared" si="19"/>
        <v>3381984</v>
      </c>
      <c r="M238" s="173">
        <f t="shared" si="21"/>
        <v>0.33819840000000001</v>
      </c>
      <c r="N238" s="144">
        <v>0.67400000000000004</v>
      </c>
      <c r="O238" s="146">
        <f t="shared" si="18"/>
        <v>94977.384000000005</v>
      </c>
      <c r="P238" s="144">
        <v>43.458333333333336</v>
      </c>
      <c r="Q238" s="146">
        <f t="shared" si="20"/>
        <v>6123974.5</v>
      </c>
      <c r="R238" s="133">
        <f t="shared" si="22"/>
        <v>0.61239745000000001</v>
      </c>
      <c r="S238" s="23" t="s">
        <v>1493</v>
      </c>
      <c r="T238" s="45" t="s">
        <v>1479</v>
      </c>
      <c r="AA238"/>
    </row>
    <row r="239" spans="1:27" s="45" customFormat="1" ht="12.75" x14ac:dyDescent="0.2">
      <c r="A239" s="24" t="s">
        <v>1502</v>
      </c>
      <c r="B239" s="174">
        <v>44652</v>
      </c>
      <c r="C239" s="23" t="s">
        <v>389</v>
      </c>
      <c r="D239" s="106">
        <v>5001534</v>
      </c>
      <c r="E239" s="24" t="s">
        <v>213</v>
      </c>
      <c r="F239" s="44" t="s">
        <v>426</v>
      </c>
      <c r="G239" s="47" t="s">
        <v>264</v>
      </c>
      <c r="H239" s="24" t="s">
        <v>680</v>
      </c>
      <c r="I239" s="44">
        <v>90</v>
      </c>
      <c r="J239" s="24" t="s">
        <v>7</v>
      </c>
      <c r="K239" s="103">
        <v>11347</v>
      </c>
      <c r="L239" s="46">
        <f t="shared" si="19"/>
        <v>1021230</v>
      </c>
      <c r="M239" s="173">
        <f t="shared" si="21"/>
        <v>0.10212300000000001</v>
      </c>
      <c r="N239" s="144">
        <v>3.0630208333333333</v>
      </c>
      <c r="O239" s="146">
        <f t="shared" si="18"/>
        <v>34756.097395833334</v>
      </c>
      <c r="P239" s="144">
        <v>144.11024929527838</v>
      </c>
      <c r="Q239" s="146">
        <f t="shared" si="20"/>
        <v>1635218.9987535237</v>
      </c>
      <c r="R239" s="133">
        <f t="shared" si="22"/>
        <v>0.16352189987535237</v>
      </c>
      <c r="S239" s="23" t="s">
        <v>1493</v>
      </c>
      <c r="T239" s="45" t="s">
        <v>1479</v>
      </c>
      <c r="AA239"/>
    </row>
    <row r="240" spans="1:27" s="45" customFormat="1" ht="12.75" x14ac:dyDescent="0.2">
      <c r="A240" s="24" t="s">
        <v>1502</v>
      </c>
      <c r="B240" s="174">
        <v>44652</v>
      </c>
      <c r="C240" s="23" t="s">
        <v>389</v>
      </c>
      <c r="D240" s="106">
        <v>5004758</v>
      </c>
      <c r="E240" s="24" t="s">
        <v>400</v>
      </c>
      <c r="F240" s="44" t="s">
        <v>426</v>
      </c>
      <c r="G240" s="47" t="s">
        <v>264</v>
      </c>
      <c r="H240" s="24" t="s">
        <v>681</v>
      </c>
      <c r="I240" s="44">
        <v>500</v>
      </c>
      <c r="J240" s="24" t="s">
        <v>7</v>
      </c>
      <c r="K240" s="103">
        <v>1003</v>
      </c>
      <c r="L240" s="46">
        <f t="shared" si="19"/>
        <v>501500</v>
      </c>
      <c r="M240" s="173">
        <f t="shared" si="21"/>
        <v>5.015E-2</v>
      </c>
      <c r="N240" s="144">
        <v>17.34375</v>
      </c>
      <c r="O240" s="146">
        <f t="shared" si="18"/>
        <v>17395.78125</v>
      </c>
      <c r="P240" s="144">
        <v>2652.65</v>
      </c>
      <c r="Q240" s="146">
        <f t="shared" si="20"/>
        <v>2660607.9500000002</v>
      </c>
      <c r="R240" s="133">
        <f t="shared" si="22"/>
        <v>0.26606079500000002</v>
      </c>
      <c r="S240" s="23" t="s">
        <v>1493</v>
      </c>
      <c r="T240" s="45" t="s">
        <v>1479</v>
      </c>
      <c r="AA240"/>
    </row>
    <row r="241" spans="1:27" s="45" customFormat="1" ht="12.75" x14ac:dyDescent="0.2">
      <c r="A241" s="24" t="s">
        <v>1502</v>
      </c>
      <c r="B241" s="174">
        <v>44652</v>
      </c>
      <c r="C241" s="23" t="s">
        <v>389</v>
      </c>
      <c r="D241" s="106">
        <v>5004758</v>
      </c>
      <c r="E241" s="24" t="s">
        <v>400</v>
      </c>
      <c r="F241" s="44" t="s">
        <v>426</v>
      </c>
      <c r="G241" s="47" t="s">
        <v>264</v>
      </c>
      <c r="H241" s="24" t="s">
        <v>682</v>
      </c>
      <c r="I241" s="44">
        <v>500</v>
      </c>
      <c r="J241" s="24" t="s">
        <v>7</v>
      </c>
      <c r="K241" s="103">
        <v>967</v>
      </c>
      <c r="L241" s="46">
        <f t="shared" si="19"/>
        <v>483500</v>
      </c>
      <c r="M241" s="173">
        <f t="shared" si="21"/>
        <v>4.8349999999999997E-2</v>
      </c>
      <c r="N241" s="144">
        <v>17.34375</v>
      </c>
      <c r="O241" s="146">
        <f t="shared" ref="O241:O271" si="23">+K241*N241</f>
        <v>16771.40625</v>
      </c>
      <c r="P241" s="144">
        <v>2652.65</v>
      </c>
      <c r="Q241" s="146">
        <f t="shared" si="20"/>
        <v>2565112.5500000003</v>
      </c>
      <c r="R241" s="133">
        <f t="shared" si="22"/>
        <v>0.25651125500000005</v>
      </c>
      <c r="S241" s="23" t="s">
        <v>1493</v>
      </c>
      <c r="T241" s="45" t="s">
        <v>1479</v>
      </c>
      <c r="AA241"/>
    </row>
    <row r="242" spans="1:27" s="45" customFormat="1" ht="12.75" x14ac:dyDescent="0.2">
      <c r="A242" s="24" t="s">
        <v>1502</v>
      </c>
      <c r="B242" s="174">
        <v>44652</v>
      </c>
      <c r="C242" s="23" t="s">
        <v>389</v>
      </c>
      <c r="D242" s="106">
        <v>5000633</v>
      </c>
      <c r="E242" s="24" t="s">
        <v>12</v>
      </c>
      <c r="F242" s="44" t="s">
        <v>424</v>
      </c>
      <c r="G242" s="47" t="s">
        <v>264</v>
      </c>
      <c r="H242" s="24" t="s">
        <v>683</v>
      </c>
      <c r="I242" s="44">
        <v>10</v>
      </c>
      <c r="J242" s="24" t="s">
        <v>3</v>
      </c>
      <c r="K242" s="103">
        <v>96744</v>
      </c>
      <c r="L242" s="46">
        <f t="shared" si="19"/>
        <v>967440</v>
      </c>
      <c r="M242" s="173">
        <f t="shared" si="21"/>
        <v>9.6743999999999997E-2</v>
      </c>
      <c r="N242" s="144">
        <v>0.2879591836734694</v>
      </c>
      <c r="O242" s="146">
        <f t="shared" si="23"/>
        <v>27858.323265306124</v>
      </c>
      <c r="P242" s="144">
        <v>8.94</v>
      </c>
      <c r="Q242" s="146">
        <f t="shared" si="20"/>
        <v>864891.36</v>
      </c>
      <c r="R242" s="133">
        <f t="shared" si="22"/>
        <v>8.6489135999999994E-2</v>
      </c>
      <c r="S242" s="23" t="s">
        <v>1493</v>
      </c>
      <c r="T242" s="45" t="s">
        <v>1479</v>
      </c>
      <c r="AA242"/>
    </row>
    <row r="243" spans="1:27" s="45" customFormat="1" ht="12.75" x14ac:dyDescent="0.2">
      <c r="A243" s="24" t="s">
        <v>1502</v>
      </c>
      <c r="B243" s="174">
        <v>44652</v>
      </c>
      <c r="C243" s="23" t="s">
        <v>389</v>
      </c>
      <c r="D243" s="106">
        <v>5001534</v>
      </c>
      <c r="E243" s="24" t="s">
        <v>213</v>
      </c>
      <c r="F243" s="44" t="s">
        <v>426</v>
      </c>
      <c r="G243" s="47" t="s">
        <v>264</v>
      </c>
      <c r="H243" s="24" t="s">
        <v>684</v>
      </c>
      <c r="I243" s="44">
        <v>90</v>
      </c>
      <c r="J243" s="24" t="s">
        <v>7</v>
      </c>
      <c r="K243" s="103">
        <v>11314</v>
      </c>
      <c r="L243" s="46">
        <f t="shared" si="19"/>
        <v>1018260</v>
      </c>
      <c r="M243" s="173">
        <f t="shared" si="21"/>
        <v>0.101826</v>
      </c>
      <c r="N243" s="144">
        <v>3.0630208333333333</v>
      </c>
      <c r="O243" s="146">
        <f t="shared" si="23"/>
        <v>34655.017708333333</v>
      </c>
      <c r="P243" s="144">
        <v>144.11024929527838</v>
      </c>
      <c r="Q243" s="146">
        <f t="shared" si="20"/>
        <v>1630463.3605267797</v>
      </c>
      <c r="R243" s="133">
        <f t="shared" si="22"/>
        <v>0.16304633605267796</v>
      </c>
      <c r="S243" s="23" t="s">
        <v>1493</v>
      </c>
      <c r="T243" s="45" t="s">
        <v>1479</v>
      </c>
      <c r="AA243"/>
    </row>
    <row r="244" spans="1:27" s="45" customFormat="1" ht="12.75" x14ac:dyDescent="0.2">
      <c r="A244" s="24" t="s">
        <v>1502</v>
      </c>
      <c r="B244" s="174">
        <v>44652</v>
      </c>
      <c r="C244" s="23" t="s">
        <v>389</v>
      </c>
      <c r="D244" s="106">
        <v>5000108</v>
      </c>
      <c r="E244" s="24" t="s">
        <v>573</v>
      </c>
      <c r="F244" s="44" t="s">
        <v>424</v>
      </c>
      <c r="G244" s="47" t="s">
        <v>264</v>
      </c>
      <c r="H244" s="24" t="s">
        <v>685</v>
      </c>
      <c r="I244" s="44">
        <v>24</v>
      </c>
      <c r="J244" s="24" t="s">
        <v>3</v>
      </c>
      <c r="K244" s="103">
        <v>109686</v>
      </c>
      <c r="L244" s="46">
        <f t="shared" si="19"/>
        <v>2632464</v>
      </c>
      <c r="M244" s="173">
        <f t="shared" si="21"/>
        <v>0.26324639999999999</v>
      </c>
      <c r="N244" s="144">
        <v>0.67400000000000004</v>
      </c>
      <c r="O244" s="146">
        <f t="shared" si="23"/>
        <v>73928.364000000001</v>
      </c>
      <c r="P244" s="144">
        <v>43.458333333333336</v>
      </c>
      <c r="Q244" s="146">
        <f t="shared" si="20"/>
        <v>4766770.75</v>
      </c>
      <c r="R244" s="133">
        <f t="shared" si="22"/>
        <v>0.47667707500000001</v>
      </c>
      <c r="S244" s="23" t="s">
        <v>1493</v>
      </c>
      <c r="T244" s="45" t="s">
        <v>1479</v>
      </c>
      <c r="AA244"/>
    </row>
    <row r="245" spans="1:27" s="45" customFormat="1" ht="12.75" x14ac:dyDescent="0.2">
      <c r="A245" s="24" t="s">
        <v>1502</v>
      </c>
      <c r="B245" s="174">
        <v>44652</v>
      </c>
      <c r="C245" s="23" t="s">
        <v>389</v>
      </c>
      <c r="D245" s="106">
        <v>5004880</v>
      </c>
      <c r="E245" s="24" t="s">
        <v>582</v>
      </c>
      <c r="F245" s="44" t="s">
        <v>426</v>
      </c>
      <c r="G245" s="47" t="s">
        <v>264</v>
      </c>
      <c r="H245" s="24" t="s">
        <v>690</v>
      </c>
      <c r="I245" s="44">
        <v>100</v>
      </c>
      <c r="J245" s="24" t="s">
        <v>7</v>
      </c>
      <c r="K245" s="103">
        <v>1288</v>
      </c>
      <c r="L245" s="46">
        <f t="shared" si="19"/>
        <v>128800</v>
      </c>
      <c r="M245" s="173">
        <f t="shared" si="21"/>
        <v>1.2880000000000001E-2</v>
      </c>
      <c r="N245" s="144">
        <v>0</v>
      </c>
      <c r="O245" s="146">
        <f t="shared" si="23"/>
        <v>0</v>
      </c>
      <c r="P245" s="144">
        <v>0</v>
      </c>
      <c r="Q245" s="146">
        <f t="shared" si="20"/>
        <v>0</v>
      </c>
      <c r="R245" s="133">
        <f t="shared" si="22"/>
        <v>0</v>
      </c>
      <c r="S245" s="23" t="s">
        <v>1493</v>
      </c>
      <c r="T245" s="45" t="s">
        <v>1479</v>
      </c>
      <c r="AA245"/>
    </row>
    <row r="246" spans="1:27" s="45" customFormat="1" ht="12.75" x14ac:dyDescent="0.2">
      <c r="A246" s="24" t="s">
        <v>1502</v>
      </c>
      <c r="B246" s="174">
        <v>44652</v>
      </c>
      <c r="C246" s="23" t="s">
        <v>389</v>
      </c>
      <c r="D246" s="106">
        <v>5000107</v>
      </c>
      <c r="E246" s="24" t="s">
        <v>583</v>
      </c>
      <c r="F246" s="44" t="s">
        <v>424</v>
      </c>
      <c r="G246" s="47" t="s">
        <v>264</v>
      </c>
      <c r="H246" s="24" t="s">
        <v>404</v>
      </c>
      <c r="I246" s="44">
        <v>18</v>
      </c>
      <c r="J246" s="24" t="s">
        <v>3</v>
      </c>
      <c r="K246" s="103">
        <v>14868</v>
      </c>
      <c r="L246" s="46">
        <f t="shared" si="19"/>
        <v>267624</v>
      </c>
      <c r="M246" s="173">
        <f t="shared" si="21"/>
        <v>2.6762399999999999E-2</v>
      </c>
      <c r="N246" s="144">
        <v>0.52311794871794881</v>
      </c>
      <c r="O246" s="146">
        <f t="shared" si="23"/>
        <v>7777.7176615384633</v>
      </c>
      <c r="P246" s="144">
        <v>35.51166666666667</v>
      </c>
      <c r="Q246" s="146">
        <f t="shared" si="20"/>
        <v>527987.46000000008</v>
      </c>
      <c r="R246" s="133">
        <f t="shared" si="22"/>
        <v>5.2798746000000008E-2</v>
      </c>
      <c r="S246" s="23" t="s">
        <v>1493</v>
      </c>
      <c r="T246" s="45" t="s">
        <v>1479</v>
      </c>
      <c r="AA246"/>
    </row>
    <row r="247" spans="1:27" s="45" customFormat="1" ht="12.75" x14ac:dyDescent="0.2">
      <c r="A247" s="24" t="s">
        <v>1502</v>
      </c>
      <c r="B247" s="174">
        <v>44652</v>
      </c>
      <c r="C247" s="23" t="s">
        <v>389</v>
      </c>
      <c r="D247" s="106">
        <v>5000107</v>
      </c>
      <c r="E247" s="24" t="s">
        <v>583</v>
      </c>
      <c r="F247" s="44" t="s">
        <v>424</v>
      </c>
      <c r="G247" s="47" t="s">
        <v>264</v>
      </c>
      <c r="H247" s="24" t="s">
        <v>685</v>
      </c>
      <c r="I247" s="44">
        <v>18</v>
      </c>
      <c r="J247" s="24" t="s">
        <v>3</v>
      </c>
      <c r="K247" s="103">
        <v>41268</v>
      </c>
      <c r="L247" s="46">
        <f t="shared" si="19"/>
        <v>742824</v>
      </c>
      <c r="M247" s="173">
        <f t="shared" si="21"/>
        <v>7.4282399999999998E-2</v>
      </c>
      <c r="N247" s="144">
        <v>0.52311794871794881</v>
      </c>
      <c r="O247" s="146">
        <f t="shared" si="23"/>
        <v>21588.031507692311</v>
      </c>
      <c r="P247" s="144">
        <v>35.51166666666667</v>
      </c>
      <c r="Q247" s="146">
        <f t="shared" si="20"/>
        <v>1465495.4600000002</v>
      </c>
      <c r="R247" s="133">
        <f t="shared" si="22"/>
        <v>0.14654954600000003</v>
      </c>
      <c r="S247" s="23" t="s">
        <v>1493</v>
      </c>
      <c r="T247" s="45" t="s">
        <v>1479</v>
      </c>
      <c r="AA247"/>
    </row>
    <row r="248" spans="1:27" s="45" customFormat="1" ht="12.75" x14ac:dyDescent="0.2">
      <c r="A248" s="24" t="s">
        <v>1502</v>
      </c>
      <c r="B248" s="174">
        <v>44652</v>
      </c>
      <c r="C248" s="23" t="s">
        <v>389</v>
      </c>
      <c r="D248" s="106">
        <v>5001552</v>
      </c>
      <c r="E248" s="24" t="s">
        <v>330</v>
      </c>
      <c r="F248" s="44" t="s">
        <v>426</v>
      </c>
      <c r="G248" s="47" t="s">
        <v>264</v>
      </c>
      <c r="H248" s="24" t="s">
        <v>694</v>
      </c>
      <c r="I248" s="44">
        <v>30</v>
      </c>
      <c r="J248" s="24" t="s">
        <v>7</v>
      </c>
      <c r="K248" s="103">
        <v>35259</v>
      </c>
      <c r="L248" s="46">
        <f t="shared" ref="L248:L271" si="24">I248*K248</f>
        <v>1057770</v>
      </c>
      <c r="M248" s="173">
        <f t="shared" si="21"/>
        <v>0.105777</v>
      </c>
      <c r="N248" s="144">
        <v>1.3169791666666666</v>
      </c>
      <c r="O248" s="146">
        <f t="shared" si="23"/>
        <v>46435.368437499994</v>
      </c>
      <c r="P248" s="144">
        <v>60.67799988903684</v>
      </c>
      <c r="Q248" s="146">
        <f t="shared" si="20"/>
        <v>2139445.5980875501</v>
      </c>
      <c r="R248" s="133">
        <f t="shared" si="22"/>
        <v>0.21394455980875501</v>
      </c>
      <c r="S248" s="23" t="s">
        <v>1493</v>
      </c>
      <c r="T248" s="45" t="s">
        <v>1479</v>
      </c>
      <c r="AA248"/>
    </row>
    <row r="249" spans="1:27" s="45" customFormat="1" ht="12.75" x14ac:dyDescent="0.2">
      <c r="A249" s="24" t="s">
        <v>1502</v>
      </c>
      <c r="B249" s="174">
        <v>44652</v>
      </c>
      <c r="C249" s="23" t="s">
        <v>389</v>
      </c>
      <c r="D249" s="106">
        <v>5004757</v>
      </c>
      <c r="E249" s="24" t="s">
        <v>585</v>
      </c>
      <c r="F249" s="44" t="s">
        <v>426</v>
      </c>
      <c r="G249" s="47" t="s">
        <v>264</v>
      </c>
      <c r="H249" s="24" t="s">
        <v>697</v>
      </c>
      <c r="I249" s="44">
        <v>60</v>
      </c>
      <c r="J249" s="24" t="s">
        <v>7</v>
      </c>
      <c r="K249" s="103">
        <v>4161</v>
      </c>
      <c r="L249" s="46">
        <f t="shared" si="24"/>
        <v>249660</v>
      </c>
      <c r="M249" s="173">
        <f t="shared" si="21"/>
        <v>2.4965999999999999E-2</v>
      </c>
      <c r="N249" s="144">
        <v>4.1045833333333341</v>
      </c>
      <c r="O249" s="146">
        <f t="shared" si="23"/>
        <v>17079.171250000003</v>
      </c>
      <c r="P249" s="144">
        <v>566.02599806201545</v>
      </c>
      <c r="Q249" s="146">
        <f t="shared" si="20"/>
        <v>2355234.1779360464</v>
      </c>
      <c r="R249" s="133">
        <f t="shared" si="22"/>
        <v>0.23552341779360464</v>
      </c>
      <c r="S249" s="23" t="s">
        <v>1493</v>
      </c>
      <c r="T249" s="45" t="s">
        <v>1479</v>
      </c>
      <c r="AA249"/>
    </row>
    <row r="250" spans="1:27" s="45" customFormat="1" ht="12.75" x14ac:dyDescent="0.2">
      <c r="A250" s="24" t="s">
        <v>1502</v>
      </c>
      <c r="B250" s="174">
        <v>44652</v>
      </c>
      <c r="C250" s="23" t="s">
        <v>389</v>
      </c>
      <c r="D250" s="106">
        <v>5004880</v>
      </c>
      <c r="E250" s="24" t="s">
        <v>582</v>
      </c>
      <c r="F250" s="44" t="s">
        <v>426</v>
      </c>
      <c r="G250" s="47" t="s">
        <v>264</v>
      </c>
      <c r="H250" s="24" t="s">
        <v>698</v>
      </c>
      <c r="I250" s="44">
        <v>100</v>
      </c>
      <c r="J250" s="24" t="s">
        <v>7</v>
      </c>
      <c r="K250" s="103">
        <v>1204</v>
      </c>
      <c r="L250" s="46">
        <f t="shared" si="24"/>
        <v>120400</v>
      </c>
      <c r="M250" s="173">
        <f t="shared" si="21"/>
        <v>1.204E-2</v>
      </c>
      <c r="N250" s="144">
        <v>0</v>
      </c>
      <c r="O250" s="146">
        <f t="shared" si="23"/>
        <v>0</v>
      </c>
      <c r="P250" s="144">
        <v>0</v>
      </c>
      <c r="Q250" s="146">
        <f t="shared" si="20"/>
        <v>0</v>
      </c>
      <c r="R250" s="133">
        <f t="shared" si="22"/>
        <v>0</v>
      </c>
      <c r="S250" s="23" t="s">
        <v>1493</v>
      </c>
      <c r="T250" s="45" t="s">
        <v>1479</v>
      </c>
      <c r="AA250"/>
    </row>
    <row r="251" spans="1:27" s="45" customFormat="1" ht="12.75" x14ac:dyDescent="0.2">
      <c r="A251" s="24" t="s">
        <v>1502</v>
      </c>
      <c r="B251" s="174">
        <v>44652</v>
      </c>
      <c r="C251" s="23" t="s">
        <v>389</v>
      </c>
      <c r="D251" s="106">
        <v>5004880</v>
      </c>
      <c r="E251" s="24" t="s">
        <v>582</v>
      </c>
      <c r="F251" s="44" t="s">
        <v>426</v>
      </c>
      <c r="G251" s="47" t="s">
        <v>264</v>
      </c>
      <c r="H251" s="24" t="s">
        <v>699</v>
      </c>
      <c r="I251" s="44">
        <v>100</v>
      </c>
      <c r="J251" s="24" t="s">
        <v>7</v>
      </c>
      <c r="K251" s="103">
        <v>1160</v>
      </c>
      <c r="L251" s="46">
        <f t="shared" si="24"/>
        <v>116000</v>
      </c>
      <c r="M251" s="173">
        <f t="shared" si="21"/>
        <v>1.1599999999999999E-2</v>
      </c>
      <c r="N251" s="144">
        <v>0</v>
      </c>
      <c r="O251" s="146">
        <f t="shared" si="23"/>
        <v>0</v>
      </c>
      <c r="P251" s="144">
        <v>0</v>
      </c>
      <c r="Q251" s="146">
        <f t="shared" si="20"/>
        <v>0</v>
      </c>
      <c r="R251" s="133">
        <f t="shared" si="22"/>
        <v>0</v>
      </c>
      <c r="S251" s="23" t="s">
        <v>1493</v>
      </c>
      <c r="T251" s="45" t="s">
        <v>1479</v>
      </c>
      <c r="AA251"/>
    </row>
    <row r="252" spans="1:27" s="45" customFormat="1" ht="12.75" x14ac:dyDescent="0.2">
      <c r="A252" s="24" t="s">
        <v>1502</v>
      </c>
      <c r="B252" s="174">
        <v>44652</v>
      </c>
      <c r="C252" s="23" t="s">
        <v>389</v>
      </c>
      <c r="D252" s="106">
        <v>5006350</v>
      </c>
      <c r="E252" s="24" t="s">
        <v>577</v>
      </c>
      <c r="F252" s="44" t="s">
        <v>424</v>
      </c>
      <c r="G252" s="47" t="s">
        <v>264</v>
      </c>
      <c r="H252" s="24" t="s">
        <v>700</v>
      </c>
      <c r="I252" s="44">
        <v>14</v>
      </c>
      <c r="J252" s="24" t="s">
        <v>3</v>
      </c>
      <c r="K252" s="103">
        <v>1650</v>
      </c>
      <c r="L252" s="46">
        <f t="shared" si="24"/>
        <v>23100</v>
      </c>
      <c r="M252" s="173">
        <f t="shared" si="21"/>
        <v>2.31E-3</v>
      </c>
      <c r="N252" s="144">
        <v>0.38112500000000005</v>
      </c>
      <c r="O252" s="146">
        <f t="shared" si="23"/>
        <v>628.85625000000005</v>
      </c>
      <c r="P252" s="144">
        <v>0</v>
      </c>
      <c r="Q252" s="146">
        <f t="shared" si="20"/>
        <v>0</v>
      </c>
      <c r="R252" s="133">
        <f t="shared" si="22"/>
        <v>0</v>
      </c>
      <c r="S252" s="23" t="s">
        <v>1493</v>
      </c>
      <c r="T252" s="45" t="s">
        <v>1479</v>
      </c>
      <c r="AA252"/>
    </row>
    <row r="253" spans="1:27" s="45" customFormat="1" ht="12.75" x14ac:dyDescent="0.2">
      <c r="A253" s="24" t="s">
        <v>1502</v>
      </c>
      <c r="B253" s="174">
        <v>44652</v>
      </c>
      <c r="C253" s="23" t="s">
        <v>389</v>
      </c>
      <c r="D253" s="106">
        <v>5004759</v>
      </c>
      <c r="E253" s="24" t="s">
        <v>586</v>
      </c>
      <c r="F253" s="44" t="s">
        <v>426</v>
      </c>
      <c r="G253" s="47" t="s">
        <v>264</v>
      </c>
      <c r="H253" s="24" t="s">
        <v>701</v>
      </c>
      <c r="I253" s="44">
        <v>500</v>
      </c>
      <c r="J253" s="24" t="s">
        <v>7</v>
      </c>
      <c r="K253" s="103">
        <v>487</v>
      </c>
      <c r="L253" s="46">
        <f t="shared" si="24"/>
        <v>243500</v>
      </c>
      <c r="M253" s="173">
        <f t="shared" si="21"/>
        <v>2.435E-2</v>
      </c>
      <c r="N253" s="144">
        <v>26.260416666666668</v>
      </c>
      <c r="O253" s="146">
        <f t="shared" si="23"/>
        <v>12788.822916666668</v>
      </c>
      <c r="P253" s="144">
        <v>4971.8500000000004</v>
      </c>
      <c r="Q253" s="146">
        <f t="shared" si="20"/>
        <v>2421290.9500000002</v>
      </c>
      <c r="R253" s="133">
        <f t="shared" si="22"/>
        <v>0.24212909500000002</v>
      </c>
      <c r="S253" s="23" t="s">
        <v>1493</v>
      </c>
      <c r="T253" s="45" t="s">
        <v>1479</v>
      </c>
      <c r="AA253"/>
    </row>
    <row r="254" spans="1:27" s="45" customFormat="1" ht="12.75" x14ac:dyDescent="0.2">
      <c r="A254" s="24" t="s">
        <v>1502</v>
      </c>
      <c r="B254" s="174">
        <v>44652</v>
      </c>
      <c r="C254" s="23" t="s">
        <v>389</v>
      </c>
      <c r="D254" s="106">
        <v>5006034</v>
      </c>
      <c r="E254" s="24" t="s">
        <v>218</v>
      </c>
      <c r="F254" s="44" t="s">
        <v>424</v>
      </c>
      <c r="G254" s="47" t="s">
        <v>264</v>
      </c>
      <c r="H254" s="24" t="s">
        <v>702</v>
      </c>
      <c r="I254" s="44">
        <v>6</v>
      </c>
      <c r="J254" s="24" t="s">
        <v>3</v>
      </c>
      <c r="K254" s="103">
        <v>79770</v>
      </c>
      <c r="L254" s="46">
        <f t="shared" si="24"/>
        <v>478620</v>
      </c>
      <c r="M254" s="173">
        <f t="shared" si="21"/>
        <v>4.7862000000000002E-2</v>
      </c>
      <c r="N254" s="144">
        <v>0.37546113989637309</v>
      </c>
      <c r="O254" s="146">
        <f t="shared" si="23"/>
        <v>29950.53512953368</v>
      </c>
      <c r="P254" s="144">
        <v>77.939732673267329</v>
      </c>
      <c r="Q254" s="146">
        <f t="shared" si="20"/>
        <v>6217252.4753465345</v>
      </c>
      <c r="R254" s="133">
        <f t="shared" si="22"/>
        <v>0.62172524753465341</v>
      </c>
      <c r="S254" s="23" t="s">
        <v>1493</v>
      </c>
      <c r="T254" s="45" t="s">
        <v>1479</v>
      </c>
      <c r="AA254"/>
    </row>
    <row r="255" spans="1:27" s="45" customFormat="1" ht="12.75" x14ac:dyDescent="0.2">
      <c r="A255" s="24" t="s">
        <v>1502</v>
      </c>
      <c r="B255" s="174">
        <v>44652</v>
      </c>
      <c r="C255" s="23" t="s">
        <v>389</v>
      </c>
      <c r="D255" s="106">
        <v>5000108</v>
      </c>
      <c r="E255" s="24" t="s">
        <v>573</v>
      </c>
      <c r="F255" s="44" t="s">
        <v>424</v>
      </c>
      <c r="G255" s="47" t="s">
        <v>264</v>
      </c>
      <c r="H255" s="24" t="s">
        <v>703</v>
      </c>
      <c r="I255" s="44">
        <v>24</v>
      </c>
      <c r="J255" s="24" t="s">
        <v>3</v>
      </c>
      <c r="K255" s="103">
        <v>143436</v>
      </c>
      <c r="L255" s="46">
        <f t="shared" si="24"/>
        <v>3442464</v>
      </c>
      <c r="M255" s="173">
        <f t="shared" si="21"/>
        <v>0.34424640000000001</v>
      </c>
      <c r="N255" s="144">
        <v>0.67400000000000004</v>
      </c>
      <c r="O255" s="146">
        <f t="shared" si="23"/>
        <v>96675.864000000001</v>
      </c>
      <c r="P255" s="144">
        <v>43.458333333333336</v>
      </c>
      <c r="Q255" s="146">
        <f t="shared" si="20"/>
        <v>6233489.5</v>
      </c>
      <c r="R255" s="133">
        <f t="shared" si="22"/>
        <v>0.62334895000000001</v>
      </c>
      <c r="S255" s="23" t="s">
        <v>1493</v>
      </c>
      <c r="T255" s="45" t="s">
        <v>1479</v>
      </c>
      <c r="AA255"/>
    </row>
    <row r="256" spans="1:27" s="45" customFormat="1" ht="12.75" x14ac:dyDescent="0.2">
      <c r="A256" s="24" t="s">
        <v>1502</v>
      </c>
      <c r="B256" s="174">
        <v>44652</v>
      </c>
      <c r="C256" s="23" t="s">
        <v>389</v>
      </c>
      <c r="D256" s="106">
        <v>5001533</v>
      </c>
      <c r="E256" s="24" t="s">
        <v>392</v>
      </c>
      <c r="F256" s="44" t="s">
        <v>426</v>
      </c>
      <c r="G256" s="47" t="s">
        <v>264</v>
      </c>
      <c r="H256" s="24" t="s">
        <v>706</v>
      </c>
      <c r="I256" s="44">
        <v>90</v>
      </c>
      <c r="J256" s="24" t="s">
        <v>7</v>
      </c>
      <c r="K256" s="103">
        <v>10628</v>
      </c>
      <c r="L256" s="46">
        <f t="shared" si="24"/>
        <v>956520</v>
      </c>
      <c r="M256" s="173">
        <f t="shared" si="21"/>
        <v>9.5652000000000001E-2</v>
      </c>
      <c r="N256" s="144">
        <v>2.5342708333333333</v>
      </c>
      <c r="O256" s="146">
        <f t="shared" si="23"/>
        <v>26934.230416666665</v>
      </c>
      <c r="P256" s="144">
        <v>98.601749448123613</v>
      </c>
      <c r="Q256" s="146">
        <f t="shared" si="20"/>
        <v>1047939.3931346578</v>
      </c>
      <c r="R256" s="133">
        <f t="shared" si="22"/>
        <v>0.10479393931346577</v>
      </c>
      <c r="S256" s="23" t="s">
        <v>1493</v>
      </c>
      <c r="T256" s="45" t="s">
        <v>1479</v>
      </c>
      <c r="AA256"/>
    </row>
    <row r="257" spans="1:27" s="45" customFormat="1" ht="12.75" x14ac:dyDescent="0.2">
      <c r="A257" s="24" t="s">
        <v>1502</v>
      </c>
      <c r="B257" s="174">
        <v>44652</v>
      </c>
      <c r="C257" s="23" t="s">
        <v>389</v>
      </c>
      <c r="D257" s="106">
        <v>5001552</v>
      </c>
      <c r="E257" s="24" t="s">
        <v>330</v>
      </c>
      <c r="F257" s="44" t="s">
        <v>426</v>
      </c>
      <c r="G257" s="47" t="s">
        <v>264</v>
      </c>
      <c r="H257" s="24" t="s">
        <v>707</v>
      </c>
      <c r="I257" s="44">
        <v>30</v>
      </c>
      <c r="J257" s="24" t="s">
        <v>7</v>
      </c>
      <c r="K257" s="103">
        <v>35163</v>
      </c>
      <c r="L257" s="46">
        <f t="shared" si="24"/>
        <v>1054890</v>
      </c>
      <c r="M257" s="173">
        <f t="shared" si="21"/>
        <v>0.105489</v>
      </c>
      <c r="N257" s="144">
        <v>1.3169791666666666</v>
      </c>
      <c r="O257" s="146">
        <f t="shared" si="23"/>
        <v>46308.938437500001</v>
      </c>
      <c r="P257" s="144">
        <v>60.67799988903684</v>
      </c>
      <c r="Q257" s="146">
        <f t="shared" si="20"/>
        <v>2133620.5100982026</v>
      </c>
      <c r="R257" s="133">
        <f t="shared" si="22"/>
        <v>0.21336205100982025</v>
      </c>
      <c r="S257" s="23" t="s">
        <v>1493</v>
      </c>
      <c r="T257" s="45" t="s">
        <v>1479</v>
      </c>
      <c r="AA257"/>
    </row>
    <row r="258" spans="1:27" s="45" customFormat="1" ht="12.75" x14ac:dyDescent="0.2">
      <c r="A258" s="24" t="s">
        <v>1502</v>
      </c>
      <c r="B258" s="174">
        <v>44652</v>
      </c>
      <c r="C258" s="23" t="s">
        <v>389</v>
      </c>
      <c r="D258" s="106">
        <v>5001552</v>
      </c>
      <c r="E258" s="24" t="s">
        <v>330</v>
      </c>
      <c r="F258" s="44" t="s">
        <v>426</v>
      </c>
      <c r="G258" s="47" t="s">
        <v>264</v>
      </c>
      <c r="H258" s="24" t="s">
        <v>708</v>
      </c>
      <c r="I258" s="44">
        <v>30</v>
      </c>
      <c r="J258" s="24" t="s">
        <v>7</v>
      </c>
      <c r="K258" s="103">
        <v>35680</v>
      </c>
      <c r="L258" s="46">
        <f t="shared" si="24"/>
        <v>1070400</v>
      </c>
      <c r="M258" s="173">
        <f t="shared" si="21"/>
        <v>0.10704</v>
      </c>
      <c r="N258" s="144">
        <v>1.3169791666666666</v>
      </c>
      <c r="O258" s="146">
        <f t="shared" si="23"/>
        <v>46989.816666666666</v>
      </c>
      <c r="P258" s="144">
        <v>60.67799988903684</v>
      </c>
      <c r="Q258" s="146">
        <f t="shared" ref="Q258:Q321" si="25">+K258*P258</f>
        <v>2164991.0360408346</v>
      </c>
      <c r="R258" s="133">
        <f t="shared" si="22"/>
        <v>0.21649910360408345</v>
      </c>
      <c r="S258" s="23" t="s">
        <v>1493</v>
      </c>
      <c r="T258" s="45" t="s">
        <v>1479</v>
      </c>
      <c r="AA258"/>
    </row>
    <row r="259" spans="1:27" s="45" customFormat="1" ht="12.75" x14ac:dyDescent="0.2">
      <c r="A259" s="24" t="s">
        <v>1502</v>
      </c>
      <c r="B259" s="174">
        <v>44652</v>
      </c>
      <c r="C259" s="23" t="s">
        <v>389</v>
      </c>
      <c r="D259" s="106">
        <v>5001352</v>
      </c>
      <c r="E259" s="24" t="s">
        <v>211</v>
      </c>
      <c r="F259" s="44" t="s">
        <v>424</v>
      </c>
      <c r="G259" s="47" t="s">
        <v>264</v>
      </c>
      <c r="H259" s="24" t="s">
        <v>712</v>
      </c>
      <c r="I259" s="44">
        <v>24</v>
      </c>
      <c r="J259" s="24" t="s">
        <v>3</v>
      </c>
      <c r="K259" s="103">
        <v>143556</v>
      </c>
      <c r="L259" s="46">
        <f t="shared" si="24"/>
        <v>3445344</v>
      </c>
      <c r="M259" s="173">
        <f t="shared" ref="M259:M322" si="26">L259/10^7</f>
        <v>0.34453440000000002</v>
      </c>
      <c r="N259" s="144">
        <v>0.50685714285714278</v>
      </c>
      <c r="O259" s="146">
        <f t="shared" si="23"/>
        <v>72762.383999999991</v>
      </c>
      <c r="P259" s="144">
        <v>44.075208333333329</v>
      </c>
      <c r="Q259" s="146">
        <f t="shared" si="25"/>
        <v>6327260.607499999</v>
      </c>
      <c r="R259" s="133">
        <f t="shared" ref="R259:R322" si="27">Q259/10^7</f>
        <v>0.63272606074999993</v>
      </c>
      <c r="S259" s="23" t="s">
        <v>1493</v>
      </c>
      <c r="T259" s="45" t="s">
        <v>1479</v>
      </c>
      <c r="AA259"/>
    </row>
    <row r="260" spans="1:27" s="45" customFormat="1" ht="12.75" x14ac:dyDescent="0.2">
      <c r="A260" s="24" t="s">
        <v>1502</v>
      </c>
      <c r="B260" s="174">
        <v>44652</v>
      </c>
      <c r="C260" s="23" t="s">
        <v>389</v>
      </c>
      <c r="D260" s="106">
        <v>5002780</v>
      </c>
      <c r="E260" s="24" t="s">
        <v>587</v>
      </c>
      <c r="F260" s="44" t="s">
        <v>424</v>
      </c>
      <c r="G260" s="47" t="s">
        <v>264</v>
      </c>
      <c r="H260" s="24" t="s">
        <v>632</v>
      </c>
      <c r="I260" s="44">
        <v>6</v>
      </c>
      <c r="J260" s="24" t="s">
        <v>3</v>
      </c>
      <c r="K260" s="103">
        <v>305715</v>
      </c>
      <c r="L260" s="46">
        <f t="shared" si="24"/>
        <v>1834290</v>
      </c>
      <c r="M260" s="173">
        <f t="shared" si="26"/>
        <v>0.18342900000000001</v>
      </c>
      <c r="N260" s="144">
        <v>0.28375510204081633</v>
      </c>
      <c r="O260" s="146">
        <f t="shared" si="23"/>
        <v>86748.191020408165</v>
      </c>
      <c r="P260" s="144">
        <v>18.997499999999999</v>
      </c>
      <c r="Q260" s="146">
        <f t="shared" si="25"/>
        <v>5807820.7124999994</v>
      </c>
      <c r="R260" s="133">
        <f t="shared" si="27"/>
        <v>0.58078207124999992</v>
      </c>
      <c r="S260" s="23" t="s">
        <v>1493</v>
      </c>
      <c r="T260" s="45" t="s">
        <v>1479</v>
      </c>
      <c r="AA260"/>
    </row>
    <row r="261" spans="1:27" s="45" customFormat="1" ht="12.75" x14ac:dyDescent="0.2">
      <c r="A261" s="24" t="s">
        <v>1502</v>
      </c>
      <c r="B261" s="174">
        <v>44652</v>
      </c>
      <c r="C261" s="23" t="s">
        <v>389</v>
      </c>
      <c r="D261" s="106">
        <v>5006034</v>
      </c>
      <c r="E261" s="24" t="s">
        <v>218</v>
      </c>
      <c r="F261" s="44" t="s">
        <v>424</v>
      </c>
      <c r="G261" s="47" t="s">
        <v>264</v>
      </c>
      <c r="H261" s="24" t="s">
        <v>713</v>
      </c>
      <c r="I261" s="44">
        <v>6</v>
      </c>
      <c r="J261" s="24" t="s">
        <v>3</v>
      </c>
      <c r="K261" s="103">
        <v>79350</v>
      </c>
      <c r="L261" s="46">
        <f t="shared" si="24"/>
        <v>476100</v>
      </c>
      <c r="M261" s="173">
        <f t="shared" si="26"/>
        <v>4.761E-2</v>
      </c>
      <c r="N261" s="144">
        <v>0.37546113989637309</v>
      </c>
      <c r="O261" s="146">
        <f t="shared" si="23"/>
        <v>29792.841450777203</v>
      </c>
      <c r="P261" s="144">
        <v>77.939732673267329</v>
      </c>
      <c r="Q261" s="146">
        <f t="shared" si="25"/>
        <v>6184517.7876237622</v>
      </c>
      <c r="R261" s="133">
        <f t="shared" si="27"/>
        <v>0.61845177876237623</v>
      </c>
      <c r="S261" s="23" t="s">
        <v>1493</v>
      </c>
      <c r="T261" s="45" t="s">
        <v>1479</v>
      </c>
      <c r="AA261"/>
    </row>
    <row r="262" spans="1:27" s="45" customFormat="1" ht="12.75" x14ac:dyDescent="0.2">
      <c r="A262" s="24" t="s">
        <v>1502</v>
      </c>
      <c r="B262" s="174">
        <v>44652</v>
      </c>
      <c r="C262" s="23" t="s">
        <v>389</v>
      </c>
      <c r="D262" s="106">
        <v>5000632</v>
      </c>
      <c r="E262" s="24" t="s">
        <v>391</v>
      </c>
      <c r="F262" s="44" t="s">
        <v>424</v>
      </c>
      <c r="G262" s="47" t="s">
        <v>264</v>
      </c>
      <c r="H262" s="24" t="s">
        <v>714</v>
      </c>
      <c r="I262" s="44">
        <v>10</v>
      </c>
      <c r="J262" s="24" t="s">
        <v>3</v>
      </c>
      <c r="K262" s="103">
        <v>145716</v>
      </c>
      <c r="L262" s="46">
        <f t="shared" si="24"/>
        <v>1457160</v>
      </c>
      <c r="M262" s="173">
        <f t="shared" si="26"/>
        <v>0.14571600000000001</v>
      </c>
      <c r="N262" s="144">
        <v>0.33479591836734696</v>
      </c>
      <c r="O262" s="146">
        <f t="shared" si="23"/>
        <v>48785.122040816328</v>
      </c>
      <c r="P262" s="144">
        <v>7.45</v>
      </c>
      <c r="Q262" s="146">
        <f t="shared" si="25"/>
        <v>1085584.2</v>
      </c>
      <c r="R262" s="133">
        <f t="shared" si="27"/>
        <v>0.10855841999999999</v>
      </c>
      <c r="S262" s="23" t="s">
        <v>1493</v>
      </c>
      <c r="T262" s="45" t="s">
        <v>1479</v>
      </c>
      <c r="AA262"/>
    </row>
    <row r="263" spans="1:27" s="45" customFormat="1" ht="12.75" x14ac:dyDescent="0.2">
      <c r="A263" s="24" t="s">
        <v>1502</v>
      </c>
      <c r="B263" s="174">
        <v>44652</v>
      </c>
      <c r="C263" s="23" t="s">
        <v>389</v>
      </c>
      <c r="D263" s="106">
        <v>5001352</v>
      </c>
      <c r="E263" s="24" t="s">
        <v>211</v>
      </c>
      <c r="F263" s="44" t="s">
        <v>424</v>
      </c>
      <c r="G263" s="47" t="s">
        <v>264</v>
      </c>
      <c r="H263" s="24" t="s">
        <v>715</v>
      </c>
      <c r="I263" s="44">
        <v>24</v>
      </c>
      <c r="J263" s="24" t="s">
        <v>3</v>
      </c>
      <c r="K263" s="103">
        <v>143736</v>
      </c>
      <c r="L263" s="46">
        <f t="shared" si="24"/>
        <v>3449664</v>
      </c>
      <c r="M263" s="173">
        <f t="shared" si="26"/>
        <v>0.34496640000000001</v>
      </c>
      <c r="N263" s="144">
        <v>0.50685714285714278</v>
      </c>
      <c r="O263" s="146">
        <f t="shared" si="23"/>
        <v>72853.61828571427</v>
      </c>
      <c r="P263" s="144">
        <v>44.075208333333329</v>
      </c>
      <c r="Q263" s="146">
        <f t="shared" si="25"/>
        <v>6335194.1449999996</v>
      </c>
      <c r="R263" s="133">
        <f t="shared" si="27"/>
        <v>0.63351941449999993</v>
      </c>
      <c r="S263" s="23" t="s">
        <v>1493</v>
      </c>
      <c r="T263" s="45" t="s">
        <v>1479</v>
      </c>
      <c r="AA263"/>
    </row>
    <row r="264" spans="1:27" s="45" customFormat="1" ht="12.75" x14ac:dyDescent="0.2">
      <c r="A264" s="24" t="s">
        <v>1502</v>
      </c>
      <c r="B264" s="174">
        <v>44652</v>
      </c>
      <c r="C264" s="23" t="s">
        <v>389</v>
      </c>
      <c r="D264" s="106">
        <v>5001533</v>
      </c>
      <c r="E264" s="24" t="s">
        <v>392</v>
      </c>
      <c r="F264" s="44" t="s">
        <v>426</v>
      </c>
      <c r="G264" s="47" t="s">
        <v>264</v>
      </c>
      <c r="H264" s="24" t="s">
        <v>716</v>
      </c>
      <c r="I264" s="44">
        <v>90</v>
      </c>
      <c r="J264" s="24" t="s">
        <v>7</v>
      </c>
      <c r="K264" s="103">
        <v>10844</v>
      </c>
      <c r="L264" s="46">
        <f t="shared" si="24"/>
        <v>975960</v>
      </c>
      <c r="M264" s="173">
        <f t="shared" si="26"/>
        <v>9.7596000000000002E-2</v>
      </c>
      <c r="N264" s="144">
        <v>2.5342708333333333</v>
      </c>
      <c r="O264" s="146">
        <f t="shared" si="23"/>
        <v>27481.632916666666</v>
      </c>
      <c r="P264" s="144">
        <v>98.601749448123613</v>
      </c>
      <c r="Q264" s="146">
        <f t="shared" si="25"/>
        <v>1069237.3710154525</v>
      </c>
      <c r="R264" s="133">
        <f t="shared" si="27"/>
        <v>0.10692373710154525</v>
      </c>
      <c r="S264" s="23" t="s">
        <v>1493</v>
      </c>
      <c r="T264" s="45" t="s">
        <v>1479</v>
      </c>
      <c r="AA264"/>
    </row>
    <row r="265" spans="1:27" s="45" customFormat="1" ht="12.75" x14ac:dyDescent="0.2">
      <c r="A265" s="24" t="s">
        <v>1502</v>
      </c>
      <c r="B265" s="174">
        <v>44652</v>
      </c>
      <c r="C265" s="23" t="s">
        <v>389</v>
      </c>
      <c r="D265" s="106">
        <v>5001552</v>
      </c>
      <c r="E265" s="24" t="s">
        <v>330</v>
      </c>
      <c r="F265" s="44" t="s">
        <v>426</v>
      </c>
      <c r="G265" s="47" t="s">
        <v>264</v>
      </c>
      <c r="H265" s="24" t="s">
        <v>717</v>
      </c>
      <c r="I265" s="44">
        <v>30</v>
      </c>
      <c r="J265" s="24" t="s">
        <v>7</v>
      </c>
      <c r="K265" s="103">
        <v>35595</v>
      </c>
      <c r="L265" s="46">
        <f t="shared" si="24"/>
        <v>1067850</v>
      </c>
      <c r="M265" s="173">
        <f t="shared" si="26"/>
        <v>0.106785</v>
      </c>
      <c r="N265" s="144">
        <v>1.3169791666666666</v>
      </c>
      <c r="O265" s="146">
        <f t="shared" si="23"/>
        <v>46877.873437499999</v>
      </c>
      <c r="P265" s="144">
        <v>60.67799988903684</v>
      </c>
      <c r="Q265" s="146">
        <f t="shared" si="25"/>
        <v>2159833.4060502662</v>
      </c>
      <c r="R265" s="133">
        <f t="shared" si="27"/>
        <v>0.21598334060502664</v>
      </c>
      <c r="S265" s="23" t="s">
        <v>1493</v>
      </c>
      <c r="T265" s="45" t="s">
        <v>1479</v>
      </c>
      <c r="AA265"/>
    </row>
    <row r="266" spans="1:27" s="45" customFormat="1" ht="12.75" x14ac:dyDescent="0.2">
      <c r="A266" s="24" t="s">
        <v>1502</v>
      </c>
      <c r="B266" s="174">
        <v>44652</v>
      </c>
      <c r="C266" s="23" t="s">
        <v>389</v>
      </c>
      <c r="D266" s="106">
        <v>5001352</v>
      </c>
      <c r="E266" s="24" t="s">
        <v>211</v>
      </c>
      <c r="F266" s="44" t="s">
        <v>424</v>
      </c>
      <c r="G266" s="47" t="s">
        <v>264</v>
      </c>
      <c r="H266" s="24" t="s">
        <v>719</v>
      </c>
      <c r="I266" s="44">
        <v>24</v>
      </c>
      <c r="J266" s="24" t="s">
        <v>3</v>
      </c>
      <c r="K266" s="103">
        <v>142986</v>
      </c>
      <c r="L266" s="46">
        <f t="shared" si="24"/>
        <v>3431664</v>
      </c>
      <c r="M266" s="173">
        <f t="shared" si="26"/>
        <v>0.34316639999999998</v>
      </c>
      <c r="N266" s="144">
        <v>0.50685714285714278</v>
      </c>
      <c r="O266" s="146">
        <f t="shared" si="23"/>
        <v>72473.475428571415</v>
      </c>
      <c r="P266" s="144">
        <v>44.075208333333329</v>
      </c>
      <c r="Q266" s="146">
        <f t="shared" si="25"/>
        <v>6302137.7387499996</v>
      </c>
      <c r="R266" s="133">
        <f t="shared" si="27"/>
        <v>0.63021377387499999</v>
      </c>
      <c r="S266" s="23" t="s">
        <v>1493</v>
      </c>
      <c r="T266" s="45" t="s">
        <v>1479</v>
      </c>
      <c r="AA266"/>
    </row>
    <row r="267" spans="1:27" s="45" customFormat="1" ht="12.75" x14ac:dyDescent="0.2">
      <c r="A267" s="24" t="s">
        <v>1502</v>
      </c>
      <c r="B267" s="174">
        <v>44652</v>
      </c>
      <c r="C267" s="23" t="s">
        <v>389</v>
      </c>
      <c r="D267" s="106">
        <v>5006034</v>
      </c>
      <c r="E267" s="24" t="s">
        <v>218</v>
      </c>
      <c r="F267" s="44" t="s">
        <v>424</v>
      </c>
      <c r="G267" s="47" t="s">
        <v>264</v>
      </c>
      <c r="H267" s="24" t="s">
        <v>721</v>
      </c>
      <c r="I267" s="44">
        <v>6</v>
      </c>
      <c r="J267" s="24" t="s">
        <v>3</v>
      </c>
      <c r="K267" s="103">
        <v>80250</v>
      </c>
      <c r="L267" s="46">
        <f t="shared" si="24"/>
        <v>481500</v>
      </c>
      <c r="M267" s="173">
        <f t="shared" si="26"/>
        <v>4.8149999999999998E-2</v>
      </c>
      <c r="N267" s="144">
        <v>0.37546113989637309</v>
      </c>
      <c r="O267" s="146">
        <f t="shared" si="23"/>
        <v>30130.756476683939</v>
      </c>
      <c r="P267" s="144">
        <v>77.939732673267329</v>
      </c>
      <c r="Q267" s="146">
        <f t="shared" si="25"/>
        <v>6254663.5470297029</v>
      </c>
      <c r="R267" s="133">
        <f t="shared" si="27"/>
        <v>0.6254663547029703</v>
      </c>
      <c r="S267" s="23" t="s">
        <v>1493</v>
      </c>
      <c r="T267" s="45" t="s">
        <v>1479</v>
      </c>
      <c r="AA267"/>
    </row>
    <row r="268" spans="1:27" s="45" customFormat="1" ht="12.75" x14ac:dyDescent="0.2">
      <c r="A268" s="24" t="s">
        <v>1502</v>
      </c>
      <c r="B268" s="174">
        <v>44652</v>
      </c>
      <c r="C268" s="23" t="s">
        <v>389</v>
      </c>
      <c r="D268" s="106">
        <v>5001352</v>
      </c>
      <c r="E268" s="24" t="s">
        <v>211</v>
      </c>
      <c r="F268" s="44" t="s">
        <v>424</v>
      </c>
      <c r="G268" s="47" t="s">
        <v>264</v>
      </c>
      <c r="H268" s="24" t="s">
        <v>722</v>
      </c>
      <c r="I268" s="44">
        <v>24</v>
      </c>
      <c r="J268" s="24" t="s">
        <v>3</v>
      </c>
      <c r="K268" s="103">
        <v>141036</v>
      </c>
      <c r="L268" s="46">
        <f t="shared" si="24"/>
        <v>3384864</v>
      </c>
      <c r="M268" s="173">
        <f t="shared" si="26"/>
        <v>0.33848640000000002</v>
      </c>
      <c r="N268" s="144">
        <v>0.50685714285714278</v>
      </c>
      <c r="O268" s="146">
        <f t="shared" si="23"/>
        <v>71485.103999999992</v>
      </c>
      <c r="P268" s="144">
        <v>44.075208333333329</v>
      </c>
      <c r="Q268" s="146">
        <f t="shared" si="25"/>
        <v>6216191.0824999996</v>
      </c>
      <c r="R268" s="133">
        <f t="shared" si="27"/>
        <v>0.62161910825</v>
      </c>
      <c r="S268" s="23" t="s">
        <v>1493</v>
      </c>
      <c r="T268" s="45" t="s">
        <v>1479</v>
      </c>
      <c r="AA268"/>
    </row>
    <row r="269" spans="1:27" s="45" customFormat="1" ht="12.75" x14ac:dyDescent="0.2">
      <c r="A269" s="24" t="s">
        <v>1502</v>
      </c>
      <c r="B269" s="174">
        <v>44652</v>
      </c>
      <c r="C269" s="23" t="s">
        <v>389</v>
      </c>
      <c r="D269" s="106">
        <v>5001533</v>
      </c>
      <c r="E269" s="24" t="s">
        <v>392</v>
      </c>
      <c r="F269" s="44" t="s">
        <v>426</v>
      </c>
      <c r="G269" s="47" t="s">
        <v>264</v>
      </c>
      <c r="H269" s="24" t="s">
        <v>723</v>
      </c>
      <c r="I269" s="44">
        <v>90</v>
      </c>
      <c r="J269" s="24" t="s">
        <v>7</v>
      </c>
      <c r="K269" s="103">
        <v>10916</v>
      </c>
      <c r="L269" s="46">
        <f t="shared" si="24"/>
        <v>982440</v>
      </c>
      <c r="M269" s="173">
        <f t="shared" si="26"/>
        <v>9.8243999999999998E-2</v>
      </c>
      <c r="N269" s="144">
        <v>2.5342708333333333</v>
      </c>
      <c r="O269" s="146">
        <f t="shared" si="23"/>
        <v>27664.100416666664</v>
      </c>
      <c r="P269" s="144">
        <v>98.601749448123613</v>
      </c>
      <c r="Q269" s="146">
        <f t="shared" si="25"/>
        <v>1076336.6969757173</v>
      </c>
      <c r="R269" s="133">
        <f t="shared" si="27"/>
        <v>0.10763366969757174</v>
      </c>
      <c r="S269" s="23" t="s">
        <v>1493</v>
      </c>
      <c r="T269" s="45" t="s">
        <v>1479</v>
      </c>
      <c r="AA269"/>
    </row>
    <row r="270" spans="1:27" s="45" customFormat="1" ht="12.75" x14ac:dyDescent="0.2">
      <c r="A270" s="24" t="s">
        <v>1502</v>
      </c>
      <c r="B270" s="174">
        <v>44652</v>
      </c>
      <c r="C270" s="23" t="s">
        <v>389</v>
      </c>
      <c r="D270" s="106">
        <v>5001533</v>
      </c>
      <c r="E270" s="24" t="s">
        <v>392</v>
      </c>
      <c r="F270" s="44" t="s">
        <v>426</v>
      </c>
      <c r="G270" s="47" t="s">
        <v>264</v>
      </c>
      <c r="H270" s="24" t="s">
        <v>724</v>
      </c>
      <c r="I270" s="44">
        <v>90</v>
      </c>
      <c r="J270" s="24" t="s">
        <v>7</v>
      </c>
      <c r="K270" s="103">
        <v>10736</v>
      </c>
      <c r="L270" s="46">
        <f t="shared" si="24"/>
        <v>966240</v>
      </c>
      <c r="M270" s="173">
        <f t="shared" si="26"/>
        <v>9.6624000000000002E-2</v>
      </c>
      <c r="N270" s="144">
        <v>2.5342708333333333</v>
      </c>
      <c r="O270" s="146">
        <f t="shared" si="23"/>
        <v>27207.931666666667</v>
      </c>
      <c r="P270" s="144">
        <v>98.601749448123613</v>
      </c>
      <c r="Q270" s="146">
        <f t="shared" si="25"/>
        <v>1058588.382075055</v>
      </c>
      <c r="R270" s="133">
        <f t="shared" si="27"/>
        <v>0.10585883820750551</v>
      </c>
      <c r="S270" s="23" t="s">
        <v>1493</v>
      </c>
      <c r="T270" s="45" t="s">
        <v>1479</v>
      </c>
      <c r="AA270"/>
    </row>
    <row r="271" spans="1:27" s="45" customFormat="1" ht="12.75" x14ac:dyDescent="0.2">
      <c r="A271" s="24" t="s">
        <v>1502</v>
      </c>
      <c r="B271" s="174">
        <v>44652</v>
      </c>
      <c r="C271" s="23" t="s">
        <v>389</v>
      </c>
      <c r="D271" s="106">
        <v>5002780</v>
      </c>
      <c r="E271" s="24" t="s">
        <v>587</v>
      </c>
      <c r="F271" s="44" t="s">
        <v>424</v>
      </c>
      <c r="G271" s="47" t="s">
        <v>264</v>
      </c>
      <c r="H271" s="24" t="s">
        <v>405</v>
      </c>
      <c r="I271" s="44">
        <v>6</v>
      </c>
      <c r="J271" s="24" t="s">
        <v>3</v>
      </c>
      <c r="K271" s="103">
        <v>18270</v>
      </c>
      <c r="L271" s="46">
        <f t="shared" si="24"/>
        <v>109620</v>
      </c>
      <c r="M271" s="173">
        <f t="shared" si="26"/>
        <v>1.0962E-2</v>
      </c>
      <c r="N271" s="144">
        <v>0.28375510204081633</v>
      </c>
      <c r="O271" s="146">
        <f t="shared" si="23"/>
        <v>5184.2057142857147</v>
      </c>
      <c r="P271" s="144">
        <v>18.997499999999999</v>
      </c>
      <c r="Q271" s="146">
        <f t="shared" si="25"/>
        <v>347084.32499999995</v>
      </c>
      <c r="R271" s="133">
        <f t="shared" si="27"/>
        <v>3.4708432499999997E-2</v>
      </c>
      <c r="S271" s="23" t="s">
        <v>1493</v>
      </c>
      <c r="T271" s="45" t="s">
        <v>1479</v>
      </c>
      <c r="AA271"/>
    </row>
    <row r="272" spans="1:27" ht="12.75" x14ac:dyDescent="0.2">
      <c r="A272" s="24" t="s">
        <v>1502</v>
      </c>
      <c r="B272" s="174">
        <v>44652</v>
      </c>
      <c r="C272" s="23" t="s">
        <v>386</v>
      </c>
      <c r="D272" s="106">
        <v>5500801</v>
      </c>
      <c r="E272" s="24" t="s">
        <v>319</v>
      </c>
      <c r="F272" s="23" t="s">
        <v>425</v>
      </c>
      <c r="G272" s="29" t="s">
        <v>265</v>
      </c>
      <c r="H272" s="24" t="s">
        <v>787</v>
      </c>
      <c r="I272" s="23">
        <v>15</v>
      </c>
      <c r="J272" s="24" t="s">
        <v>65</v>
      </c>
      <c r="K272" s="103">
        <v>32075</v>
      </c>
      <c r="L272" s="35">
        <f t="shared" ref="L272:L281" si="28">K272*I272</f>
        <v>481125</v>
      </c>
      <c r="M272" s="173">
        <f t="shared" si="26"/>
        <v>4.8112500000000002E-2</v>
      </c>
      <c r="N272" s="149">
        <v>1.1030729166666668</v>
      </c>
      <c r="O272" s="152">
        <f>+K272*N272</f>
        <v>35381.063802083336</v>
      </c>
      <c r="P272" s="149">
        <v>214.70999556701878</v>
      </c>
      <c r="Q272" s="152">
        <f t="shared" si="25"/>
        <v>6886823.1078121271</v>
      </c>
      <c r="R272" s="133">
        <f t="shared" si="27"/>
        <v>0.68868231078121267</v>
      </c>
      <c r="S272" s="23" t="s">
        <v>1494</v>
      </c>
      <c r="T272" s="24" t="s">
        <v>1478</v>
      </c>
      <c r="AA272"/>
    </row>
    <row r="273" spans="1:27" ht="12.75" x14ac:dyDescent="0.2">
      <c r="A273" s="24" t="s">
        <v>1502</v>
      </c>
      <c r="B273" s="174">
        <v>44652</v>
      </c>
      <c r="C273" s="23" t="s">
        <v>386</v>
      </c>
      <c r="D273" s="106">
        <v>5500800</v>
      </c>
      <c r="E273" s="24" t="s">
        <v>745</v>
      </c>
      <c r="F273" s="23" t="s">
        <v>425</v>
      </c>
      <c r="G273" s="29" t="s">
        <v>265</v>
      </c>
      <c r="H273" s="24" t="s">
        <v>822</v>
      </c>
      <c r="I273" s="23">
        <v>15</v>
      </c>
      <c r="J273" s="24" t="s">
        <v>65</v>
      </c>
      <c r="K273" s="103">
        <v>30994</v>
      </c>
      <c r="L273" s="35">
        <f t="shared" si="28"/>
        <v>464910</v>
      </c>
      <c r="M273" s="173">
        <f t="shared" si="26"/>
        <v>4.6490999999999998E-2</v>
      </c>
      <c r="N273" s="149">
        <v>1.1030729166666668</v>
      </c>
      <c r="O273" s="152">
        <f t="shared" ref="O273:O281" si="29">+K273*N273</f>
        <v>34188.64197916667</v>
      </c>
      <c r="P273" s="149">
        <v>175.50000197784809</v>
      </c>
      <c r="Q273" s="152">
        <f t="shared" si="25"/>
        <v>5439447.0613014232</v>
      </c>
      <c r="R273" s="133">
        <f t="shared" si="27"/>
        <v>0.54394470613014234</v>
      </c>
      <c r="S273" s="23" t="s">
        <v>1494</v>
      </c>
      <c r="T273" s="24" t="s">
        <v>1478</v>
      </c>
      <c r="AA273"/>
    </row>
    <row r="274" spans="1:27" ht="12.75" x14ac:dyDescent="0.2">
      <c r="A274" s="24" t="s">
        <v>1502</v>
      </c>
      <c r="B274" s="174">
        <v>44652</v>
      </c>
      <c r="C274" s="23" t="s">
        <v>386</v>
      </c>
      <c r="D274" s="106">
        <v>5500674</v>
      </c>
      <c r="E274" s="24" t="s">
        <v>241</v>
      </c>
      <c r="F274" s="23" t="s">
        <v>425</v>
      </c>
      <c r="G274" s="29" t="s">
        <v>265</v>
      </c>
      <c r="H274" s="24" t="s">
        <v>831</v>
      </c>
      <c r="I274" s="23">
        <v>15</v>
      </c>
      <c r="J274" s="24" t="s">
        <v>3</v>
      </c>
      <c r="K274" s="103">
        <v>32871</v>
      </c>
      <c r="L274" s="35">
        <f t="shared" si="28"/>
        <v>493065</v>
      </c>
      <c r="M274" s="173">
        <f t="shared" si="26"/>
        <v>4.9306500000000003E-2</v>
      </c>
      <c r="N274" s="149">
        <v>0.64</v>
      </c>
      <c r="O274" s="152">
        <f t="shared" si="29"/>
        <v>21037.439999999999</v>
      </c>
      <c r="P274" s="149">
        <v>190.92992815600417</v>
      </c>
      <c r="Q274" s="152">
        <f t="shared" si="25"/>
        <v>6276057.668416013</v>
      </c>
      <c r="R274" s="133">
        <f t="shared" si="27"/>
        <v>0.6276057668416013</v>
      </c>
      <c r="S274" s="23" t="s">
        <v>1494</v>
      </c>
      <c r="T274" s="24" t="s">
        <v>1478</v>
      </c>
      <c r="AA274"/>
    </row>
    <row r="275" spans="1:27" ht="12.75" x14ac:dyDescent="0.2">
      <c r="A275" s="24" t="s">
        <v>1502</v>
      </c>
      <c r="B275" s="174">
        <v>44652</v>
      </c>
      <c r="C275" s="23" t="s">
        <v>386</v>
      </c>
      <c r="D275" s="106">
        <v>5500801</v>
      </c>
      <c r="E275" s="24" t="s">
        <v>319</v>
      </c>
      <c r="F275" s="23" t="s">
        <v>425</v>
      </c>
      <c r="G275" s="29" t="s">
        <v>265</v>
      </c>
      <c r="H275" s="24" t="s">
        <v>844</v>
      </c>
      <c r="I275" s="23">
        <v>15</v>
      </c>
      <c r="J275" s="24" t="s">
        <v>65</v>
      </c>
      <c r="K275" s="103">
        <v>5950</v>
      </c>
      <c r="L275" s="35">
        <f t="shared" si="28"/>
        <v>89250</v>
      </c>
      <c r="M275" s="173">
        <f t="shared" si="26"/>
        <v>8.9250000000000006E-3</v>
      </c>
      <c r="N275" s="149">
        <v>1.1030729166666668</v>
      </c>
      <c r="O275" s="152">
        <f t="shared" si="29"/>
        <v>6563.2838541666679</v>
      </c>
      <c r="P275" s="149">
        <v>214.70999556701878</v>
      </c>
      <c r="Q275" s="152">
        <f t="shared" si="25"/>
        <v>1277524.4736237617</v>
      </c>
      <c r="R275" s="133">
        <f t="shared" si="27"/>
        <v>0.12775244736237618</v>
      </c>
      <c r="S275" s="23" t="s">
        <v>1494</v>
      </c>
      <c r="T275" s="24" t="s">
        <v>1478</v>
      </c>
      <c r="AA275"/>
    </row>
    <row r="276" spans="1:27" ht="12.75" x14ac:dyDescent="0.2">
      <c r="A276" s="24" t="s">
        <v>1502</v>
      </c>
      <c r="B276" s="174">
        <v>44652</v>
      </c>
      <c r="C276" s="23" t="s">
        <v>386</v>
      </c>
      <c r="D276" s="106">
        <v>5500674</v>
      </c>
      <c r="E276" s="24" t="s">
        <v>241</v>
      </c>
      <c r="F276" s="23" t="s">
        <v>425</v>
      </c>
      <c r="G276" s="29" t="s">
        <v>265</v>
      </c>
      <c r="H276" s="24" t="s">
        <v>858</v>
      </c>
      <c r="I276" s="23">
        <v>15</v>
      </c>
      <c r="J276" s="24" t="s">
        <v>3</v>
      </c>
      <c r="K276" s="103">
        <v>32981</v>
      </c>
      <c r="L276" s="35">
        <f t="shared" si="28"/>
        <v>494715</v>
      </c>
      <c r="M276" s="173">
        <f t="shared" si="26"/>
        <v>4.9471500000000002E-2</v>
      </c>
      <c r="N276" s="149">
        <v>0.64</v>
      </c>
      <c r="O276" s="152">
        <f t="shared" si="29"/>
        <v>21107.84</v>
      </c>
      <c r="P276" s="149">
        <v>190.92992815600417</v>
      </c>
      <c r="Q276" s="152">
        <f t="shared" si="25"/>
        <v>6297059.9605131736</v>
      </c>
      <c r="R276" s="133">
        <f t="shared" si="27"/>
        <v>0.62970599605131738</v>
      </c>
      <c r="S276" s="23" t="s">
        <v>1494</v>
      </c>
      <c r="T276" s="24" t="s">
        <v>1478</v>
      </c>
      <c r="AA276"/>
    </row>
    <row r="277" spans="1:27" ht="12.75" x14ac:dyDescent="0.2">
      <c r="A277" s="24" t="s">
        <v>1502</v>
      </c>
      <c r="B277" s="174">
        <v>44652</v>
      </c>
      <c r="C277" s="23" t="s">
        <v>386</v>
      </c>
      <c r="D277" s="106">
        <v>5500674</v>
      </c>
      <c r="E277" s="24" t="s">
        <v>241</v>
      </c>
      <c r="F277" s="23" t="s">
        <v>425</v>
      </c>
      <c r="G277" s="29" t="s">
        <v>265</v>
      </c>
      <c r="H277" s="24" t="s">
        <v>875</v>
      </c>
      <c r="I277" s="23">
        <v>15</v>
      </c>
      <c r="J277" s="24" t="s">
        <v>3</v>
      </c>
      <c r="K277" s="103">
        <v>32911</v>
      </c>
      <c r="L277" s="35">
        <f t="shared" si="28"/>
        <v>493665</v>
      </c>
      <c r="M277" s="173">
        <f t="shared" si="26"/>
        <v>4.9366500000000001E-2</v>
      </c>
      <c r="N277" s="149">
        <v>0.64</v>
      </c>
      <c r="O277" s="152">
        <f t="shared" si="29"/>
        <v>21063.040000000001</v>
      </c>
      <c r="P277" s="149">
        <v>190.92992815600417</v>
      </c>
      <c r="Q277" s="152">
        <f t="shared" si="25"/>
        <v>6283694.8655422535</v>
      </c>
      <c r="R277" s="133">
        <f t="shared" si="27"/>
        <v>0.62836948655422531</v>
      </c>
      <c r="S277" s="23" t="s">
        <v>1494</v>
      </c>
      <c r="T277" s="24" t="s">
        <v>1478</v>
      </c>
      <c r="AA277"/>
    </row>
    <row r="278" spans="1:27" ht="12.75" x14ac:dyDescent="0.2">
      <c r="A278" s="24" t="s">
        <v>1502</v>
      </c>
      <c r="B278" s="174">
        <v>44652</v>
      </c>
      <c r="C278" s="23" t="s">
        <v>386</v>
      </c>
      <c r="D278" s="106">
        <v>5500674</v>
      </c>
      <c r="E278" s="24" t="s">
        <v>241</v>
      </c>
      <c r="F278" s="23" t="s">
        <v>425</v>
      </c>
      <c r="G278" s="29" t="s">
        <v>265</v>
      </c>
      <c r="H278" s="24" t="s">
        <v>876</v>
      </c>
      <c r="I278" s="23">
        <v>15</v>
      </c>
      <c r="J278" s="24" t="s">
        <v>3</v>
      </c>
      <c r="K278" s="103">
        <v>32971</v>
      </c>
      <c r="L278" s="35">
        <f t="shared" si="28"/>
        <v>494565</v>
      </c>
      <c r="M278" s="173">
        <f t="shared" si="26"/>
        <v>4.94565E-2</v>
      </c>
      <c r="N278" s="149">
        <v>0.64</v>
      </c>
      <c r="O278" s="152">
        <f t="shared" si="29"/>
        <v>21101.439999999999</v>
      </c>
      <c r="P278" s="149">
        <v>190.92992815600417</v>
      </c>
      <c r="Q278" s="152">
        <f t="shared" si="25"/>
        <v>6295150.6612316137</v>
      </c>
      <c r="R278" s="133">
        <f t="shared" si="27"/>
        <v>0.62951506612316133</v>
      </c>
      <c r="S278" s="23" t="s">
        <v>1494</v>
      </c>
      <c r="T278" s="24" t="s">
        <v>1478</v>
      </c>
      <c r="AA278"/>
    </row>
    <row r="279" spans="1:27" ht="12.75" x14ac:dyDescent="0.2">
      <c r="A279" s="24" t="s">
        <v>1502</v>
      </c>
      <c r="B279" s="174">
        <v>44652</v>
      </c>
      <c r="C279" s="23" t="s">
        <v>386</v>
      </c>
      <c r="D279" s="106">
        <v>5500675</v>
      </c>
      <c r="E279" s="24" t="s">
        <v>242</v>
      </c>
      <c r="F279" s="23" t="s">
        <v>425</v>
      </c>
      <c r="G279" s="29" t="s">
        <v>265</v>
      </c>
      <c r="H279" s="24" t="s">
        <v>895</v>
      </c>
      <c r="I279" s="23">
        <v>15</v>
      </c>
      <c r="J279" s="24" t="s">
        <v>3</v>
      </c>
      <c r="K279" s="103">
        <v>32951</v>
      </c>
      <c r="L279" s="35">
        <f t="shared" si="28"/>
        <v>494265</v>
      </c>
      <c r="M279" s="173">
        <f t="shared" si="26"/>
        <v>4.9426499999999998E-2</v>
      </c>
      <c r="N279" s="149">
        <v>0.64</v>
      </c>
      <c r="O279" s="152">
        <f t="shared" si="29"/>
        <v>21088.639999999999</v>
      </c>
      <c r="P279" s="149">
        <v>235.2899962984504</v>
      </c>
      <c r="Q279" s="152">
        <f t="shared" si="25"/>
        <v>7753040.6680302396</v>
      </c>
      <c r="R279" s="133">
        <f t="shared" si="27"/>
        <v>0.77530406680302399</v>
      </c>
      <c r="S279" s="23" t="s">
        <v>1494</v>
      </c>
      <c r="T279" s="24" t="s">
        <v>1478</v>
      </c>
      <c r="AA279"/>
    </row>
    <row r="280" spans="1:27" ht="12.75" x14ac:dyDescent="0.2">
      <c r="A280" s="24" t="s">
        <v>1502</v>
      </c>
      <c r="B280" s="174">
        <v>44652</v>
      </c>
      <c r="C280" s="23" t="s">
        <v>386</v>
      </c>
      <c r="D280" s="106">
        <v>5500801</v>
      </c>
      <c r="E280" s="24" t="s">
        <v>319</v>
      </c>
      <c r="F280" s="23" t="s">
        <v>425</v>
      </c>
      <c r="G280" s="29" t="s">
        <v>265</v>
      </c>
      <c r="H280" s="24" t="s">
        <v>909</v>
      </c>
      <c r="I280" s="23">
        <v>15</v>
      </c>
      <c r="J280" s="24" t="s">
        <v>65</v>
      </c>
      <c r="K280" s="103">
        <v>26590</v>
      </c>
      <c r="L280" s="35">
        <f t="shared" si="28"/>
        <v>398850</v>
      </c>
      <c r="M280" s="173">
        <f t="shared" si="26"/>
        <v>3.9884999999999997E-2</v>
      </c>
      <c r="N280" s="149">
        <v>1.1030729166666668</v>
      </c>
      <c r="O280" s="152">
        <f t="shared" si="29"/>
        <v>29330.708854166671</v>
      </c>
      <c r="P280" s="149">
        <v>214.70999556701878</v>
      </c>
      <c r="Q280" s="152">
        <f t="shared" si="25"/>
        <v>5709138.7821270293</v>
      </c>
      <c r="R280" s="133">
        <f t="shared" si="27"/>
        <v>0.5709138782127029</v>
      </c>
      <c r="S280" s="23" t="s">
        <v>1494</v>
      </c>
      <c r="T280" s="24" t="s">
        <v>1478</v>
      </c>
      <c r="AA280"/>
    </row>
    <row r="281" spans="1:27" ht="12.75" x14ac:dyDescent="0.2">
      <c r="A281" s="24" t="s">
        <v>1502</v>
      </c>
      <c r="B281" s="174">
        <v>44652</v>
      </c>
      <c r="C281" s="23" t="s">
        <v>386</v>
      </c>
      <c r="D281" s="106">
        <v>5500675</v>
      </c>
      <c r="E281" s="24" t="s">
        <v>242</v>
      </c>
      <c r="F281" s="23" t="s">
        <v>425</v>
      </c>
      <c r="G281" s="29" t="s">
        <v>265</v>
      </c>
      <c r="H281" s="24" t="s">
        <v>950</v>
      </c>
      <c r="I281" s="23">
        <v>15</v>
      </c>
      <c r="J281" s="24" t="s">
        <v>3</v>
      </c>
      <c r="K281" s="103">
        <v>33101</v>
      </c>
      <c r="L281" s="35">
        <f t="shared" si="28"/>
        <v>496515</v>
      </c>
      <c r="M281" s="173">
        <f t="shared" si="26"/>
        <v>4.9651500000000001E-2</v>
      </c>
      <c r="N281" s="149">
        <v>0.64</v>
      </c>
      <c r="O281" s="152">
        <f t="shared" si="29"/>
        <v>21184.639999999999</v>
      </c>
      <c r="P281" s="149">
        <v>235.2899962984504</v>
      </c>
      <c r="Q281" s="152">
        <f t="shared" si="25"/>
        <v>7788334.1674750065</v>
      </c>
      <c r="R281" s="133">
        <f t="shared" si="27"/>
        <v>0.77883341674750062</v>
      </c>
      <c r="S281" s="23" t="s">
        <v>1494</v>
      </c>
      <c r="T281" s="24" t="s">
        <v>1478</v>
      </c>
      <c r="AA281"/>
    </row>
    <row r="282" spans="1:27" ht="12.75" x14ac:dyDescent="0.2">
      <c r="A282" s="24" t="s">
        <v>1502</v>
      </c>
      <c r="B282" s="174">
        <v>44652</v>
      </c>
      <c r="C282" s="23" t="s">
        <v>386</v>
      </c>
      <c r="D282" s="106">
        <v>5005000</v>
      </c>
      <c r="E282" s="24" t="s">
        <v>728</v>
      </c>
      <c r="F282" s="23" t="s">
        <v>424</v>
      </c>
      <c r="G282" s="100" t="s">
        <v>1504</v>
      </c>
      <c r="H282" s="24" t="s">
        <v>769</v>
      </c>
      <c r="I282" s="23">
        <v>1</v>
      </c>
      <c r="J282" s="24" t="s">
        <v>34</v>
      </c>
      <c r="K282" s="103">
        <v>9578</v>
      </c>
      <c r="L282" s="35">
        <f t="shared" ref="L282:L314" si="30">K282*I282</f>
        <v>9578</v>
      </c>
      <c r="M282" s="173">
        <f t="shared" si="26"/>
        <v>9.5779999999999997E-4</v>
      </c>
      <c r="N282" s="149">
        <v>1.2737411701333201</v>
      </c>
      <c r="O282" s="152">
        <f t="shared" ref="O282:O314" si="31">+K282*N282</f>
        <v>12199.892927536939</v>
      </c>
      <c r="P282" s="149">
        <v>131.12</v>
      </c>
      <c r="Q282" s="152">
        <f t="shared" si="25"/>
        <v>1255867.3600000001</v>
      </c>
      <c r="R282" s="133">
        <f t="shared" si="27"/>
        <v>0.125586736</v>
      </c>
      <c r="S282" s="23" t="s">
        <v>1494</v>
      </c>
      <c r="T282" s="24" t="s">
        <v>1478</v>
      </c>
      <c r="AA282"/>
    </row>
    <row r="283" spans="1:27" ht="12.75" x14ac:dyDescent="0.2">
      <c r="A283" s="24" t="s">
        <v>1502</v>
      </c>
      <c r="B283" s="174">
        <v>44652</v>
      </c>
      <c r="C283" s="23" t="s">
        <v>386</v>
      </c>
      <c r="D283" s="106">
        <v>5501153</v>
      </c>
      <c r="E283" s="24" t="s">
        <v>245</v>
      </c>
      <c r="F283" s="23" t="s">
        <v>425</v>
      </c>
      <c r="G283" s="100" t="s">
        <v>1504</v>
      </c>
      <c r="H283" s="24" t="s">
        <v>772</v>
      </c>
      <c r="I283" s="23">
        <v>1</v>
      </c>
      <c r="J283" s="24" t="s">
        <v>34</v>
      </c>
      <c r="K283" s="103">
        <v>79281</v>
      </c>
      <c r="L283" s="35">
        <f t="shared" si="30"/>
        <v>79281</v>
      </c>
      <c r="M283" s="173">
        <f t="shared" si="26"/>
        <v>7.9281000000000004E-3</v>
      </c>
      <c r="N283" s="149">
        <v>1.1602040816326531</v>
      </c>
      <c r="O283" s="152">
        <f t="shared" si="31"/>
        <v>91982.139795918367</v>
      </c>
      <c r="P283" s="149">
        <v>166.50015102974828</v>
      </c>
      <c r="Q283" s="152">
        <f t="shared" si="25"/>
        <v>13200298.473789474</v>
      </c>
      <c r="R283" s="133">
        <f t="shared" si="27"/>
        <v>1.3200298473789474</v>
      </c>
      <c r="S283" s="23" t="s">
        <v>1494</v>
      </c>
      <c r="T283" s="24" t="s">
        <v>1478</v>
      </c>
      <c r="AA283"/>
    </row>
    <row r="284" spans="1:27" ht="12.75" x14ac:dyDescent="0.2">
      <c r="A284" s="24" t="s">
        <v>1502</v>
      </c>
      <c r="B284" s="174">
        <v>44652</v>
      </c>
      <c r="C284" s="23" t="s">
        <v>386</v>
      </c>
      <c r="D284" s="106">
        <v>5501153</v>
      </c>
      <c r="E284" s="24" t="s">
        <v>245</v>
      </c>
      <c r="F284" s="23" t="s">
        <v>425</v>
      </c>
      <c r="G284" s="100" t="s">
        <v>1504</v>
      </c>
      <c r="H284" s="24" t="s">
        <v>776</v>
      </c>
      <c r="I284" s="23">
        <v>1</v>
      </c>
      <c r="J284" s="24" t="s">
        <v>34</v>
      </c>
      <c r="K284" s="103">
        <v>79399</v>
      </c>
      <c r="L284" s="35">
        <f t="shared" si="30"/>
        <v>79399</v>
      </c>
      <c r="M284" s="173">
        <f t="shared" si="26"/>
        <v>7.9398999999999997E-3</v>
      </c>
      <c r="N284" s="149">
        <v>1.1602040816326531</v>
      </c>
      <c r="O284" s="152">
        <f t="shared" si="31"/>
        <v>92119.043877551027</v>
      </c>
      <c r="P284" s="149">
        <v>166.50015102974828</v>
      </c>
      <c r="Q284" s="152">
        <f t="shared" si="25"/>
        <v>13219945.491610983</v>
      </c>
      <c r="R284" s="133">
        <f t="shared" si="27"/>
        <v>1.3219945491610983</v>
      </c>
      <c r="S284" s="23" t="s">
        <v>1494</v>
      </c>
      <c r="T284" s="24" t="s">
        <v>1478</v>
      </c>
      <c r="AA284"/>
    </row>
    <row r="285" spans="1:27" ht="12.75" x14ac:dyDescent="0.2">
      <c r="A285" s="24" t="s">
        <v>1502</v>
      </c>
      <c r="B285" s="174">
        <v>44652</v>
      </c>
      <c r="C285" s="23" t="s">
        <v>386</v>
      </c>
      <c r="D285" s="106">
        <v>5501340</v>
      </c>
      <c r="E285" s="24" t="s">
        <v>249</v>
      </c>
      <c r="F285" s="23" t="s">
        <v>425</v>
      </c>
      <c r="G285" s="100" t="s">
        <v>1504</v>
      </c>
      <c r="H285" s="24" t="s">
        <v>777</v>
      </c>
      <c r="I285" s="23">
        <v>1</v>
      </c>
      <c r="J285" s="24" t="s">
        <v>34</v>
      </c>
      <c r="K285" s="103">
        <v>11849</v>
      </c>
      <c r="L285" s="35">
        <f t="shared" si="30"/>
        <v>11849</v>
      </c>
      <c r="M285" s="173">
        <f t="shared" si="26"/>
        <v>1.1849E-3</v>
      </c>
      <c r="N285" s="149">
        <v>2.0959183673469388</v>
      </c>
      <c r="O285" s="152">
        <f t="shared" si="31"/>
        <v>24834.536734693876</v>
      </c>
      <c r="P285" s="149">
        <v>183.21171875000002</v>
      </c>
      <c r="Q285" s="152">
        <f t="shared" si="25"/>
        <v>2170875.6554687503</v>
      </c>
      <c r="R285" s="133">
        <f t="shared" si="27"/>
        <v>0.21708756554687503</v>
      </c>
      <c r="S285" s="23" t="s">
        <v>1494</v>
      </c>
      <c r="T285" s="24" t="s">
        <v>1478</v>
      </c>
      <c r="AA285"/>
    </row>
    <row r="286" spans="1:27" ht="12.75" x14ac:dyDescent="0.2">
      <c r="A286" s="24" t="s">
        <v>1502</v>
      </c>
      <c r="B286" s="174">
        <v>44652</v>
      </c>
      <c r="C286" s="23" t="s">
        <v>386</v>
      </c>
      <c r="D286" s="106">
        <v>5000507</v>
      </c>
      <c r="E286" s="24" t="s">
        <v>732</v>
      </c>
      <c r="F286" s="23" t="s">
        <v>424</v>
      </c>
      <c r="G286" s="100" t="s">
        <v>1504</v>
      </c>
      <c r="H286" s="24" t="s">
        <v>779</v>
      </c>
      <c r="I286" s="23">
        <v>1</v>
      </c>
      <c r="J286" s="24" t="s">
        <v>34</v>
      </c>
      <c r="K286" s="103">
        <v>9899</v>
      </c>
      <c r="L286" s="35">
        <f t="shared" si="30"/>
        <v>9899</v>
      </c>
      <c r="M286" s="173">
        <f t="shared" si="26"/>
        <v>9.8989999999999994E-4</v>
      </c>
      <c r="N286" s="149">
        <v>1.2868725224027358</v>
      </c>
      <c r="O286" s="152">
        <f t="shared" si="31"/>
        <v>12738.75109926468</v>
      </c>
      <c r="P286" s="149">
        <v>113.28749999999999</v>
      </c>
      <c r="Q286" s="152">
        <f t="shared" si="25"/>
        <v>1121432.9624999999</v>
      </c>
      <c r="R286" s="133">
        <f t="shared" si="27"/>
        <v>0.11214329625</v>
      </c>
      <c r="S286" s="23" t="s">
        <v>1494</v>
      </c>
      <c r="T286" s="24" t="s">
        <v>1478</v>
      </c>
      <c r="AA286"/>
    </row>
    <row r="287" spans="1:27" ht="12.75" x14ac:dyDescent="0.2">
      <c r="A287" s="24" t="s">
        <v>1502</v>
      </c>
      <c r="B287" s="174">
        <v>44652</v>
      </c>
      <c r="C287" s="23" t="s">
        <v>386</v>
      </c>
      <c r="D287" s="106">
        <v>5500930</v>
      </c>
      <c r="E287" s="24" t="s">
        <v>53</v>
      </c>
      <c r="F287" s="23" t="s">
        <v>425</v>
      </c>
      <c r="G287" s="100" t="s">
        <v>1504</v>
      </c>
      <c r="H287" s="24" t="s">
        <v>788</v>
      </c>
      <c r="I287" s="23">
        <v>1</v>
      </c>
      <c r="J287" s="24" t="s">
        <v>34</v>
      </c>
      <c r="K287" s="103">
        <v>489</v>
      </c>
      <c r="L287" s="35">
        <f t="shared" si="30"/>
        <v>489</v>
      </c>
      <c r="M287" s="173">
        <f t="shared" si="26"/>
        <v>4.8900000000000003E-5</v>
      </c>
      <c r="N287" s="149">
        <v>3.5591836734693878</v>
      </c>
      <c r="O287" s="152">
        <f t="shared" si="31"/>
        <v>1740.4408163265307</v>
      </c>
      <c r="P287" s="149">
        <v>232.47</v>
      </c>
      <c r="Q287" s="152">
        <f t="shared" si="25"/>
        <v>113677.83</v>
      </c>
      <c r="R287" s="133">
        <f t="shared" si="27"/>
        <v>1.1367782999999999E-2</v>
      </c>
      <c r="S287" s="23" t="s">
        <v>1494</v>
      </c>
      <c r="T287" s="24" t="s">
        <v>1478</v>
      </c>
      <c r="AA287"/>
    </row>
    <row r="288" spans="1:27" ht="12.75" x14ac:dyDescent="0.2">
      <c r="A288" s="24" t="s">
        <v>1502</v>
      </c>
      <c r="B288" s="174">
        <v>44652</v>
      </c>
      <c r="C288" s="23" t="s">
        <v>386</v>
      </c>
      <c r="D288" s="106">
        <v>5501153</v>
      </c>
      <c r="E288" s="24" t="s">
        <v>245</v>
      </c>
      <c r="F288" s="23" t="s">
        <v>425</v>
      </c>
      <c r="G288" s="100" t="s">
        <v>1504</v>
      </c>
      <c r="H288" s="24" t="s">
        <v>789</v>
      </c>
      <c r="I288" s="23">
        <v>1</v>
      </c>
      <c r="J288" s="24" t="s">
        <v>34</v>
      </c>
      <c r="K288" s="103">
        <v>79254</v>
      </c>
      <c r="L288" s="35">
        <f t="shared" si="30"/>
        <v>79254</v>
      </c>
      <c r="M288" s="173">
        <f t="shared" si="26"/>
        <v>7.9254000000000008E-3</v>
      </c>
      <c r="N288" s="149">
        <v>1.1602040816326531</v>
      </c>
      <c r="O288" s="152">
        <f t="shared" si="31"/>
        <v>91950.814285714281</v>
      </c>
      <c r="P288" s="149">
        <v>166.50015102974828</v>
      </c>
      <c r="Q288" s="152">
        <f t="shared" si="25"/>
        <v>13195802.969711671</v>
      </c>
      <c r="R288" s="133">
        <f t="shared" si="27"/>
        <v>1.319580296971167</v>
      </c>
      <c r="S288" s="23" t="s">
        <v>1494</v>
      </c>
      <c r="T288" s="24" t="s">
        <v>1478</v>
      </c>
      <c r="AA288"/>
    </row>
    <row r="289" spans="1:27" ht="12.75" x14ac:dyDescent="0.2">
      <c r="A289" s="24" t="s">
        <v>1502</v>
      </c>
      <c r="B289" s="174">
        <v>44652</v>
      </c>
      <c r="C289" s="23" t="s">
        <v>386</v>
      </c>
      <c r="D289" s="106">
        <v>5000337</v>
      </c>
      <c r="E289" s="24" t="s">
        <v>316</v>
      </c>
      <c r="F289" s="23" t="s">
        <v>424</v>
      </c>
      <c r="G289" s="100" t="s">
        <v>1504</v>
      </c>
      <c r="H289" s="24" t="s">
        <v>790</v>
      </c>
      <c r="I289" s="23">
        <v>1</v>
      </c>
      <c r="J289" s="24" t="s">
        <v>34</v>
      </c>
      <c r="K289" s="103">
        <v>65828</v>
      </c>
      <c r="L289" s="35">
        <f t="shared" si="30"/>
        <v>65828</v>
      </c>
      <c r="M289" s="173">
        <f t="shared" si="26"/>
        <v>6.5827999999999998E-3</v>
      </c>
      <c r="N289" s="149">
        <v>0.93284009268924306</v>
      </c>
      <c r="O289" s="152">
        <f t="shared" si="31"/>
        <v>61406.997621547489</v>
      </c>
      <c r="P289" s="149">
        <v>118.32209997439836</v>
      </c>
      <c r="Q289" s="152">
        <f t="shared" si="25"/>
        <v>7788907.1971146949</v>
      </c>
      <c r="R289" s="133">
        <f t="shared" si="27"/>
        <v>0.7788907197114695</v>
      </c>
      <c r="S289" s="23" t="s">
        <v>1494</v>
      </c>
      <c r="T289" s="24" t="s">
        <v>1478</v>
      </c>
      <c r="AA289"/>
    </row>
    <row r="290" spans="1:27" ht="12.75" x14ac:dyDescent="0.2">
      <c r="A290" s="24" t="s">
        <v>1502</v>
      </c>
      <c r="B290" s="174">
        <v>44652</v>
      </c>
      <c r="C290" s="23" t="s">
        <v>386</v>
      </c>
      <c r="D290" s="106">
        <v>5000507</v>
      </c>
      <c r="E290" s="24" t="s">
        <v>732</v>
      </c>
      <c r="F290" s="23" t="s">
        <v>424</v>
      </c>
      <c r="G290" s="100" t="s">
        <v>1504</v>
      </c>
      <c r="H290" s="24" t="s">
        <v>797</v>
      </c>
      <c r="I290" s="23">
        <v>1</v>
      </c>
      <c r="J290" s="24" t="s">
        <v>34</v>
      </c>
      <c r="K290" s="103">
        <v>9809</v>
      </c>
      <c r="L290" s="35">
        <f t="shared" si="30"/>
        <v>9809</v>
      </c>
      <c r="M290" s="173">
        <f t="shared" si="26"/>
        <v>9.8090000000000004E-4</v>
      </c>
      <c r="N290" s="149">
        <v>1.2868725224027358</v>
      </c>
      <c r="O290" s="152">
        <f t="shared" si="31"/>
        <v>12622.932572248435</v>
      </c>
      <c r="P290" s="149">
        <v>113.28749999999999</v>
      </c>
      <c r="Q290" s="152">
        <f t="shared" si="25"/>
        <v>1111237.0874999999</v>
      </c>
      <c r="R290" s="133">
        <f t="shared" si="27"/>
        <v>0.11112370874999999</v>
      </c>
      <c r="S290" s="23" t="s">
        <v>1494</v>
      </c>
      <c r="T290" s="24" t="s">
        <v>1478</v>
      </c>
      <c r="AA290"/>
    </row>
    <row r="291" spans="1:27" ht="12.75" x14ac:dyDescent="0.2">
      <c r="A291" s="24" t="s">
        <v>1502</v>
      </c>
      <c r="B291" s="174">
        <v>44652</v>
      </c>
      <c r="C291" s="23" t="s">
        <v>386</v>
      </c>
      <c r="D291" s="106">
        <v>5500943</v>
      </c>
      <c r="E291" s="24" t="s">
        <v>738</v>
      </c>
      <c r="F291" s="23" t="s">
        <v>425</v>
      </c>
      <c r="G291" s="100" t="s">
        <v>1504</v>
      </c>
      <c r="H291" s="24" t="s">
        <v>801</v>
      </c>
      <c r="I291" s="23">
        <v>1</v>
      </c>
      <c r="J291" s="24" t="s">
        <v>34</v>
      </c>
      <c r="K291" s="103">
        <v>2982</v>
      </c>
      <c r="L291" s="35">
        <f t="shared" si="30"/>
        <v>2982</v>
      </c>
      <c r="M291" s="173">
        <f t="shared" si="26"/>
        <v>2.9819999999999998E-4</v>
      </c>
      <c r="N291" s="149">
        <v>4.6942141174310805</v>
      </c>
      <c r="O291" s="152">
        <f t="shared" si="31"/>
        <v>13998.146498179482</v>
      </c>
      <c r="P291" s="149">
        <v>284.95</v>
      </c>
      <c r="Q291" s="152">
        <f t="shared" si="25"/>
        <v>849720.9</v>
      </c>
      <c r="R291" s="133">
        <f t="shared" si="27"/>
        <v>8.497209E-2</v>
      </c>
      <c r="S291" s="23" t="s">
        <v>1494</v>
      </c>
      <c r="T291" s="24" t="s">
        <v>1478</v>
      </c>
      <c r="AA291"/>
    </row>
    <row r="292" spans="1:27" ht="12.75" x14ac:dyDescent="0.2">
      <c r="A292" s="24" t="s">
        <v>1502</v>
      </c>
      <c r="B292" s="174">
        <v>44652</v>
      </c>
      <c r="C292" s="23" t="s">
        <v>386</v>
      </c>
      <c r="D292" s="106">
        <v>5000337</v>
      </c>
      <c r="E292" s="24" t="s">
        <v>316</v>
      </c>
      <c r="F292" s="23" t="s">
        <v>424</v>
      </c>
      <c r="G292" s="100" t="s">
        <v>1504</v>
      </c>
      <c r="H292" s="24" t="s">
        <v>802</v>
      </c>
      <c r="I292" s="23">
        <v>1</v>
      </c>
      <c r="J292" s="24" t="s">
        <v>34</v>
      </c>
      <c r="K292" s="103">
        <v>65361</v>
      </c>
      <c r="L292" s="35">
        <f t="shared" si="30"/>
        <v>65361</v>
      </c>
      <c r="M292" s="173">
        <f t="shared" si="26"/>
        <v>6.5361000000000004E-3</v>
      </c>
      <c r="N292" s="149">
        <v>0.93284009268924306</v>
      </c>
      <c r="O292" s="152">
        <f t="shared" si="31"/>
        <v>60971.361298261618</v>
      </c>
      <c r="P292" s="149">
        <v>118.32209997439836</v>
      </c>
      <c r="Q292" s="152">
        <f t="shared" si="25"/>
        <v>7733650.7764266506</v>
      </c>
      <c r="R292" s="133">
        <f t="shared" si="27"/>
        <v>0.77336507764266504</v>
      </c>
      <c r="S292" s="23" t="s">
        <v>1494</v>
      </c>
      <c r="T292" s="24" t="s">
        <v>1478</v>
      </c>
      <c r="AA292"/>
    </row>
    <row r="293" spans="1:27" ht="12.75" x14ac:dyDescent="0.2">
      <c r="A293" s="24" t="s">
        <v>1502</v>
      </c>
      <c r="B293" s="174">
        <v>44652</v>
      </c>
      <c r="C293" s="23" t="s">
        <v>386</v>
      </c>
      <c r="D293" s="106">
        <v>5500024</v>
      </c>
      <c r="E293" s="24" t="s">
        <v>232</v>
      </c>
      <c r="F293" s="23" t="s">
        <v>425</v>
      </c>
      <c r="G293" s="100" t="s">
        <v>1504</v>
      </c>
      <c r="H293" s="24" t="s">
        <v>818</v>
      </c>
      <c r="I293" s="23">
        <v>1</v>
      </c>
      <c r="J293" s="24" t="s">
        <v>34</v>
      </c>
      <c r="K293" s="103">
        <v>19228</v>
      </c>
      <c r="L293" s="35">
        <f t="shared" si="30"/>
        <v>19228</v>
      </c>
      <c r="M293" s="173">
        <f t="shared" si="26"/>
        <v>1.9227999999999999E-3</v>
      </c>
      <c r="N293" s="149">
        <v>0.93284009268924306</v>
      </c>
      <c r="O293" s="152">
        <f t="shared" si="31"/>
        <v>17936.649302228765</v>
      </c>
      <c r="P293" s="149">
        <v>283.49</v>
      </c>
      <c r="Q293" s="152">
        <f t="shared" si="25"/>
        <v>5450945.7199999997</v>
      </c>
      <c r="R293" s="133">
        <f t="shared" si="27"/>
        <v>0.545094572</v>
      </c>
      <c r="S293" s="23" t="s">
        <v>1494</v>
      </c>
      <c r="T293" s="24" t="s">
        <v>1478</v>
      </c>
      <c r="AA293"/>
    </row>
    <row r="294" spans="1:27" ht="12.75" x14ac:dyDescent="0.2">
      <c r="A294" s="24" t="s">
        <v>1502</v>
      </c>
      <c r="B294" s="174">
        <v>44652</v>
      </c>
      <c r="C294" s="23" t="s">
        <v>386</v>
      </c>
      <c r="D294" s="106">
        <v>5500274</v>
      </c>
      <c r="E294" s="24" t="s">
        <v>80</v>
      </c>
      <c r="F294" s="23" t="s">
        <v>425</v>
      </c>
      <c r="G294" s="100" t="s">
        <v>1504</v>
      </c>
      <c r="H294" s="24" t="s">
        <v>819</v>
      </c>
      <c r="I294" s="23">
        <v>1</v>
      </c>
      <c r="J294" s="24" t="s">
        <v>34</v>
      </c>
      <c r="K294" s="103">
        <v>8266</v>
      </c>
      <c r="L294" s="35">
        <f t="shared" si="30"/>
        <v>8266</v>
      </c>
      <c r="M294" s="173">
        <f t="shared" si="26"/>
        <v>8.2660000000000003E-4</v>
      </c>
      <c r="N294" s="149">
        <v>2.3229925443482733</v>
      </c>
      <c r="O294" s="152">
        <f t="shared" si="31"/>
        <v>19201.856371582828</v>
      </c>
      <c r="P294" s="149">
        <v>199.53106060606063</v>
      </c>
      <c r="Q294" s="152">
        <f t="shared" si="25"/>
        <v>1649323.7469696973</v>
      </c>
      <c r="R294" s="133">
        <f t="shared" si="27"/>
        <v>0.16493237469696972</v>
      </c>
      <c r="S294" s="23" t="s">
        <v>1494</v>
      </c>
      <c r="T294" s="24" t="s">
        <v>1478</v>
      </c>
      <c r="AA294"/>
    </row>
    <row r="295" spans="1:27" ht="12.75" x14ac:dyDescent="0.2">
      <c r="A295" s="24" t="s">
        <v>1502</v>
      </c>
      <c r="B295" s="174">
        <v>44652</v>
      </c>
      <c r="C295" s="23" t="s">
        <v>386</v>
      </c>
      <c r="D295" s="106">
        <v>5500199</v>
      </c>
      <c r="E295" s="24" t="s">
        <v>79</v>
      </c>
      <c r="F295" s="23" t="s">
        <v>425</v>
      </c>
      <c r="G295" s="100" t="s">
        <v>1504</v>
      </c>
      <c r="H295" s="24" t="s">
        <v>826</v>
      </c>
      <c r="I295" s="23">
        <v>1</v>
      </c>
      <c r="J295" s="24" t="s">
        <v>34</v>
      </c>
      <c r="K295" s="103">
        <v>28865</v>
      </c>
      <c r="L295" s="35">
        <f t="shared" si="30"/>
        <v>28865</v>
      </c>
      <c r="M295" s="173">
        <f t="shared" si="26"/>
        <v>2.8865000000000002E-3</v>
      </c>
      <c r="N295" s="149">
        <v>0.81918367346938781</v>
      </c>
      <c r="O295" s="152">
        <f t="shared" si="31"/>
        <v>23645.736734693881</v>
      </c>
      <c r="P295" s="149">
        <v>338.80368872987486</v>
      </c>
      <c r="Q295" s="152">
        <f t="shared" si="25"/>
        <v>9779568.4751878381</v>
      </c>
      <c r="R295" s="133">
        <f t="shared" si="27"/>
        <v>0.97795684751878376</v>
      </c>
      <c r="S295" s="23" t="s">
        <v>1494</v>
      </c>
      <c r="T295" s="24" t="s">
        <v>1478</v>
      </c>
      <c r="AA295"/>
    </row>
    <row r="296" spans="1:27" ht="12.75" x14ac:dyDescent="0.2">
      <c r="A296" s="24" t="s">
        <v>1502</v>
      </c>
      <c r="B296" s="174">
        <v>44652</v>
      </c>
      <c r="C296" s="23" t="s">
        <v>386</v>
      </c>
      <c r="D296" s="106">
        <v>5000296</v>
      </c>
      <c r="E296" s="24" t="s">
        <v>228</v>
      </c>
      <c r="F296" s="23" t="s">
        <v>424</v>
      </c>
      <c r="G296" s="100" t="s">
        <v>1504</v>
      </c>
      <c r="H296" s="24" t="s">
        <v>836</v>
      </c>
      <c r="I296" s="23">
        <v>1</v>
      </c>
      <c r="J296" s="24" t="s">
        <v>34</v>
      </c>
      <c r="K296" s="103">
        <v>39649</v>
      </c>
      <c r="L296" s="35">
        <f t="shared" si="30"/>
        <v>39649</v>
      </c>
      <c r="M296" s="173">
        <f t="shared" si="26"/>
        <v>3.9649000000000004E-3</v>
      </c>
      <c r="N296" s="149">
        <v>2.0959183673469388</v>
      </c>
      <c r="O296" s="152">
        <f t="shared" si="31"/>
        <v>83101.067346938784</v>
      </c>
      <c r="P296" s="149">
        <v>81.915299747474748</v>
      </c>
      <c r="Q296" s="152">
        <f t="shared" si="25"/>
        <v>3247859.7196876262</v>
      </c>
      <c r="R296" s="133">
        <f t="shared" si="27"/>
        <v>0.32478597196876263</v>
      </c>
      <c r="S296" s="23" t="s">
        <v>1494</v>
      </c>
      <c r="T296" s="24" t="s">
        <v>1478</v>
      </c>
      <c r="AA296"/>
    </row>
    <row r="297" spans="1:27" ht="12.75" x14ac:dyDescent="0.2">
      <c r="A297" s="24" t="s">
        <v>1502</v>
      </c>
      <c r="B297" s="174">
        <v>44652</v>
      </c>
      <c r="C297" s="23" t="s">
        <v>386</v>
      </c>
      <c r="D297" s="106">
        <v>5500930</v>
      </c>
      <c r="E297" s="24" t="s">
        <v>53</v>
      </c>
      <c r="F297" s="23" t="s">
        <v>425</v>
      </c>
      <c r="G297" s="100" t="s">
        <v>1504</v>
      </c>
      <c r="H297" s="24" t="s">
        <v>845</v>
      </c>
      <c r="I297" s="23">
        <v>1</v>
      </c>
      <c r="J297" s="24" t="s">
        <v>34</v>
      </c>
      <c r="K297" s="103">
        <v>4959</v>
      </c>
      <c r="L297" s="35">
        <f t="shared" si="30"/>
        <v>4959</v>
      </c>
      <c r="M297" s="173">
        <f t="shared" si="26"/>
        <v>4.9589999999999996E-4</v>
      </c>
      <c r="N297" s="149">
        <v>3.5591836734693878</v>
      </c>
      <c r="O297" s="152">
        <f t="shared" si="31"/>
        <v>17649.991836734695</v>
      </c>
      <c r="P297" s="149">
        <v>232.47</v>
      </c>
      <c r="Q297" s="152">
        <f t="shared" si="25"/>
        <v>1152818.73</v>
      </c>
      <c r="R297" s="133">
        <f t="shared" si="27"/>
        <v>0.11528187299999999</v>
      </c>
      <c r="S297" s="23" t="s">
        <v>1494</v>
      </c>
      <c r="T297" s="24" t="s">
        <v>1478</v>
      </c>
      <c r="AA297"/>
    </row>
    <row r="298" spans="1:27" ht="12.75" x14ac:dyDescent="0.2">
      <c r="A298" s="24" t="s">
        <v>1502</v>
      </c>
      <c r="B298" s="174">
        <v>44652</v>
      </c>
      <c r="C298" s="23" t="s">
        <v>386</v>
      </c>
      <c r="D298" s="106">
        <v>5000443</v>
      </c>
      <c r="E298" s="24" t="s">
        <v>320</v>
      </c>
      <c r="F298" s="23" t="s">
        <v>424</v>
      </c>
      <c r="G298" s="100" t="s">
        <v>1504</v>
      </c>
      <c r="H298" s="24" t="s">
        <v>861</v>
      </c>
      <c r="I298" s="23">
        <v>1</v>
      </c>
      <c r="J298" s="24" t="s">
        <v>34</v>
      </c>
      <c r="K298" s="103">
        <v>5324</v>
      </c>
      <c r="L298" s="35">
        <f t="shared" si="30"/>
        <v>5324</v>
      </c>
      <c r="M298" s="173">
        <f t="shared" si="26"/>
        <v>5.3240000000000004E-4</v>
      </c>
      <c r="N298" s="149">
        <v>0.93284009268924306</v>
      </c>
      <c r="O298" s="152">
        <f t="shared" si="31"/>
        <v>4966.4406534775298</v>
      </c>
      <c r="P298" s="149">
        <v>122.925</v>
      </c>
      <c r="Q298" s="152">
        <f t="shared" si="25"/>
        <v>654452.69999999995</v>
      </c>
      <c r="R298" s="133">
        <f t="shared" si="27"/>
        <v>6.544527E-2</v>
      </c>
      <c r="S298" s="23" t="s">
        <v>1494</v>
      </c>
      <c r="T298" s="24" t="s">
        <v>1478</v>
      </c>
      <c r="AA298"/>
    </row>
    <row r="299" spans="1:27" ht="12.75" x14ac:dyDescent="0.2">
      <c r="A299" s="24" t="s">
        <v>1502</v>
      </c>
      <c r="B299" s="174">
        <v>44652</v>
      </c>
      <c r="C299" s="23" t="s">
        <v>386</v>
      </c>
      <c r="D299" s="106">
        <v>5001460</v>
      </c>
      <c r="E299" s="24" t="s">
        <v>751</v>
      </c>
      <c r="F299" s="23" t="s">
        <v>424</v>
      </c>
      <c r="G299" s="100" t="s">
        <v>1504</v>
      </c>
      <c r="H299" s="24" t="s">
        <v>862</v>
      </c>
      <c r="I299" s="23">
        <v>1</v>
      </c>
      <c r="J299" s="24" t="s">
        <v>34</v>
      </c>
      <c r="K299" s="103">
        <v>13735</v>
      </c>
      <c r="L299" s="35">
        <f t="shared" si="30"/>
        <v>13735</v>
      </c>
      <c r="M299" s="173">
        <f t="shared" si="26"/>
        <v>1.3734999999999999E-3</v>
      </c>
      <c r="N299" s="149">
        <v>0.93284009268924306</v>
      </c>
      <c r="O299" s="152">
        <f t="shared" si="31"/>
        <v>12812.558673086753</v>
      </c>
      <c r="P299" s="149">
        <v>190.72</v>
      </c>
      <c r="Q299" s="152">
        <f t="shared" si="25"/>
        <v>2619539.2000000002</v>
      </c>
      <c r="R299" s="133">
        <f t="shared" si="27"/>
        <v>0.26195392000000001</v>
      </c>
      <c r="S299" s="23" t="s">
        <v>1494</v>
      </c>
      <c r="T299" s="24" t="s">
        <v>1478</v>
      </c>
      <c r="AA299"/>
    </row>
    <row r="300" spans="1:27" ht="12.75" x14ac:dyDescent="0.2">
      <c r="A300" s="24" t="s">
        <v>1502</v>
      </c>
      <c r="B300" s="174">
        <v>44652</v>
      </c>
      <c r="C300" s="23" t="s">
        <v>386</v>
      </c>
      <c r="D300" s="106">
        <v>5500290</v>
      </c>
      <c r="E300" s="24" t="s">
        <v>81</v>
      </c>
      <c r="F300" s="23" t="s">
        <v>425</v>
      </c>
      <c r="G300" s="100" t="s">
        <v>1504</v>
      </c>
      <c r="H300" s="24" t="s">
        <v>873</v>
      </c>
      <c r="I300" s="23">
        <v>1</v>
      </c>
      <c r="J300" s="24" t="s">
        <v>34</v>
      </c>
      <c r="K300" s="103">
        <v>9805</v>
      </c>
      <c r="L300" s="35">
        <f t="shared" si="30"/>
        <v>9805</v>
      </c>
      <c r="M300" s="173">
        <f t="shared" si="26"/>
        <v>9.8050000000000003E-4</v>
      </c>
      <c r="N300" s="149">
        <v>1.2737411701333201</v>
      </c>
      <c r="O300" s="152">
        <f t="shared" si="31"/>
        <v>12489.032173157204</v>
      </c>
      <c r="P300" s="149">
        <v>114.43018302828609</v>
      </c>
      <c r="Q300" s="152">
        <f t="shared" si="25"/>
        <v>1121987.9445923453</v>
      </c>
      <c r="R300" s="133">
        <f t="shared" si="27"/>
        <v>0.11219879445923453</v>
      </c>
      <c r="S300" s="23" t="s">
        <v>1494</v>
      </c>
      <c r="T300" s="24" t="s">
        <v>1478</v>
      </c>
      <c r="AA300"/>
    </row>
    <row r="301" spans="1:27" ht="12.75" x14ac:dyDescent="0.2">
      <c r="A301" s="24" t="s">
        <v>1502</v>
      </c>
      <c r="B301" s="174">
        <v>44652</v>
      </c>
      <c r="C301" s="23" t="s">
        <v>386</v>
      </c>
      <c r="D301" s="106">
        <v>5006100</v>
      </c>
      <c r="E301" s="24" t="s">
        <v>752</v>
      </c>
      <c r="F301" s="23" t="s">
        <v>424</v>
      </c>
      <c r="G301" s="100" t="s">
        <v>1504</v>
      </c>
      <c r="H301" s="24" t="s">
        <v>883</v>
      </c>
      <c r="I301" s="23">
        <v>1</v>
      </c>
      <c r="J301" s="24" t="s">
        <v>34</v>
      </c>
      <c r="K301" s="103">
        <v>14257</v>
      </c>
      <c r="L301" s="35">
        <f t="shared" si="30"/>
        <v>14257</v>
      </c>
      <c r="M301" s="173">
        <f t="shared" si="26"/>
        <v>1.4257E-3</v>
      </c>
      <c r="N301" s="149">
        <v>0.93284009268924306</v>
      </c>
      <c r="O301" s="152">
        <f t="shared" si="31"/>
        <v>13299.501201470539</v>
      </c>
      <c r="P301" s="149">
        <v>160.17499999999998</v>
      </c>
      <c r="Q301" s="152">
        <f t="shared" si="25"/>
        <v>2283614.9749999996</v>
      </c>
      <c r="R301" s="133">
        <f t="shared" si="27"/>
        <v>0.22836149749999995</v>
      </c>
      <c r="S301" s="23" t="s">
        <v>1494</v>
      </c>
      <c r="T301" s="24" t="s">
        <v>1478</v>
      </c>
      <c r="AA301"/>
    </row>
    <row r="302" spans="1:27" ht="12.75" x14ac:dyDescent="0.2">
      <c r="A302" s="24" t="s">
        <v>1502</v>
      </c>
      <c r="B302" s="174">
        <v>44652</v>
      </c>
      <c r="C302" s="23" t="s">
        <v>386</v>
      </c>
      <c r="D302" s="106">
        <v>5500274</v>
      </c>
      <c r="E302" s="24" t="s">
        <v>80</v>
      </c>
      <c r="F302" s="23" t="s">
        <v>425</v>
      </c>
      <c r="G302" s="100" t="s">
        <v>1504</v>
      </c>
      <c r="H302" s="24" t="s">
        <v>886</v>
      </c>
      <c r="I302" s="23">
        <v>1</v>
      </c>
      <c r="J302" s="24" t="s">
        <v>34</v>
      </c>
      <c r="K302" s="103">
        <v>8198</v>
      </c>
      <c r="L302" s="35">
        <f t="shared" si="30"/>
        <v>8198</v>
      </c>
      <c r="M302" s="173">
        <f t="shared" si="26"/>
        <v>8.1979999999999998E-4</v>
      </c>
      <c r="N302" s="149">
        <v>2.3229925443482733</v>
      </c>
      <c r="O302" s="152">
        <f t="shared" si="31"/>
        <v>19043.892878567145</v>
      </c>
      <c r="P302" s="149">
        <v>199.53106060606063</v>
      </c>
      <c r="Q302" s="152">
        <f t="shared" si="25"/>
        <v>1635755.634848485</v>
      </c>
      <c r="R302" s="133">
        <f t="shared" si="27"/>
        <v>0.1635755634848485</v>
      </c>
      <c r="S302" s="23" t="s">
        <v>1494</v>
      </c>
      <c r="T302" s="24" t="s">
        <v>1478</v>
      </c>
      <c r="AA302"/>
    </row>
    <row r="303" spans="1:27" ht="12.75" x14ac:dyDescent="0.2">
      <c r="A303" s="24" t="s">
        <v>1502</v>
      </c>
      <c r="B303" s="174">
        <v>44652</v>
      </c>
      <c r="C303" s="23" t="s">
        <v>386</v>
      </c>
      <c r="D303" s="106">
        <v>5500942</v>
      </c>
      <c r="E303" s="24" t="s">
        <v>377</v>
      </c>
      <c r="F303" s="23" t="s">
        <v>425</v>
      </c>
      <c r="G303" s="100" t="s">
        <v>1504</v>
      </c>
      <c r="H303" s="24" t="s">
        <v>890</v>
      </c>
      <c r="I303" s="23">
        <v>1</v>
      </c>
      <c r="J303" s="24" t="s">
        <v>34</v>
      </c>
      <c r="K303" s="103">
        <v>4312</v>
      </c>
      <c r="L303" s="35">
        <f t="shared" si="30"/>
        <v>4312</v>
      </c>
      <c r="M303" s="173">
        <f t="shared" si="26"/>
        <v>4.3120000000000002E-4</v>
      </c>
      <c r="N303" s="149">
        <v>2.3229925443482733</v>
      </c>
      <c r="O303" s="152">
        <f t="shared" si="31"/>
        <v>10016.743851229754</v>
      </c>
      <c r="P303" s="149">
        <v>136.6797965116279</v>
      </c>
      <c r="Q303" s="152">
        <f t="shared" si="25"/>
        <v>589363.28255813953</v>
      </c>
      <c r="R303" s="133">
        <f t="shared" si="27"/>
        <v>5.8936328255813956E-2</v>
      </c>
      <c r="S303" s="23" t="s">
        <v>1494</v>
      </c>
      <c r="T303" s="24" t="s">
        <v>1478</v>
      </c>
      <c r="AA303"/>
    </row>
    <row r="304" spans="1:27" ht="12.75" x14ac:dyDescent="0.2">
      <c r="A304" s="24" t="s">
        <v>1502</v>
      </c>
      <c r="B304" s="174">
        <v>44652</v>
      </c>
      <c r="C304" s="23" t="s">
        <v>386</v>
      </c>
      <c r="D304" s="106">
        <v>5005085</v>
      </c>
      <c r="E304" s="24" t="s">
        <v>231</v>
      </c>
      <c r="F304" s="23" t="s">
        <v>424</v>
      </c>
      <c r="G304" s="100" t="s">
        <v>1504</v>
      </c>
      <c r="H304" s="24" t="s">
        <v>891</v>
      </c>
      <c r="I304" s="23">
        <v>1</v>
      </c>
      <c r="J304" s="24" t="s">
        <v>34</v>
      </c>
      <c r="K304" s="103">
        <v>5234</v>
      </c>
      <c r="L304" s="35">
        <f t="shared" si="30"/>
        <v>5234</v>
      </c>
      <c r="M304" s="173">
        <f t="shared" si="26"/>
        <v>5.2340000000000004E-4</v>
      </c>
      <c r="N304" s="149">
        <v>0.94245700086129713</v>
      </c>
      <c r="O304" s="152">
        <f t="shared" si="31"/>
        <v>4932.8199425080293</v>
      </c>
      <c r="P304" s="149">
        <v>108.062</v>
      </c>
      <c r="Q304" s="152">
        <f t="shared" si="25"/>
        <v>565596.50800000003</v>
      </c>
      <c r="R304" s="133">
        <f t="shared" si="27"/>
        <v>5.65596508E-2</v>
      </c>
      <c r="S304" s="23" t="s">
        <v>1494</v>
      </c>
      <c r="T304" s="24" t="s">
        <v>1478</v>
      </c>
      <c r="AA304"/>
    </row>
    <row r="305" spans="1:27" ht="12.75" x14ac:dyDescent="0.2">
      <c r="A305" s="24" t="s">
        <v>1502</v>
      </c>
      <c r="B305" s="174">
        <v>44652</v>
      </c>
      <c r="C305" s="23" t="s">
        <v>386</v>
      </c>
      <c r="D305" s="106">
        <v>5500940</v>
      </c>
      <c r="E305" s="24" t="s">
        <v>82</v>
      </c>
      <c r="F305" s="23" t="s">
        <v>425</v>
      </c>
      <c r="G305" s="100" t="s">
        <v>1504</v>
      </c>
      <c r="H305" s="24" t="s">
        <v>899</v>
      </c>
      <c r="I305" s="23">
        <v>1</v>
      </c>
      <c r="J305" s="24" t="s">
        <v>34</v>
      </c>
      <c r="K305" s="103">
        <v>2394</v>
      </c>
      <c r="L305" s="35">
        <f t="shared" si="30"/>
        <v>2394</v>
      </c>
      <c r="M305" s="173">
        <f t="shared" si="26"/>
        <v>2.3939999999999999E-4</v>
      </c>
      <c r="N305" s="149">
        <v>3.5591836734693878</v>
      </c>
      <c r="O305" s="152">
        <f t="shared" si="31"/>
        <v>8520.6857142857152</v>
      </c>
      <c r="P305" s="149">
        <v>191.58851851851853</v>
      </c>
      <c r="Q305" s="152">
        <f t="shared" si="25"/>
        <v>458662.91333333333</v>
      </c>
      <c r="R305" s="133">
        <f t="shared" si="27"/>
        <v>4.586629133333333E-2</v>
      </c>
      <c r="S305" s="23" t="s">
        <v>1494</v>
      </c>
      <c r="T305" s="24" t="s">
        <v>1478</v>
      </c>
      <c r="AA305"/>
    </row>
    <row r="306" spans="1:27" ht="12.75" x14ac:dyDescent="0.2">
      <c r="A306" s="24" t="s">
        <v>1502</v>
      </c>
      <c r="B306" s="174">
        <v>44652</v>
      </c>
      <c r="C306" s="23" t="s">
        <v>386</v>
      </c>
      <c r="D306" s="106">
        <v>5500940</v>
      </c>
      <c r="E306" s="24" t="s">
        <v>82</v>
      </c>
      <c r="F306" s="23" t="s">
        <v>425</v>
      </c>
      <c r="G306" s="100" t="s">
        <v>1504</v>
      </c>
      <c r="H306" s="24" t="s">
        <v>900</v>
      </c>
      <c r="I306" s="23">
        <v>1</v>
      </c>
      <c r="J306" s="24" t="s">
        <v>34</v>
      </c>
      <c r="K306" s="103">
        <v>4971</v>
      </c>
      <c r="L306" s="35">
        <f t="shared" si="30"/>
        <v>4971</v>
      </c>
      <c r="M306" s="173">
        <f t="shared" si="26"/>
        <v>4.9709999999999999E-4</v>
      </c>
      <c r="N306" s="149">
        <v>3.5591836734693878</v>
      </c>
      <c r="O306" s="152">
        <f t="shared" si="31"/>
        <v>17692.702040816326</v>
      </c>
      <c r="P306" s="149">
        <v>191.58851851851853</v>
      </c>
      <c r="Q306" s="152">
        <f t="shared" si="25"/>
        <v>952386.52555555559</v>
      </c>
      <c r="R306" s="133">
        <f t="shared" si="27"/>
        <v>9.5238652555555553E-2</v>
      </c>
      <c r="S306" s="23" t="s">
        <v>1494</v>
      </c>
      <c r="T306" s="24" t="s">
        <v>1478</v>
      </c>
      <c r="AA306"/>
    </row>
    <row r="307" spans="1:27" ht="12.75" x14ac:dyDescent="0.2">
      <c r="A307" s="24" t="s">
        <v>1502</v>
      </c>
      <c r="B307" s="174">
        <v>44652</v>
      </c>
      <c r="C307" s="23" t="s">
        <v>386</v>
      </c>
      <c r="D307" s="106">
        <v>5500940</v>
      </c>
      <c r="E307" s="24" t="s">
        <v>82</v>
      </c>
      <c r="F307" s="23" t="s">
        <v>425</v>
      </c>
      <c r="G307" s="100" t="s">
        <v>1504</v>
      </c>
      <c r="H307" s="24" t="s">
        <v>901</v>
      </c>
      <c r="I307" s="23">
        <v>1</v>
      </c>
      <c r="J307" s="24" t="s">
        <v>34</v>
      </c>
      <c r="K307" s="103">
        <v>4972</v>
      </c>
      <c r="L307" s="35">
        <f t="shared" si="30"/>
        <v>4972</v>
      </c>
      <c r="M307" s="173">
        <f t="shared" si="26"/>
        <v>4.9720000000000005E-4</v>
      </c>
      <c r="N307" s="149">
        <v>3.5591836734693878</v>
      </c>
      <c r="O307" s="152">
        <f t="shared" si="31"/>
        <v>17696.261224489797</v>
      </c>
      <c r="P307" s="149">
        <v>191.58851851851853</v>
      </c>
      <c r="Q307" s="152">
        <f t="shared" si="25"/>
        <v>952578.11407407408</v>
      </c>
      <c r="R307" s="133">
        <f t="shared" si="27"/>
        <v>9.5257811407407411E-2</v>
      </c>
      <c r="S307" s="23" t="s">
        <v>1494</v>
      </c>
      <c r="T307" s="24" t="s">
        <v>1478</v>
      </c>
      <c r="AA307"/>
    </row>
    <row r="308" spans="1:27" ht="12.75" x14ac:dyDescent="0.2">
      <c r="A308" s="24" t="s">
        <v>1502</v>
      </c>
      <c r="B308" s="174">
        <v>44652</v>
      </c>
      <c r="C308" s="23" t="s">
        <v>386</v>
      </c>
      <c r="D308" s="106">
        <v>5001161</v>
      </c>
      <c r="E308" s="24" t="s">
        <v>379</v>
      </c>
      <c r="F308" s="23" t="s">
        <v>424</v>
      </c>
      <c r="G308" s="100" t="s">
        <v>1504</v>
      </c>
      <c r="H308" s="24" t="s">
        <v>902</v>
      </c>
      <c r="I308" s="23">
        <v>1</v>
      </c>
      <c r="J308" s="24" t="s">
        <v>34</v>
      </c>
      <c r="K308" s="103">
        <v>19088</v>
      </c>
      <c r="L308" s="35">
        <f t="shared" si="30"/>
        <v>19088</v>
      </c>
      <c r="M308" s="173">
        <f t="shared" si="26"/>
        <v>1.9088E-3</v>
      </c>
      <c r="N308" s="149">
        <v>0.81918367346938781</v>
      </c>
      <c r="O308" s="152">
        <f t="shared" si="31"/>
        <v>15636.577959183674</v>
      </c>
      <c r="P308" s="149">
        <v>189.97499999999999</v>
      </c>
      <c r="Q308" s="152">
        <f t="shared" si="25"/>
        <v>3626242.8</v>
      </c>
      <c r="R308" s="133">
        <f t="shared" si="27"/>
        <v>0.36262427999999997</v>
      </c>
      <c r="S308" s="23" t="s">
        <v>1494</v>
      </c>
      <c r="T308" s="24" t="s">
        <v>1478</v>
      </c>
      <c r="AA308"/>
    </row>
    <row r="309" spans="1:27" ht="12.75" x14ac:dyDescent="0.2">
      <c r="A309" s="24" t="s">
        <v>1502</v>
      </c>
      <c r="B309" s="174">
        <v>44652</v>
      </c>
      <c r="C309" s="23" t="s">
        <v>386</v>
      </c>
      <c r="D309" s="106">
        <v>5500940</v>
      </c>
      <c r="E309" s="24" t="s">
        <v>82</v>
      </c>
      <c r="F309" s="23" t="s">
        <v>425</v>
      </c>
      <c r="G309" s="100" t="s">
        <v>1504</v>
      </c>
      <c r="H309" s="24" t="s">
        <v>910</v>
      </c>
      <c r="I309" s="23">
        <v>1</v>
      </c>
      <c r="J309" s="24" t="s">
        <v>34</v>
      </c>
      <c r="K309" s="103">
        <v>4963</v>
      </c>
      <c r="L309" s="35">
        <f t="shared" si="30"/>
        <v>4963</v>
      </c>
      <c r="M309" s="173">
        <f t="shared" si="26"/>
        <v>4.9629999999999997E-4</v>
      </c>
      <c r="N309" s="149">
        <v>3.5591836734693878</v>
      </c>
      <c r="O309" s="152">
        <f t="shared" si="31"/>
        <v>17664.228571428572</v>
      </c>
      <c r="P309" s="149">
        <v>191.58851851851853</v>
      </c>
      <c r="Q309" s="152">
        <f t="shared" si="25"/>
        <v>950853.81740740745</v>
      </c>
      <c r="R309" s="133">
        <f t="shared" si="27"/>
        <v>9.5085381740740743E-2</v>
      </c>
      <c r="S309" s="23" t="s">
        <v>1494</v>
      </c>
      <c r="T309" s="24" t="s">
        <v>1478</v>
      </c>
      <c r="AA309"/>
    </row>
    <row r="310" spans="1:27" ht="12.75" x14ac:dyDescent="0.2">
      <c r="A310" s="24" t="s">
        <v>1502</v>
      </c>
      <c r="B310" s="174">
        <v>44652</v>
      </c>
      <c r="C310" s="23" t="s">
        <v>386</v>
      </c>
      <c r="D310" s="106">
        <v>5500940</v>
      </c>
      <c r="E310" s="24" t="s">
        <v>82</v>
      </c>
      <c r="F310" s="23" t="s">
        <v>425</v>
      </c>
      <c r="G310" s="100" t="s">
        <v>1504</v>
      </c>
      <c r="H310" s="24" t="s">
        <v>911</v>
      </c>
      <c r="I310" s="23">
        <v>1</v>
      </c>
      <c r="J310" s="24" t="s">
        <v>34</v>
      </c>
      <c r="K310" s="103">
        <v>4944</v>
      </c>
      <c r="L310" s="35">
        <f t="shared" si="30"/>
        <v>4944</v>
      </c>
      <c r="M310" s="173">
        <f t="shared" si="26"/>
        <v>4.9439999999999998E-4</v>
      </c>
      <c r="N310" s="149">
        <v>3.5591836734693878</v>
      </c>
      <c r="O310" s="152">
        <f t="shared" si="31"/>
        <v>17596.604081632653</v>
      </c>
      <c r="P310" s="149">
        <v>191.58851851851853</v>
      </c>
      <c r="Q310" s="152">
        <f t="shared" si="25"/>
        <v>947213.63555555558</v>
      </c>
      <c r="R310" s="133">
        <f t="shared" si="27"/>
        <v>9.4721363555555563E-2</v>
      </c>
      <c r="S310" s="23" t="s">
        <v>1494</v>
      </c>
      <c r="T310" s="24" t="s">
        <v>1478</v>
      </c>
      <c r="AA310"/>
    </row>
    <row r="311" spans="1:27" ht="12.75" x14ac:dyDescent="0.2">
      <c r="A311" s="24" t="s">
        <v>1502</v>
      </c>
      <c r="B311" s="174">
        <v>44652</v>
      </c>
      <c r="C311" s="23" t="s">
        <v>386</v>
      </c>
      <c r="D311" s="106">
        <v>5500940</v>
      </c>
      <c r="E311" s="24" t="s">
        <v>82</v>
      </c>
      <c r="F311" s="23" t="s">
        <v>425</v>
      </c>
      <c r="G311" s="100" t="s">
        <v>1504</v>
      </c>
      <c r="H311" s="24" t="s">
        <v>912</v>
      </c>
      <c r="I311" s="23">
        <v>1</v>
      </c>
      <c r="J311" s="24" t="s">
        <v>34</v>
      </c>
      <c r="K311" s="103">
        <v>4958</v>
      </c>
      <c r="L311" s="35">
        <f t="shared" si="30"/>
        <v>4958</v>
      </c>
      <c r="M311" s="173">
        <f t="shared" si="26"/>
        <v>4.9580000000000002E-4</v>
      </c>
      <c r="N311" s="149">
        <v>3.5591836734693878</v>
      </c>
      <c r="O311" s="152">
        <f t="shared" si="31"/>
        <v>17646.432653061223</v>
      </c>
      <c r="P311" s="149">
        <v>191.58851851851853</v>
      </c>
      <c r="Q311" s="152">
        <f t="shared" si="25"/>
        <v>949895.87481481489</v>
      </c>
      <c r="R311" s="133">
        <f t="shared" si="27"/>
        <v>9.4989587481481494E-2</v>
      </c>
      <c r="S311" s="23" t="s">
        <v>1494</v>
      </c>
      <c r="T311" s="24" t="s">
        <v>1478</v>
      </c>
      <c r="AA311"/>
    </row>
    <row r="312" spans="1:27" ht="12.75" x14ac:dyDescent="0.2">
      <c r="A312" s="24" t="s">
        <v>1502</v>
      </c>
      <c r="B312" s="174">
        <v>44652</v>
      </c>
      <c r="C312" s="23" t="s">
        <v>386</v>
      </c>
      <c r="D312" s="106">
        <v>5500480</v>
      </c>
      <c r="E312" s="24" t="s">
        <v>92</v>
      </c>
      <c r="F312" s="23" t="s">
        <v>425</v>
      </c>
      <c r="G312" s="100" t="s">
        <v>1504</v>
      </c>
      <c r="H312" s="24" t="s">
        <v>915</v>
      </c>
      <c r="I312" s="23">
        <v>1</v>
      </c>
      <c r="J312" s="24" t="s">
        <v>34</v>
      </c>
      <c r="K312" s="103">
        <v>14556</v>
      </c>
      <c r="L312" s="35">
        <f t="shared" si="30"/>
        <v>14556</v>
      </c>
      <c r="M312" s="173">
        <f t="shared" si="26"/>
        <v>1.4556E-3</v>
      </c>
      <c r="N312" s="149">
        <v>1.0465306122448979</v>
      </c>
      <c r="O312" s="152">
        <f t="shared" si="31"/>
        <v>15233.299591836732</v>
      </c>
      <c r="P312" s="149">
        <v>230.03225000000003</v>
      </c>
      <c r="Q312" s="152">
        <f t="shared" si="25"/>
        <v>3348349.4310000003</v>
      </c>
      <c r="R312" s="133">
        <f t="shared" si="27"/>
        <v>0.33483494310000006</v>
      </c>
      <c r="S312" s="23" t="s">
        <v>1494</v>
      </c>
      <c r="T312" s="24" t="s">
        <v>1478</v>
      </c>
      <c r="AA312"/>
    </row>
    <row r="313" spans="1:27" ht="12.75" x14ac:dyDescent="0.2">
      <c r="A313" s="24" t="s">
        <v>1502</v>
      </c>
      <c r="B313" s="174">
        <v>44652</v>
      </c>
      <c r="C313" s="23" t="s">
        <v>386</v>
      </c>
      <c r="D313" s="106">
        <v>5000337</v>
      </c>
      <c r="E313" s="24" t="s">
        <v>316</v>
      </c>
      <c r="F313" s="23" t="s">
        <v>424</v>
      </c>
      <c r="G313" s="100" t="s">
        <v>1504</v>
      </c>
      <c r="H313" s="24" t="s">
        <v>934</v>
      </c>
      <c r="I313" s="23">
        <v>1</v>
      </c>
      <c r="J313" s="24" t="s">
        <v>34</v>
      </c>
      <c r="K313" s="103">
        <v>65555</v>
      </c>
      <c r="L313" s="35">
        <f t="shared" si="30"/>
        <v>65555</v>
      </c>
      <c r="M313" s="173">
        <f t="shared" si="26"/>
        <v>6.5554999999999997E-3</v>
      </c>
      <c r="N313" s="149">
        <v>0.93284009268924306</v>
      </c>
      <c r="O313" s="152">
        <f t="shared" si="31"/>
        <v>61152.332276243331</v>
      </c>
      <c r="P313" s="149">
        <v>118.32209997439836</v>
      </c>
      <c r="Q313" s="152">
        <f t="shared" si="25"/>
        <v>7756605.2638216838</v>
      </c>
      <c r="R313" s="133">
        <f t="shared" si="27"/>
        <v>0.77566052638216842</v>
      </c>
      <c r="S313" s="23" t="s">
        <v>1494</v>
      </c>
      <c r="T313" s="24" t="s">
        <v>1478</v>
      </c>
      <c r="AA313"/>
    </row>
    <row r="314" spans="1:27" ht="12.75" x14ac:dyDescent="0.2">
      <c r="A314" s="24" t="s">
        <v>1502</v>
      </c>
      <c r="B314" s="174">
        <v>44652</v>
      </c>
      <c r="C314" s="23" t="s">
        <v>386</v>
      </c>
      <c r="D314" s="106">
        <v>5500943</v>
      </c>
      <c r="E314" s="24" t="s">
        <v>738</v>
      </c>
      <c r="F314" s="23" t="s">
        <v>425</v>
      </c>
      <c r="G314" s="100" t="s">
        <v>1504</v>
      </c>
      <c r="H314" s="24" t="s">
        <v>942</v>
      </c>
      <c r="I314" s="23">
        <v>1</v>
      </c>
      <c r="J314" s="24" t="s">
        <v>34</v>
      </c>
      <c r="K314" s="103">
        <v>3311</v>
      </c>
      <c r="L314" s="35">
        <f t="shared" si="30"/>
        <v>3311</v>
      </c>
      <c r="M314" s="173">
        <f t="shared" si="26"/>
        <v>3.3110000000000002E-4</v>
      </c>
      <c r="N314" s="149">
        <v>4.6942141174310805</v>
      </c>
      <c r="O314" s="152">
        <f t="shared" si="31"/>
        <v>15542.542942814307</v>
      </c>
      <c r="P314" s="149">
        <v>284.95</v>
      </c>
      <c r="Q314" s="152">
        <f t="shared" si="25"/>
        <v>943469.45</v>
      </c>
      <c r="R314" s="133">
        <f t="shared" si="27"/>
        <v>9.4346945000000002E-2</v>
      </c>
      <c r="S314" s="23" t="s">
        <v>1494</v>
      </c>
      <c r="T314" s="24" t="s">
        <v>1478</v>
      </c>
      <c r="AA314"/>
    </row>
    <row r="315" spans="1:27" ht="12.75" x14ac:dyDescent="0.2">
      <c r="A315" s="24" t="s">
        <v>1502</v>
      </c>
      <c r="B315" s="174">
        <v>44652</v>
      </c>
      <c r="C315" s="23" t="s">
        <v>386</v>
      </c>
      <c r="D315" s="106">
        <v>5002064</v>
      </c>
      <c r="E315" s="24" t="s">
        <v>230</v>
      </c>
      <c r="F315" s="23" t="s">
        <v>424</v>
      </c>
      <c r="G315" s="47" t="s">
        <v>1506</v>
      </c>
      <c r="H315" s="24" t="s">
        <v>766</v>
      </c>
      <c r="I315" s="23">
        <v>1</v>
      </c>
      <c r="J315" s="24" t="s">
        <v>7</v>
      </c>
      <c r="K315" s="103">
        <v>6828</v>
      </c>
      <c r="L315" s="35">
        <f t="shared" ref="L315:L332" si="32">K315*I315</f>
        <v>6828</v>
      </c>
      <c r="M315" s="173">
        <f t="shared" si="26"/>
        <v>6.8280000000000001E-4</v>
      </c>
      <c r="N315" s="149">
        <v>1.1814285714285715</v>
      </c>
      <c r="O315" s="152">
        <f t="shared" ref="O315:O332" si="33">+K315*N315</f>
        <v>8066.7942857142862</v>
      </c>
      <c r="P315" s="149">
        <v>115.33344999999997</v>
      </c>
      <c r="Q315" s="152">
        <f t="shared" si="25"/>
        <v>787496.79659999977</v>
      </c>
      <c r="R315" s="133">
        <f t="shared" si="27"/>
        <v>7.8749679659999974E-2</v>
      </c>
      <c r="S315" s="23" t="s">
        <v>1494</v>
      </c>
      <c r="T315" s="24" t="s">
        <v>1478</v>
      </c>
      <c r="AA315"/>
    </row>
    <row r="316" spans="1:27" ht="12.75" x14ac:dyDescent="0.2">
      <c r="A316" s="24" t="s">
        <v>1502</v>
      </c>
      <c r="B316" s="174">
        <v>44652</v>
      </c>
      <c r="C316" s="23" t="s">
        <v>386</v>
      </c>
      <c r="D316" s="106">
        <v>5002063</v>
      </c>
      <c r="E316" s="24" t="s">
        <v>229</v>
      </c>
      <c r="F316" s="23" t="s">
        <v>424</v>
      </c>
      <c r="G316" s="47" t="s">
        <v>1506</v>
      </c>
      <c r="H316" s="24" t="s">
        <v>781</v>
      </c>
      <c r="I316" s="23">
        <v>1</v>
      </c>
      <c r="J316" s="24" t="s">
        <v>7</v>
      </c>
      <c r="K316" s="103">
        <v>6815</v>
      </c>
      <c r="L316" s="35">
        <f t="shared" si="32"/>
        <v>6815</v>
      </c>
      <c r="M316" s="173">
        <f t="shared" si="26"/>
        <v>6.8150000000000003E-4</v>
      </c>
      <c r="N316" s="149">
        <v>1.1814285714285715</v>
      </c>
      <c r="O316" s="152">
        <f t="shared" si="33"/>
        <v>8051.4357142857143</v>
      </c>
      <c r="P316" s="149">
        <v>76.608349999999987</v>
      </c>
      <c r="Q316" s="152">
        <f t="shared" si="25"/>
        <v>522085.90524999989</v>
      </c>
      <c r="R316" s="133">
        <f t="shared" si="27"/>
        <v>5.2208590524999987E-2</v>
      </c>
      <c r="S316" s="23" t="s">
        <v>1494</v>
      </c>
      <c r="T316" s="24" t="s">
        <v>1478</v>
      </c>
      <c r="AA316"/>
    </row>
    <row r="317" spans="1:27" ht="12.75" x14ac:dyDescent="0.2">
      <c r="A317" s="24" t="s">
        <v>1502</v>
      </c>
      <c r="B317" s="174">
        <v>44652</v>
      </c>
      <c r="C317" s="23" t="s">
        <v>386</v>
      </c>
      <c r="D317" s="106">
        <v>5002063</v>
      </c>
      <c r="E317" s="24" t="s">
        <v>229</v>
      </c>
      <c r="F317" s="23" t="s">
        <v>424</v>
      </c>
      <c r="G317" s="47" t="s">
        <v>1506</v>
      </c>
      <c r="H317" s="24" t="s">
        <v>791</v>
      </c>
      <c r="I317" s="23">
        <v>1</v>
      </c>
      <c r="J317" s="24" t="s">
        <v>7</v>
      </c>
      <c r="K317" s="103">
        <v>6861</v>
      </c>
      <c r="L317" s="35">
        <f t="shared" si="32"/>
        <v>6861</v>
      </c>
      <c r="M317" s="173">
        <f t="shared" si="26"/>
        <v>6.8610000000000003E-4</v>
      </c>
      <c r="N317" s="149">
        <v>1.1814285714285715</v>
      </c>
      <c r="O317" s="152">
        <f t="shared" si="33"/>
        <v>8105.7814285714294</v>
      </c>
      <c r="P317" s="149">
        <v>76.608349999999987</v>
      </c>
      <c r="Q317" s="152">
        <f t="shared" si="25"/>
        <v>525609.88934999995</v>
      </c>
      <c r="R317" s="133">
        <f t="shared" si="27"/>
        <v>5.2560988934999997E-2</v>
      </c>
      <c r="S317" s="23" t="s">
        <v>1494</v>
      </c>
      <c r="T317" s="24" t="s">
        <v>1478</v>
      </c>
      <c r="AA317"/>
    </row>
    <row r="318" spans="1:27" ht="12.75" x14ac:dyDescent="0.2">
      <c r="A318" s="24" t="s">
        <v>1502</v>
      </c>
      <c r="B318" s="174">
        <v>44652</v>
      </c>
      <c r="C318" s="23" t="s">
        <v>386</v>
      </c>
      <c r="D318" s="106">
        <v>5002063</v>
      </c>
      <c r="E318" s="24" t="s">
        <v>229</v>
      </c>
      <c r="F318" s="23" t="s">
        <v>424</v>
      </c>
      <c r="G318" s="47" t="s">
        <v>1506</v>
      </c>
      <c r="H318" s="24" t="s">
        <v>799</v>
      </c>
      <c r="I318" s="23">
        <v>1</v>
      </c>
      <c r="J318" s="24" t="s">
        <v>7</v>
      </c>
      <c r="K318" s="103">
        <v>6848</v>
      </c>
      <c r="L318" s="35">
        <f t="shared" si="32"/>
        <v>6848</v>
      </c>
      <c r="M318" s="173">
        <f t="shared" si="26"/>
        <v>6.8479999999999995E-4</v>
      </c>
      <c r="N318" s="149">
        <v>1.1814285714285715</v>
      </c>
      <c r="O318" s="152">
        <f t="shared" si="33"/>
        <v>8090.4228571428575</v>
      </c>
      <c r="P318" s="149">
        <v>76.608349999999987</v>
      </c>
      <c r="Q318" s="152">
        <f t="shared" si="25"/>
        <v>524613.9807999999</v>
      </c>
      <c r="R318" s="133">
        <f t="shared" si="27"/>
        <v>5.2461398079999992E-2</v>
      </c>
      <c r="S318" s="23" t="s">
        <v>1494</v>
      </c>
      <c r="T318" s="24" t="s">
        <v>1478</v>
      </c>
      <c r="AA318"/>
    </row>
    <row r="319" spans="1:27" ht="12.75" x14ac:dyDescent="0.2">
      <c r="A319" s="24" t="s">
        <v>1502</v>
      </c>
      <c r="B319" s="174">
        <v>44652</v>
      </c>
      <c r="C319" s="23" t="s">
        <v>386</v>
      </c>
      <c r="D319" s="106">
        <v>5002063</v>
      </c>
      <c r="E319" s="24" t="s">
        <v>229</v>
      </c>
      <c r="F319" s="23" t="s">
        <v>424</v>
      </c>
      <c r="G319" s="47" t="s">
        <v>1506</v>
      </c>
      <c r="H319" s="24" t="s">
        <v>803</v>
      </c>
      <c r="I319" s="23">
        <v>1</v>
      </c>
      <c r="J319" s="24" t="s">
        <v>7</v>
      </c>
      <c r="K319" s="103">
        <v>6847</v>
      </c>
      <c r="L319" s="35">
        <f t="shared" si="32"/>
        <v>6847</v>
      </c>
      <c r="M319" s="173">
        <f t="shared" si="26"/>
        <v>6.847E-4</v>
      </c>
      <c r="N319" s="149">
        <v>1.1814285714285715</v>
      </c>
      <c r="O319" s="152">
        <f t="shared" si="33"/>
        <v>8089.2414285714294</v>
      </c>
      <c r="P319" s="149">
        <v>76.608349999999987</v>
      </c>
      <c r="Q319" s="152">
        <f t="shared" si="25"/>
        <v>524537.37244999991</v>
      </c>
      <c r="R319" s="133">
        <f t="shared" si="27"/>
        <v>5.2453737244999993E-2</v>
      </c>
      <c r="S319" s="23" t="s">
        <v>1494</v>
      </c>
      <c r="T319" s="24" t="s">
        <v>1478</v>
      </c>
      <c r="AA319"/>
    </row>
    <row r="320" spans="1:27" ht="12.75" x14ac:dyDescent="0.2">
      <c r="A320" s="24" t="s">
        <v>1502</v>
      </c>
      <c r="B320" s="174">
        <v>44652</v>
      </c>
      <c r="C320" s="23" t="s">
        <v>386</v>
      </c>
      <c r="D320" s="106">
        <v>5002063</v>
      </c>
      <c r="E320" s="24" t="s">
        <v>229</v>
      </c>
      <c r="F320" s="23" t="s">
        <v>424</v>
      </c>
      <c r="G320" s="47" t="s">
        <v>1506</v>
      </c>
      <c r="H320" s="24" t="s">
        <v>804</v>
      </c>
      <c r="I320" s="23">
        <v>1</v>
      </c>
      <c r="J320" s="24" t="s">
        <v>7</v>
      </c>
      <c r="K320" s="103">
        <v>6846</v>
      </c>
      <c r="L320" s="35">
        <f t="shared" si="32"/>
        <v>6846</v>
      </c>
      <c r="M320" s="173">
        <f t="shared" si="26"/>
        <v>6.8460000000000005E-4</v>
      </c>
      <c r="N320" s="149">
        <v>1.1814285714285715</v>
      </c>
      <c r="O320" s="152">
        <f t="shared" si="33"/>
        <v>8088.06</v>
      </c>
      <c r="P320" s="149">
        <v>76.608349999999987</v>
      </c>
      <c r="Q320" s="152">
        <f t="shared" si="25"/>
        <v>524460.76409999991</v>
      </c>
      <c r="R320" s="133">
        <f t="shared" si="27"/>
        <v>5.2446076409999993E-2</v>
      </c>
      <c r="S320" s="23" t="s">
        <v>1494</v>
      </c>
      <c r="T320" s="24" t="s">
        <v>1478</v>
      </c>
      <c r="AA320"/>
    </row>
    <row r="321" spans="1:27" ht="12.75" x14ac:dyDescent="0.2">
      <c r="A321" s="24" t="s">
        <v>1502</v>
      </c>
      <c r="B321" s="174">
        <v>44652</v>
      </c>
      <c r="C321" s="23" t="s">
        <v>386</v>
      </c>
      <c r="D321" s="106">
        <v>5002063</v>
      </c>
      <c r="E321" s="24" t="s">
        <v>229</v>
      </c>
      <c r="F321" s="23" t="s">
        <v>424</v>
      </c>
      <c r="G321" s="47" t="s">
        <v>1506</v>
      </c>
      <c r="H321" s="24" t="s">
        <v>811</v>
      </c>
      <c r="I321" s="23">
        <v>1</v>
      </c>
      <c r="J321" s="24" t="s">
        <v>7</v>
      </c>
      <c r="K321" s="103">
        <v>6851</v>
      </c>
      <c r="L321" s="35">
        <f t="shared" si="32"/>
        <v>6851</v>
      </c>
      <c r="M321" s="173">
        <f t="shared" si="26"/>
        <v>6.8510000000000001E-4</v>
      </c>
      <c r="N321" s="149">
        <v>1.1814285714285715</v>
      </c>
      <c r="O321" s="152">
        <f t="shared" si="33"/>
        <v>8093.9671428571437</v>
      </c>
      <c r="P321" s="149">
        <v>76.608349999999987</v>
      </c>
      <c r="Q321" s="152">
        <f t="shared" si="25"/>
        <v>524843.80584999989</v>
      </c>
      <c r="R321" s="133">
        <f t="shared" si="27"/>
        <v>5.248438058499999E-2</v>
      </c>
      <c r="S321" s="23" t="s">
        <v>1494</v>
      </c>
      <c r="T321" s="24" t="s">
        <v>1478</v>
      </c>
      <c r="AA321"/>
    </row>
    <row r="322" spans="1:27" ht="12.75" x14ac:dyDescent="0.2">
      <c r="A322" s="24" t="s">
        <v>1502</v>
      </c>
      <c r="B322" s="174">
        <v>44652</v>
      </c>
      <c r="C322" s="23" t="s">
        <v>386</v>
      </c>
      <c r="D322" s="106">
        <v>5002063</v>
      </c>
      <c r="E322" s="24" t="s">
        <v>229</v>
      </c>
      <c r="F322" s="23" t="s">
        <v>424</v>
      </c>
      <c r="G322" s="47" t="s">
        <v>1506</v>
      </c>
      <c r="H322" s="24" t="s">
        <v>816</v>
      </c>
      <c r="I322" s="23">
        <v>1</v>
      </c>
      <c r="J322" s="24" t="s">
        <v>7</v>
      </c>
      <c r="K322" s="103">
        <v>6837</v>
      </c>
      <c r="L322" s="35">
        <f t="shared" si="32"/>
        <v>6837</v>
      </c>
      <c r="M322" s="173">
        <f t="shared" si="26"/>
        <v>6.8369999999999998E-4</v>
      </c>
      <c r="N322" s="149">
        <v>1.1814285714285715</v>
      </c>
      <c r="O322" s="152">
        <f t="shared" si="33"/>
        <v>8077.4271428571437</v>
      </c>
      <c r="P322" s="149">
        <v>76.608349999999987</v>
      </c>
      <c r="Q322" s="152">
        <f t="shared" ref="Q322:Q385" si="34">+K322*P322</f>
        <v>523771.2889499999</v>
      </c>
      <c r="R322" s="133">
        <f t="shared" si="27"/>
        <v>5.2377128894999993E-2</v>
      </c>
      <c r="S322" s="23" t="s">
        <v>1494</v>
      </c>
      <c r="T322" s="24" t="s">
        <v>1478</v>
      </c>
      <c r="AA322"/>
    </row>
    <row r="323" spans="1:27" ht="12.75" x14ac:dyDescent="0.2">
      <c r="A323" s="24" t="s">
        <v>1502</v>
      </c>
      <c r="B323" s="174">
        <v>44652</v>
      </c>
      <c r="C323" s="23" t="s">
        <v>386</v>
      </c>
      <c r="D323" s="106">
        <v>5002063</v>
      </c>
      <c r="E323" s="24" t="s">
        <v>229</v>
      </c>
      <c r="F323" s="23" t="s">
        <v>424</v>
      </c>
      <c r="G323" s="47" t="s">
        <v>1506</v>
      </c>
      <c r="H323" s="24" t="s">
        <v>825</v>
      </c>
      <c r="I323" s="23">
        <v>1</v>
      </c>
      <c r="J323" s="24" t="s">
        <v>7</v>
      </c>
      <c r="K323" s="103">
        <v>6819</v>
      </c>
      <c r="L323" s="35">
        <f t="shared" si="32"/>
        <v>6819</v>
      </c>
      <c r="M323" s="173">
        <f t="shared" ref="M323:M386" si="35">L323/10^7</f>
        <v>6.8190000000000004E-4</v>
      </c>
      <c r="N323" s="149">
        <v>1.1814285714285715</v>
      </c>
      <c r="O323" s="152">
        <f t="shared" si="33"/>
        <v>8056.1614285714286</v>
      </c>
      <c r="P323" s="149">
        <v>76.608349999999987</v>
      </c>
      <c r="Q323" s="152">
        <f t="shared" si="34"/>
        <v>522392.33864999993</v>
      </c>
      <c r="R323" s="133">
        <f t="shared" ref="R323:R386" si="36">Q323/10^7</f>
        <v>5.2239233864999991E-2</v>
      </c>
      <c r="S323" s="23" t="s">
        <v>1494</v>
      </c>
      <c r="T323" s="24" t="s">
        <v>1478</v>
      </c>
      <c r="AA323"/>
    </row>
    <row r="324" spans="1:27" ht="12.75" x14ac:dyDescent="0.2">
      <c r="A324" s="24" t="s">
        <v>1502</v>
      </c>
      <c r="B324" s="174">
        <v>44652</v>
      </c>
      <c r="C324" s="23" t="s">
        <v>386</v>
      </c>
      <c r="D324" s="106">
        <v>5002063</v>
      </c>
      <c r="E324" s="24" t="s">
        <v>229</v>
      </c>
      <c r="F324" s="23" t="s">
        <v>424</v>
      </c>
      <c r="G324" s="47" t="s">
        <v>1506</v>
      </c>
      <c r="H324" s="24" t="s">
        <v>830</v>
      </c>
      <c r="I324" s="23">
        <v>1</v>
      </c>
      <c r="J324" s="24" t="s">
        <v>7</v>
      </c>
      <c r="K324" s="103">
        <v>6837</v>
      </c>
      <c r="L324" s="35">
        <f t="shared" si="32"/>
        <v>6837</v>
      </c>
      <c r="M324" s="173">
        <f t="shared" si="35"/>
        <v>6.8369999999999998E-4</v>
      </c>
      <c r="N324" s="149">
        <v>1.1814285714285715</v>
      </c>
      <c r="O324" s="152">
        <f t="shared" si="33"/>
        <v>8077.4271428571437</v>
      </c>
      <c r="P324" s="149">
        <v>76.608349999999987</v>
      </c>
      <c r="Q324" s="152">
        <f t="shared" si="34"/>
        <v>523771.2889499999</v>
      </c>
      <c r="R324" s="133">
        <f t="shared" si="36"/>
        <v>5.2377128894999993E-2</v>
      </c>
      <c r="S324" s="23" t="s">
        <v>1494</v>
      </c>
      <c r="T324" s="24" t="s">
        <v>1478</v>
      </c>
      <c r="AA324"/>
    </row>
    <row r="325" spans="1:27" ht="12.75" x14ac:dyDescent="0.2">
      <c r="A325" s="24" t="s">
        <v>1502</v>
      </c>
      <c r="B325" s="174">
        <v>44652</v>
      </c>
      <c r="C325" s="23" t="s">
        <v>386</v>
      </c>
      <c r="D325" s="106">
        <v>5002063</v>
      </c>
      <c r="E325" s="24" t="s">
        <v>229</v>
      </c>
      <c r="F325" s="23" t="s">
        <v>424</v>
      </c>
      <c r="G325" s="47" t="s">
        <v>1506</v>
      </c>
      <c r="H325" s="24" t="s">
        <v>837</v>
      </c>
      <c r="I325" s="23">
        <v>1</v>
      </c>
      <c r="J325" s="24" t="s">
        <v>7</v>
      </c>
      <c r="K325" s="103">
        <v>6840</v>
      </c>
      <c r="L325" s="35">
        <f t="shared" si="32"/>
        <v>6840</v>
      </c>
      <c r="M325" s="173">
        <f t="shared" si="35"/>
        <v>6.8400000000000004E-4</v>
      </c>
      <c r="N325" s="149">
        <v>1.1814285714285715</v>
      </c>
      <c r="O325" s="152">
        <f t="shared" si="33"/>
        <v>8080.971428571429</v>
      </c>
      <c r="P325" s="149">
        <v>76.608349999999987</v>
      </c>
      <c r="Q325" s="152">
        <f t="shared" si="34"/>
        <v>524001.11399999988</v>
      </c>
      <c r="R325" s="133">
        <f t="shared" si="36"/>
        <v>5.2400111399999991E-2</v>
      </c>
      <c r="S325" s="23" t="s">
        <v>1494</v>
      </c>
      <c r="T325" s="24" t="s">
        <v>1478</v>
      </c>
      <c r="AA325"/>
    </row>
    <row r="326" spans="1:27" ht="12.75" x14ac:dyDescent="0.2">
      <c r="A326" s="24" t="s">
        <v>1502</v>
      </c>
      <c r="B326" s="174">
        <v>44652</v>
      </c>
      <c r="C326" s="23" t="s">
        <v>386</v>
      </c>
      <c r="D326" s="106">
        <v>5002063</v>
      </c>
      <c r="E326" s="24" t="s">
        <v>229</v>
      </c>
      <c r="F326" s="23" t="s">
        <v>424</v>
      </c>
      <c r="G326" s="47" t="s">
        <v>1506</v>
      </c>
      <c r="H326" s="24" t="s">
        <v>851</v>
      </c>
      <c r="I326" s="23">
        <v>1</v>
      </c>
      <c r="J326" s="24" t="s">
        <v>7</v>
      </c>
      <c r="K326" s="103">
        <v>6852</v>
      </c>
      <c r="L326" s="35">
        <f t="shared" si="32"/>
        <v>6852</v>
      </c>
      <c r="M326" s="173">
        <f t="shared" si="35"/>
        <v>6.8519999999999996E-4</v>
      </c>
      <c r="N326" s="149">
        <v>1.1814285714285715</v>
      </c>
      <c r="O326" s="152">
        <f t="shared" si="33"/>
        <v>8095.1485714285718</v>
      </c>
      <c r="P326" s="149">
        <v>76.608349999999987</v>
      </c>
      <c r="Q326" s="152">
        <f t="shared" si="34"/>
        <v>524920.41419999988</v>
      </c>
      <c r="R326" s="133">
        <f t="shared" si="36"/>
        <v>5.2492041419999989E-2</v>
      </c>
      <c r="S326" s="23" t="s">
        <v>1494</v>
      </c>
      <c r="T326" s="24" t="s">
        <v>1478</v>
      </c>
      <c r="AA326"/>
    </row>
    <row r="327" spans="1:27" ht="12.75" x14ac:dyDescent="0.2">
      <c r="A327" s="24" t="s">
        <v>1502</v>
      </c>
      <c r="B327" s="174">
        <v>44652</v>
      </c>
      <c r="C327" s="23" t="s">
        <v>386</v>
      </c>
      <c r="D327" s="106">
        <v>5002064</v>
      </c>
      <c r="E327" s="24" t="s">
        <v>230</v>
      </c>
      <c r="F327" s="23" t="s">
        <v>424</v>
      </c>
      <c r="G327" s="47" t="s">
        <v>1506</v>
      </c>
      <c r="H327" s="24" t="s">
        <v>870</v>
      </c>
      <c r="I327" s="23">
        <v>1</v>
      </c>
      <c r="J327" s="24" t="s">
        <v>7</v>
      </c>
      <c r="K327" s="103">
        <v>6852</v>
      </c>
      <c r="L327" s="35">
        <f t="shared" si="32"/>
        <v>6852</v>
      </c>
      <c r="M327" s="173">
        <f t="shared" si="35"/>
        <v>6.8519999999999996E-4</v>
      </c>
      <c r="N327" s="149">
        <v>1.1814285714285715</v>
      </c>
      <c r="O327" s="152">
        <f t="shared" si="33"/>
        <v>8095.1485714285718</v>
      </c>
      <c r="P327" s="149">
        <v>115.33344999999997</v>
      </c>
      <c r="Q327" s="152">
        <f t="shared" si="34"/>
        <v>790264.79939999979</v>
      </c>
      <c r="R327" s="133">
        <f t="shared" si="36"/>
        <v>7.9026479939999977E-2</v>
      </c>
      <c r="S327" s="23" t="s">
        <v>1494</v>
      </c>
      <c r="T327" s="24" t="s">
        <v>1478</v>
      </c>
      <c r="AA327"/>
    </row>
    <row r="328" spans="1:27" ht="12.75" x14ac:dyDescent="0.2">
      <c r="A328" s="24" t="s">
        <v>1502</v>
      </c>
      <c r="B328" s="174">
        <v>44652</v>
      </c>
      <c r="C328" s="23" t="s">
        <v>386</v>
      </c>
      <c r="D328" s="106">
        <v>5002064</v>
      </c>
      <c r="E328" s="24" t="s">
        <v>230</v>
      </c>
      <c r="F328" s="23" t="s">
        <v>424</v>
      </c>
      <c r="G328" s="47" t="s">
        <v>1506</v>
      </c>
      <c r="H328" s="24" t="s">
        <v>882</v>
      </c>
      <c r="I328" s="23">
        <v>1</v>
      </c>
      <c r="J328" s="24" t="s">
        <v>7</v>
      </c>
      <c r="K328" s="103">
        <v>6856</v>
      </c>
      <c r="L328" s="35">
        <f t="shared" si="32"/>
        <v>6856</v>
      </c>
      <c r="M328" s="173">
        <f t="shared" si="35"/>
        <v>6.8559999999999997E-4</v>
      </c>
      <c r="N328" s="149">
        <v>1.1814285714285715</v>
      </c>
      <c r="O328" s="152">
        <f t="shared" si="33"/>
        <v>8099.8742857142861</v>
      </c>
      <c r="P328" s="149">
        <v>115.33344999999997</v>
      </c>
      <c r="Q328" s="152">
        <f t="shared" si="34"/>
        <v>790726.13319999981</v>
      </c>
      <c r="R328" s="133">
        <f t="shared" si="36"/>
        <v>7.9072613319999985E-2</v>
      </c>
      <c r="S328" s="23" t="s">
        <v>1494</v>
      </c>
      <c r="T328" s="24" t="s">
        <v>1478</v>
      </c>
      <c r="AA328"/>
    </row>
    <row r="329" spans="1:27" ht="12.75" x14ac:dyDescent="0.2">
      <c r="A329" s="24" t="s">
        <v>1502</v>
      </c>
      <c r="B329" s="174">
        <v>44652</v>
      </c>
      <c r="C329" s="23" t="s">
        <v>386</v>
      </c>
      <c r="D329" s="106">
        <v>5002064</v>
      </c>
      <c r="E329" s="24" t="s">
        <v>230</v>
      </c>
      <c r="F329" s="23" t="s">
        <v>424</v>
      </c>
      <c r="G329" s="47" t="s">
        <v>1506</v>
      </c>
      <c r="H329" s="24" t="s">
        <v>903</v>
      </c>
      <c r="I329" s="23">
        <v>1</v>
      </c>
      <c r="J329" s="24" t="s">
        <v>7</v>
      </c>
      <c r="K329" s="103">
        <v>6828</v>
      </c>
      <c r="L329" s="35">
        <f t="shared" si="32"/>
        <v>6828</v>
      </c>
      <c r="M329" s="173">
        <f t="shared" si="35"/>
        <v>6.8280000000000001E-4</v>
      </c>
      <c r="N329" s="149">
        <v>1.1814285714285715</v>
      </c>
      <c r="O329" s="152">
        <f t="shared" si="33"/>
        <v>8066.7942857142862</v>
      </c>
      <c r="P329" s="149">
        <v>115.33344999999997</v>
      </c>
      <c r="Q329" s="152">
        <f t="shared" si="34"/>
        <v>787496.79659999977</v>
      </c>
      <c r="R329" s="133">
        <f t="shared" si="36"/>
        <v>7.8749679659999974E-2</v>
      </c>
      <c r="S329" s="23" t="s">
        <v>1494</v>
      </c>
      <c r="T329" s="24" t="s">
        <v>1478</v>
      </c>
      <c r="AA329"/>
    </row>
    <row r="330" spans="1:27" ht="12.75" x14ac:dyDescent="0.2">
      <c r="A330" s="24" t="s">
        <v>1502</v>
      </c>
      <c r="B330" s="174">
        <v>44652</v>
      </c>
      <c r="C330" s="23" t="s">
        <v>386</v>
      </c>
      <c r="D330" s="106">
        <v>5002064</v>
      </c>
      <c r="E330" s="24" t="s">
        <v>230</v>
      </c>
      <c r="F330" s="23" t="s">
        <v>424</v>
      </c>
      <c r="G330" s="47" t="s">
        <v>1506</v>
      </c>
      <c r="H330" s="24" t="s">
        <v>914</v>
      </c>
      <c r="I330" s="23">
        <v>1</v>
      </c>
      <c r="J330" s="24" t="s">
        <v>7</v>
      </c>
      <c r="K330" s="103">
        <v>6828</v>
      </c>
      <c r="L330" s="35">
        <f t="shared" si="32"/>
        <v>6828</v>
      </c>
      <c r="M330" s="173">
        <f t="shared" si="35"/>
        <v>6.8280000000000001E-4</v>
      </c>
      <c r="N330" s="149">
        <v>1.1814285714285715</v>
      </c>
      <c r="O330" s="152">
        <f t="shared" si="33"/>
        <v>8066.7942857142862</v>
      </c>
      <c r="P330" s="149">
        <v>115.33344999999997</v>
      </c>
      <c r="Q330" s="152">
        <f t="shared" si="34"/>
        <v>787496.79659999977</v>
      </c>
      <c r="R330" s="133">
        <f t="shared" si="36"/>
        <v>7.8749679659999974E-2</v>
      </c>
      <c r="S330" s="23" t="s">
        <v>1494</v>
      </c>
      <c r="T330" s="24" t="s">
        <v>1478</v>
      </c>
      <c r="AA330"/>
    </row>
    <row r="331" spans="1:27" ht="12.75" x14ac:dyDescent="0.2">
      <c r="A331" s="24" t="s">
        <v>1502</v>
      </c>
      <c r="B331" s="174">
        <v>44652</v>
      </c>
      <c r="C331" s="23" t="s">
        <v>386</v>
      </c>
      <c r="D331" s="106">
        <v>5002064</v>
      </c>
      <c r="E331" s="24" t="s">
        <v>230</v>
      </c>
      <c r="F331" s="23" t="s">
        <v>424</v>
      </c>
      <c r="G331" s="47" t="s">
        <v>1506</v>
      </c>
      <c r="H331" s="24" t="s">
        <v>929</v>
      </c>
      <c r="I331" s="23">
        <v>1</v>
      </c>
      <c r="J331" s="24" t="s">
        <v>7</v>
      </c>
      <c r="K331" s="103">
        <v>6852</v>
      </c>
      <c r="L331" s="35">
        <f t="shared" si="32"/>
        <v>6852</v>
      </c>
      <c r="M331" s="173">
        <f t="shared" si="35"/>
        <v>6.8519999999999996E-4</v>
      </c>
      <c r="N331" s="149">
        <v>1.1814285714285715</v>
      </c>
      <c r="O331" s="152">
        <f t="shared" si="33"/>
        <v>8095.1485714285718</v>
      </c>
      <c r="P331" s="149">
        <v>115.33344999999997</v>
      </c>
      <c r="Q331" s="152">
        <f t="shared" si="34"/>
        <v>790264.79939999979</v>
      </c>
      <c r="R331" s="133">
        <f t="shared" si="36"/>
        <v>7.9026479939999977E-2</v>
      </c>
      <c r="S331" s="23" t="s">
        <v>1494</v>
      </c>
      <c r="T331" s="24" t="s">
        <v>1478</v>
      </c>
      <c r="AA331"/>
    </row>
    <row r="332" spans="1:27" ht="12.75" x14ac:dyDescent="0.2">
      <c r="A332" s="24" t="s">
        <v>1502</v>
      </c>
      <c r="B332" s="174">
        <v>44652</v>
      </c>
      <c r="C332" s="23" t="s">
        <v>386</v>
      </c>
      <c r="D332" s="106">
        <v>5002064</v>
      </c>
      <c r="E332" s="24" t="s">
        <v>230</v>
      </c>
      <c r="F332" s="23" t="s">
        <v>424</v>
      </c>
      <c r="G332" s="47" t="s">
        <v>1506</v>
      </c>
      <c r="H332" s="24" t="s">
        <v>944</v>
      </c>
      <c r="I332" s="23">
        <v>1</v>
      </c>
      <c r="J332" s="24" t="s">
        <v>7</v>
      </c>
      <c r="K332" s="103">
        <v>6852</v>
      </c>
      <c r="L332" s="35">
        <f t="shared" si="32"/>
        <v>6852</v>
      </c>
      <c r="M332" s="173">
        <f t="shared" si="35"/>
        <v>6.8519999999999996E-4</v>
      </c>
      <c r="N332" s="149">
        <v>1.1814285714285715</v>
      </c>
      <c r="O332" s="152">
        <f t="shared" si="33"/>
        <v>8095.1485714285718</v>
      </c>
      <c r="P332" s="149">
        <v>115.33344999999997</v>
      </c>
      <c r="Q332" s="152">
        <f t="shared" si="34"/>
        <v>790264.79939999979</v>
      </c>
      <c r="R332" s="133">
        <f t="shared" si="36"/>
        <v>7.9026479939999977E-2</v>
      </c>
      <c r="S332" s="23" t="s">
        <v>1494</v>
      </c>
      <c r="T332" s="24" t="s">
        <v>1478</v>
      </c>
      <c r="AA332"/>
    </row>
    <row r="333" spans="1:27" ht="12.75" x14ac:dyDescent="0.2">
      <c r="A333" s="24" t="s">
        <v>1502</v>
      </c>
      <c r="B333" s="174">
        <v>44652</v>
      </c>
      <c r="C333" s="23" t="s">
        <v>386</v>
      </c>
      <c r="D333" s="106">
        <v>5003541</v>
      </c>
      <c r="E333" s="24" t="s">
        <v>747</v>
      </c>
      <c r="F333" s="23" t="s">
        <v>424</v>
      </c>
      <c r="G333" s="101" t="s">
        <v>1505</v>
      </c>
      <c r="H333" s="24" t="s">
        <v>839</v>
      </c>
      <c r="I333" s="23">
        <v>1</v>
      </c>
      <c r="J333" s="24" t="s">
        <v>39</v>
      </c>
      <c r="K333" s="103">
        <v>48120</v>
      </c>
      <c r="L333" s="35">
        <f t="shared" ref="L333:L364" si="37">K333*I333</f>
        <v>48120</v>
      </c>
      <c r="M333" s="173">
        <f t="shared" si="35"/>
        <v>4.8120000000000003E-3</v>
      </c>
      <c r="N333" s="149">
        <v>2.36</v>
      </c>
      <c r="O333" s="152">
        <f t="shared" ref="O333:O364" si="38">+K333*N333</f>
        <v>113563.2</v>
      </c>
      <c r="P333" s="149">
        <v>108.02499999999999</v>
      </c>
      <c r="Q333" s="152">
        <f t="shared" si="34"/>
        <v>5198163</v>
      </c>
      <c r="R333" s="133">
        <f t="shared" si="36"/>
        <v>0.51981630000000001</v>
      </c>
      <c r="S333" s="23" t="s">
        <v>1494</v>
      </c>
      <c r="T333" s="24" t="s">
        <v>1478</v>
      </c>
      <c r="AA333"/>
    </row>
    <row r="334" spans="1:27" ht="12.75" x14ac:dyDescent="0.2">
      <c r="A334" s="24" t="s">
        <v>1502</v>
      </c>
      <c r="B334" s="174">
        <v>44652</v>
      </c>
      <c r="C334" s="23" t="s">
        <v>386</v>
      </c>
      <c r="D334" s="106">
        <v>5501190</v>
      </c>
      <c r="E334" s="24" t="s">
        <v>248</v>
      </c>
      <c r="F334" s="23" t="s">
        <v>425</v>
      </c>
      <c r="G334" s="101" t="s">
        <v>1505</v>
      </c>
      <c r="H334" s="24" t="s">
        <v>846</v>
      </c>
      <c r="I334" s="23">
        <v>1</v>
      </c>
      <c r="J334" s="24" t="s">
        <v>39</v>
      </c>
      <c r="K334" s="103">
        <v>19108</v>
      </c>
      <c r="L334" s="35">
        <f t="shared" si="37"/>
        <v>19108</v>
      </c>
      <c r="M334" s="173">
        <f t="shared" si="35"/>
        <v>1.9108E-3</v>
      </c>
      <c r="N334" s="149">
        <v>1.92</v>
      </c>
      <c r="O334" s="152">
        <f t="shared" si="38"/>
        <v>36687.360000000001</v>
      </c>
      <c r="P334" s="149">
        <v>124.07003061099505</v>
      </c>
      <c r="Q334" s="152">
        <f t="shared" si="34"/>
        <v>2370730.1449148934</v>
      </c>
      <c r="R334" s="133">
        <f t="shared" si="36"/>
        <v>0.23707301449148935</v>
      </c>
      <c r="S334" s="23" t="s">
        <v>1494</v>
      </c>
      <c r="T334" s="24" t="s">
        <v>1478</v>
      </c>
      <c r="AA334"/>
    </row>
    <row r="335" spans="1:27" ht="12.75" x14ac:dyDescent="0.2">
      <c r="A335" s="24" t="s">
        <v>1502</v>
      </c>
      <c r="B335" s="174">
        <v>44652</v>
      </c>
      <c r="C335" s="23" t="s">
        <v>386</v>
      </c>
      <c r="D335" s="106">
        <v>5500071</v>
      </c>
      <c r="E335" s="24" t="s">
        <v>380</v>
      </c>
      <c r="F335" s="23" t="s">
        <v>425</v>
      </c>
      <c r="G335" s="101" t="s">
        <v>1505</v>
      </c>
      <c r="H335" s="24" t="s">
        <v>847</v>
      </c>
      <c r="I335" s="23">
        <v>1</v>
      </c>
      <c r="J335" s="24" t="s">
        <v>39</v>
      </c>
      <c r="K335" s="103">
        <v>57345</v>
      </c>
      <c r="L335" s="35">
        <f t="shared" si="37"/>
        <v>57345</v>
      </c>
      <c r="M335" s="173">
        <f t="shared" si="35"/>
        <v>5.7345E-3</v>
      </c>
      <c r="N335" s="149">
        <v>1.92</v>
      </c>
      <c r="O335" s="152">
        <f t="shared" si="38"/>
        <v>110102.39999999999</v>
      </c>
      <c r="P335" s="149">
        <v>108.64000000000004</v>
      </c>
      <c r="Q335" s="152">
        <f t="shared" si="34"/>
        <v>6229960.8000000026</v>
      </c>
      <c r="R335" s="133">
        <f t="shared" si="36"/>
        <v>0.62299608000000029</v>
      </c>
      <c r="S335" s="23" t="s">
        <v>1494</v>
      </c>
      <c r="T335" s="24" t="s">
        <v>1478</v>
      </c>
      <c r="AA335"/>
    </row>
    <row r="336" spans="1:27" ht="12.75" x14ac:dyDescent="0.2">
      <c r="A336" s="24" t="s">
        <v>1502</v>
      </c>
      <c r="B336" s="174">
        <v>44652</v>
      </c>
      <c r="C336" s="23" t="s">
        <v>386</v>
      </c>
      <c r="D336" s="106">
        <v>5501370</v>
      </c>
      <c r="E336" s="24" t="s">
        <v>749</v>
      </c>
      <c r="F336" s="23" t="s">
        <v>425</v>
      </c>
      <c r="G336" s="101" t="s">
        <v>1505</v>
      </c>
      <c r="H336" s="24" t="s">
        <v>850</v>
      </c>
      <c r="I336" s="23">
        <v>1</v>
      </c>
      <c r="J336" s="24" t="s">
        <v>39</v>
      </c>
      <c r="K336" s="103">
        <v>18310</v>
      </c>
      <c r="L336" s="35">
        <f t="shared" si="37"/>
        <v>18310</v>
      </c>
      <c r="M336" s="173">
        <f t="shared" si="35"/>
        <v>1.8309999999999999E-3</v>
      </c>
      <c r="N336" s="149">
        <v>1.9159999999999999</v>
      </c>
      <c r="O336" s="152">
        <f t="shared" si="38"/>
        <v>35081.96</v>
      </c>
      <c r="P336" s="149">
        <v>197.35969753373621</v>
      </c>
      <c r="Q336" s="152">
        <f t="shared" si="34"/>
        <v>3613656.0618427098</v>
      </c>
      <c r="R336" s="133">
        <f t="shared" si="36"/>
        <v>0.36136560618427099</v>
      </c>
      <c r="S336" s="23" t="s">
        <v>1494</v>
      </c>
      <c r="T336" s="24" t="s">
        <v>1478</v>
      </c>
      <c r="AA336"/>
    </row>
    <row r="337" spans="1:27" ht="12.75" x14ac:dyDescent="0.2">
      <c r="A337" s="24" t="s">
        <v>1502</v>
      </c>
      <c r="B337" s="174">
        <v>44652</v>
      </c>
      <c r="C337" s="23" t="s">
        <v>386</v>
      </c>
      <c r="D337" s="106">
        <v>5500603</v>
      </c>
      <c r="E337" s="24" t="s">
        <v>382</v>
      </c>
      <c r="F337" s="23" t="s">
        <v>425</v>
      </c>
      <c r="G337" s="101" t="s">
        <v>1505</v>
      </c>
      <c r="H337" s="24" t="s">
        <v>866</v>
      </c>
      <c r="I337" s="23">
        <v>1</v>
      </c>
      <c r="J337" s="24" t="s">
        <v>39</v>
      </c>
      <c r="K337" s="103">
        <v>37920</v>
      </c>
      <c r="L337" s="35">
        <f t="shared" si="37"/>
        <v>37920</v>
      </c>
      <c r="M337" s="173">
        <f t="shared" si="35"/>
        <v>3.7919999999999998E-3</v>
      </c>
      <c r="N337" s="149">
        <v>1.92</v>
      </c>
      <c r="O337" s="152">
        <f t="shared" si="38"/>
        <v>72806.399999999994</v>
      </c>
      <c r="P337" s="149">
        <v>125.68001551590376</v>
      </c>
      <c r="Q337" s="152">
        <f t="shared" si="34"/>
        <v>4765786.1883630706</v>
      </c>
      <c r="R337" s="133">
        <f t="shared" si="36"/>
        <v>0.47657861883630703</v>
      </c>
      <c r="S337" s="23" t="s">
        <v>1494</v>
      </c>
      <c r="T337" s="24" t="s">
        <v>1478</v>
      </c>
      <c r="AA337"/>
    </row>
    <row r="338" spans="1:27" ht="12.75" x14ac:dyDescent="0.2">
      <c r="A338" s="24" t="s">
        <v>1502</v>
      </c>
      <c r="B338" s="174">
        <v>44652</v>
      </c>
      <c r="C338" s="23" t="s">
        <v>386</v>
      </c>
      <c r="D338" s="106">
        <v>5500179</v>
      </c>
      <c r="E338" s="24" t="s">
        <v>234</v>
      </c>
      <c r="F338" s="23" t="s">
        <v>425</v>
      </c>
      <c r="G338" s="101" t="s">
        <v>1505</v>
      </c>
      <c r="H338" s="24" t="s">
        <v>872</v>
      </c>
      <c r="I338" s="23">
        <v>1</v>
      </c>
      <c r="J338" s="24" t="s">
        <v>39</v>
      </c>
      <c r="K338" s="103">
        <v>34306</v>
      </c>
      <c r="L338" s="35">
        <f t="shared" si="37"/>
        <v>34306</v>
      </c>
      <c r="M338" s="173">
        <f t="shared" si="35"/>
        <v>3.4305999999999998E-3</v>
      </c>
      <c r="N338" s="149">
        <v>1.9159999999999999</v>
      </c>
      <c r="O338" s="152">
        <f t="shared" si="38"/>
        <v>65730.296000000002</v>
      </c>
      <c r="P338" s="149">
        <v>123.11000765892285</v>
      </c>
      <c r="Q338" s="152">
        <f t="shared" si="34"/>
        <v>4223411.9227470076</v>
      </c>
      <c r="R338" s="133">
        <f t="shared" si="36"/>
        <v>0.42234119227470074</v>
      </c>
      <c r="S338" s="23" t="s">
        <v>1494</v>
      </c>
      <c r="T338" s="24" t="s">
        <v>1478</v>
      </c>
      <c r="AA338"/>
    </row>
    <row r="339" spans="1:27" ht="12.75" x14ac:dyDescent="0.2">
      <c r="A339" s="24" t="s">
        <v>1502</v>
      </c>
      <c r="B339" s="174">
        <v>44652</v>
      </c>
      <c r="C339" s="23" t="s">
        <v>386</v>
      </c>
      <c r="D339" s="106">
        <v>5500484</v>
      </c>
      <c r="E339" s="24" t="s">
        <v>237</v>
      </c>
      <c r="F339" s="23" t="s">
        <v>425</v>
      </c>
      <c r="G339" s="101" t="s">
        <v>1505</v>
      </c>
      <c r="H339" s="24" t="s">
        <v>874</v>
      </c>
      <c r="I339" s="23">
        <v>1</v>
      </c>
      <c r="J339" s="24" t="s">
        <v>39</v>
      </c>
      <c r="K339" s="103">
        <v>14932</v>
      </c>
      <c r="L339" s="35">
        <f t="shared" si="37"/>
        <v>14932</v>
      </c>
      <c r="M339" s="173">
        <f t="shared" si="35"/>
        <v>1.4932000000000001E-3</v>
      </c>
      <c r="N339" s="149">
        <v>1.9159999999999999</v>
      </c>
      <c r="O339" s="152">
        <f t="shared" si="38"/>
        <v>28609.712</v>
      </c>
      <c r="P339" s="149">
        <v>314.35992923377302</v>
      </c>
      <c r="Q339" s="152">
        <f t="shared" si="34"/>
        <v>4694022.463318699</v>
      </c>
      <c r="R339" s="133">
        <f t="shared" si="36"/>
        <v>0.46940224633186989</v>
      </c>
      <c r="S339" s="23" t="s">
        <v>1494</v>
      </c>
      <c r="T339" s="24" t="s">
        <v>1478</v>
      </c>
      <c r="AA339"/>
    </row>
    <row r="340" spans="1:27" ht="12.75" x14ac:dyDescent="0.2">
      <c r="A340" s="24" t="s">
        <v>1502</v>
      </c>
      <c r="B340" s="174">
        <v>44652</v>
      </c>
      <c r="C340" s="23" t="s">
        <v>386</v>
      </c>
      <c r="D340" s="106">
        <v>5501350</v>
      </c>
      <c r="E340" s="24" t="s">
        <v>250</v>
      </c>
      <c r="F340" s="23" t="s">
        <v>425</v>
      </c>
      <c r="G340" s="101" t="s">
        <v>1505</v>
      </c>
      <c r="H340" s="24" t="s">
        <v>881</v>
      </c>
      <c r="I340" s="23">
        <v>1</v>
      </c>
      <c r="J340" s="24" t="s">
        <v>39</v>
      </c>
      <c r="K340" s="103">
        <v>25560</v>
      </c>
      <c r="L340" s="35">
        <f t="shared" si="37"/>
        <v>25560</v>
      </c>
      <c r="M340" s="173">
        <f t="shared" si="35"/>
        <v>2.5560000000000001E-3</v>
      </c>
      <c r="N340" s="149">
        <v>2.36</v>
      </c>
      <c r="O340" s="152">
        <f t="shared" si="38"/>
        <v>60321.599999999999</v>
      </c>
      <c r="P340" s="149">
        <v>27.639974489795922</v>
      </c>
      <c r="Q340" s="152">
        <f t="shared" si="34"/>
        <v>706477.74795918376</v>
      </c>
      <c r="R340" s="133">
        <f t="shared" si="36"/>
        <v>7.0647774795918369E-2</v>
      </c>
      <c r="S340" s="23" t="s">
        <v>1494</v>
      </c>
      <c r="T340" s="24" t="s">
        <v>1478</v>
      </c>
      <c r="AA340"/>
    </row>
    <row r="341" spans="1:27" ht="12.75" x14ac:dyDescent="0.2">
      <c r="A341" s="24" t="s">
        <v>1502</v>
      </c>
      <c r="B341" s="174">
        <v>44652</v>
      </c>
      <c r="C341" s="23" t="s">
        <v>386</v>
      </c>
      <c r="D341" s="106">
        <v>5500041</v>
      </c>
      <c r="E341" s="24" t="s">
        <v>49</v>
      </c>
      <c r="F341" s="23" t="s">
        <v>425</v>
      </c>
      <c r="G341" s="101" t="s">
        <v>1505</v>
      </c>
      <c r="H341" s="24" t="s">
        <v>884</v>
      </c>
      <c r="I341" s="23">
        <v>1</v>
      </c>
      <c r="J341" s="24" t="s">
        <v>39</v>
      </c>
      <c r="K341" s="103">
        <v>33100</v>
      </c>
      <c r="L341" s="35">
        <f t="shared" si="37"/>
        <v>33100</v>
      </c>
      <c r="M341" s="173">
        <f t="shared" si="35"/>
        <v>3.31E-3</v>
      </c>
      <c r="N341" s="149">
        <v>2.3580000000000001</v>
      </c>
      <c r="O341" s="152">
        <f t="shared" si="38"/>
        <v>78049.8</v>
      </c>
      <c r="P341" s="149">
        <v>25.679911338270568</v>
      </c>
      <c r="Q341" s="152">
        <f t="shared" si="34"/>
        <v>850005.06529675575</v>
      </c>
      <c r="R341" s="133">
        <f t="shared" si="36"/>
        <v>8.5000506529675571E-2</v>
      </c>
      <c r="S341" s="23" t="s">
        <v>1494</v>
      </c>
      <c r="T341" s="24" t="s">
        <v>1478</v>
      </c>
      <c r="AA341"/>
    </row>
    <row r="342" spans="1:27" ht="12.75" x14ac:dyDescent="0.2">
      <c r="A342" s="24" t="s">
        <v>1502</v>
      </c>
      <c r="B342" s="174">
        <v>44652</v>
      </c>
      <c r="C342" s="23" t="s">
        <v>386</v>
      </c>
      <c r="D342" s="106">
        <v>5500063</v>
      </c>
      <c r="E342" s="24" t="s">
        <v>54</v>
      </c>
      <c r="F342" s="23" t="s">
        <v>425</v>
      </c>
      <c r="G342" s="101" t="s">
        <v>1505</v>
      </c>
      <c r="H342" s="24" t="s">
        <v>885</v>
      </c>
      <c r="I342" s="23">
        <v>1</v>
      </c>
      <c r="J342" s="24" t="s">
        <v>39</v>
      </c>
      <c r="K342" s="103">
        <v>23094</v>
      </c>
      <c r="L342" s="35">
        <f t="shared" si="37"/>
        <v>23094</v>
      </c>
      <c r="M342" s="173">
        <f t="shared" si="35"/>
        <v>2.3094000000000001E-3</v>
      </c>
      <c r="N342" s="149">
        <v>1.9159999999999999</v>
      </c>
      <c r="O342" s="152">
        <f t="shared" si="38"/>
        <v>44248.103999999999</v>
      </c>
      <c r="P342" s="149">
        <v>124.71002320928358</v>
      </c>
      <c r="Q342" s="152">
        <f t="shared" si="34"/>
        <v>2880053.2759951949</v>
      </c>
      <c r="R342" s="133">
        <f t="shared" si="36"/>
        <v>0.28800532759951947</v>
      </c>
      <c r="S342" s="23" t="s">
        <v>1494</v>
      </c>
      <c r="T342" s="24" t="s">
        <v>1478</v>
      </c>
      <c r="AA342"/>
    </row>
    <row r="343" spans="1:27" ht="12.75" x14ac:dyDescent="0.2">
      <c r="A343" s="24" t="s">
        <v>1502</v>
      </c>
      <c r="B343" s="174">
        <v>44652</v>
      </c>
      <c r="C343" s="23" t="s">
        <v>386</v>
      </c>
      <c r="D343" s="106">
        <v>5500105</v>
      </c>
      <c r="E343" s="24" t="s">
        <v>62</v>
      </c>
      <c r="F343" s="23" t="s">
        <v>425</v>
      </c>
      <c r="G343" s="101" t="s">
        <v>1505</v>
      </c>
      <c r="H343" s="24" t="s">
        <v>892</v>
      </c>
      <c r="I343" s="23">
        <v>1</v>
      </c>
      <c r="J343" s="24" t="s">
        <v>39</v>
      </c>
      <c r="K343" s="103">
        <v>18688</v>
      </c>
      <c r="L343" s="35">
        <f t="shared" si="37"/>
        <v>18688</v>
      </c>
      <c r="M343" s="173">
        <f t="shared" si="35"/>
        <v>1.8688000000000001E-3</v>
      </c>
      <c r="N343" s="149">
        <v>1.9159999999999999</v>
      </c>
      <c r="O343" s="152">
        <f t="shared" si="38"/>
        <v>35806.207999999999</v>
      </c>
      <c r="P343" s="149">
        <v>154.93009533898302</v>
      </c>
      <c r="Q343" s="152">
        <f t="shared" si="34"/>
        <v>2895333.6216949145</v>
      </c>
      <c r="R343" s="133">
        <f t="shared" si="36"/>
        <v>0.28953336216949144</v>
      </c>
      <c r="S343" s="23" t="s">
        <v>1494</v>
      </c>
      <c r="T343" s="24" t="s">
        <v>1478</v>
      </c>
      <c r="AA343"/>
    </row>
    <row r="344" spans="1:27" ht="12.75" x14ac:dyDescent="0.2">
      <c r="A344" s="24" t="s">
        <v>1502</v>
      </c>
      <c r="B344" s="174">
        <v>44652</v>
      </c>
      <c r="C344" s="23" t="s">
        <v>386</v>
      </c>
      <c r="D344" s="106">
        <v>5500111</v>
      </c>
      <c r="E344" s="24" t="s">
        <v>63</v>
      </c>
      <c r="F344" s="23" t="s">
        <v>425</v>
      </c>
      <c r="G344" s="101" t="s">
        <v>1505</v>
      </c>
      <c r="H344" s="24" t="s">
        <v>893</v>
      </c>
      <c r="I344" s="23">
        <v>1</v>
      </c>
      <c r="J344" s="24" t="s">
        <v>39</v>
      </c>
      <c r="K344" s="103">
        <v>29285</v>
      </c>
      <c r="L344" s="35">
        <f t="shared" si="37"/>
        <v>29285</v>
      </c>
      <c r="M344" s="173">
        <f t="shared" si="35"/>
        <v>2.9285000000000001E-3</v>
      </c>
      <c r="N344" s="149">
        <v>2.36</v>
      </c>
      <c r="O344" s="152">
        <f t="shared" si="38"/>
        <v>69112.599999999991</v>
      </c>
      <c r="P344" s="149">
        <v>90.119763476347615</v>
      </c>
      <c r="Q344" s="152">
        <f t="shared" si="34"/>
        <v>2639157.2734048399</v>
      </c>
      <c r="R344" s="133">
        <f t="shared" si="36"/>
        <v>0.26391572734048402</v>
      </c>
      <c r="S344" s="23" t="s">
        <v>1494</v>
      </c>
      <c r="T344" s="24" t="s">
        <v>1478</v>
      </c>
      <c r="AA344"/>
    </row>
    <row r="345" spans="1:27" ht="12.75" x14ac:dyDescent="0.2">
      <c r="A345" s="24" t="s">
        <v>1502</v>
      </c>
      <c r="B345" s="174">
        <v>44652</v>
      </c>
      <c r="C345" s="23" t="s">
        <v>386</v>
      </c>
      <c r="D345" s="106">
        <v>5500180</v>
      </c>
      <c r="E345" s="24" t="s">
        <v>235</v>
      </c>
      <c r="F345" s="23" t="s">
        <v>425</v>
      </c>
      <c r="G345" s="101" t="s">
        <v>1505</v>
      </c>
      <c r="H345" s="24" t="s">
        <v>904</v>
      </c>
      <c r="I345" s="23">
        <v>1</v>
      </c>
      <c r="J345" s="24" t="s">
        <v>39</v>
      </c>
      <c r="K345" s="103">
        <v>35832</v>
      </c>
      <c r="L345" s="35">
        <f t="shared" si="37"/>
        <v>35832</v>
      </c>
      <c r="M345" s="173">
        <f t="shared" si="35"/>
        <v>3.5831999999999999E-3</v>
      </c>
      <c r="N345" s="149">
        <v>1.9159999999999999</v>
      </c>
      <c r="O345" s="152">
        <f t="shared" si="38"/>
        <v>68654.111999999994</v>
      </c>
      <c r="P345" s="149">
        <v>98.360105820106014</v>
      </c>
      <c r="Q345" s="152">
        <f t="shared" si="34"/>
        <v>3524439.3117460385</v>
      </c>
      <c r="R345" s="133">
        <f t="shared" si="36"/>
        <v>0.35244393117460387</v>
      </c>
      <c r="S345" s="23" t="s">
        <v>1494</v>
      </c>
      <c r="T345" s="24" t="s">
        <v>1478</v>
      </c>
      <c r="AA345"/>
    </row>
    <row r="346" spans="1:27" ht="12.75" x14ac:dyDescent="0.2">
      <c r="A346" s="24" t="s">
        <v>1502</v>
      </c>
      <c r="B346" s="174">
        <v>44652</v>
      </c>
      <c r="C346" s="23" t="s">
        <v>386</v>
      </c>
      <c r="D346" s="106">
        <v>5501350</v>
      </c>
      <c r="E346" s="24" t="s">
        <v>250</v>
      </c>
      <c r="F346" s="23" t="s">
        <v>425</v>
      </c>
      <c r="G346" s="101" t="s">
        <v>1505</v>
      </c>
      <c r="H346" s="24" t="s">
        <v>913</v>
      </c>
      <c r="I346" s="23">
        <v>1</v>
      </c>
      <c r="J346" s="24" t="s">
        <v>39</v>
      </c>
      <c r="K346" s="103">
        <v>25880</v>
      </c>
      <c r="L346" s="35">
        <f t="shared" si="37"/>
        <v>25880</v>
      </c>
      <c r="M346" s="173">
        <f t="shared" si="35"/>
        <v>2.588E-3</v>
      </c>
      <c r="N346" s="149">
        <v>2.36</v>
      </c>
      <c r="O346" s="152">
        <f t="shared" si="38"/>
        <v>61076.799999999996</v>
      </c>
      <c r="P346" s="149">
        <v>27.639974489795922</v>
      </c>
      <c r="Q346" s="152">
        <f t="shared" si="34"/>
        <v>715322.53979591851</v>
      </c>
      <c r="R346" s="133">
        <f t="shared" si="36"/>
        <v>7.1532253979591856E-2</v>
      </c>
      <c r="S346" s="23" t="s">
        <v>1494</v>
      </c>
      <c r="T346" s="24" t="s">
        <v>1478</v>
      </c>
      <c r="AA346"/>
    </row>
    <row r="347" spans="1:27" ht="12.75" x14ac:dyDescent="0.2">
      <c r="A347" s="24" t="s">
        <v>1502</v>
      </c>
      <c r="B347" s="174">
        <v>44652</v>
      </c>
      <c r="C347" s="23" t="s">
        <v>386</v>
      </c>
      <c r="D347" s="106">
        <v>5501350</v>
      </c>
      <c r="E347" s="24" t="s">
        <v>250</v>
      </c>
      <c r="F347" s="23" t="s">
        <v>425</v>
      </c>
      <c r="G347" s="101" t="s">
        <v>1505</v>
      </c>
      <c r="H347" s="24" t="s">
        <v>917</v>
      </c>
      <c r="I347" s="23">
        <v>1</v>
      </c>
      <c r="J347" s="24" t="s">
        <v>39</v>
      </c>
      <c r="K347" s="103">
        <v>25790</v>
      </c>
      <c r="L347" s="35">
        <f t="shared" si="37"/>
        <v>25790</v>
      </c>
      <c r="M347" s="173">
        <f t="shared" si="35"/>
        <v>2.5790000000000001E-3</v>
      </c>
      <c r="N347" s="149">
        <v>2.36</v>
      </c>
      <c r="O347" s="152">
        <f t="shared" si="38"/>
        <v>60864.399999999994</v>
      </c>
      <c r="P347" s="149">
        <v>27.639974489795922</v>
      </c>
      <c r="Q347" s="152">
        <f t="shared" si="34"/>
        <v>712834.94209183683</v>
      </c>
      <c r="R347" s="133">
        <f t="shared" si="36"/>
        <v>7.1283494209183687E-2</v>
      </c>
      <c r="S347" s="23" t="s">
        <v>1494</v>
      </c>
      <c r="T347" s="24" t="s">
        <v>1478</v>
      </c>
      <c r="AA347"/>
    </row>
    <row r="348" spans="1:27" ht="12.75" x14ac:dyDescent="0.2">
      <c r="A348" s="24" t="s">
        <v>1502</v>
      </c>
      <c r="B348" s="174">
        <v>44652</v>
      </c>
      <c r="C348" s="23" t="s">
        <v>386</v>
      </c>
      <c r="D348" s="106">
        <v>8000179</v>
      </c>
      <c r="E348" s="24" t="s">
        <v>754</v>
      </c>
      <c r="F348" s="23" t="e">
        <v>#N/A</v>
      </c>
      <c r="G348" s="101" t="s">
        <v>1505</v>
      </c>
      <c r="H348" s="24" t="s">
        <v>919</v>
      </c>
      <c r="I348" s="23">
        <v>1</v>
      </c>
      <c r="J348" s="24" t="s">
        <v>39</v>
      </c>
      <c r="K348" s="103">
        <v>26978</v>
      </c>
      <c r="L348" s="35">
        <f t="shared" si="37"/>
        <v>26978</v>
      </c>
      <c r="M348" s="173">
        <f t="shared" si="35"/>
        <v>2.6978000000000002E-3</v>
      </c>
      <c r="N348" s="149">
        <v>1.9159999999999999</v>
      </c>
      <c r="O348" s="152">
        <f t="shared" si="38"/>
        <v>51689.847999999998</v>
      </c>
      <c r="P348" s="149">
        <v>0</v>
      </c>
      <c r="Q348" s="152">
        <f t="shared" si="34"/>
        <v>0</v>
      </c>
      <c r="R348" s="133">
        <f t="shared" si="36"/>
        <v>0</v>
      </c>
      <c r="S348" s="23" t="s">
        <v>1494</v>
      </c>
      <c r="T348" s="24" t="s">
        <v>1478</v>
      </c>
      <c r="AA348"/>
    </row>
    <row r="349" spans="1:27" ht="12.75" x14ac:dyDescent="0.2">
      <c r="A349" s="24" t="s">
        <v>1502</v>
      </c>
      <c r="B349" s="174">
        <v>44652</v>
      </c>
      <c r="C349" s="23" t="s">
        <v>386</v>
      </c>
      <c r="D349" s="106">
        <v>5500092</v>
      </c>
      <c r="E349" s="24" t="s">
        <v>58</v>
      </c>
      <c r="F349" s="23" t="s">
        <v>425</v>
      </c>
      <c r="G349" s="101" t="s">
        <v>1505</v>
      </c>
      <c r="H349" s="24" t="s">
        <v>922</v>
      </c>
      <c r="I349" s="23">
        <v>1</v>
      </c>
      <c r="J349" s="24" t="s">
        <v>39</v>
      </c>
      <c r="K349" s="103">
        <v>14958</v>
      </c>
      <c r="L349" s="35">
        <f t="shared" si="37"/>
        <v>14958</v>
      </c>
      <c r="M349" s="173">
        <f t="shared" si="35"/>
        <v>1.4958E-3</v>
      </c>
      <c r="N349" s="149">
        <v>1.9159999999999999</v>
      </c>
      <c r="O349" s="152">
        <f t="shared" si="38"/>
        <v>28659.527999999998</v>
      </c>
      <c r="P349" s="149">
        <v>299.57002679425767</v>
      </c>
      <c r="Q349" s="152">
        <f t="shared" si="34"/>
        <v>4480968.4607885061</v>
      </c>
      <c r="R349" s="133">
        <f t="shared" si="36"/>
        <v>0.44809684607885059</v>
      </c>
      <c r="S349" s="23" t="s">
        <v>1494</v>
      </c>
      <c r="T349" s="24" t="s">
        <v>1478</v>
      </c>
      <c r="AA349"/>
    </row>
    <row r="350" spans="1:27" ht="12.75" x14ac:dyDescent="0.2">
      <c r="A350" s="24" t="s">
        <v>1502</v>
      </c>
      <c r="B350" s="174">
        <v>44652</v>
      </c>
      <c r="C350" s="23" t="s">
        <v>386</v>
      </c>
      <c r="D350" s="106">
        <v>5500092</v>
      </c>
      <c r="E350" s="24" t="s">
        <v>58</v>
      </c>
      <c r="F350" s="23" t="s">
        <v>425</v>
      </c>
      <c r="G350" s="101" t="s">
        <v>1505</v>
      </c>
      <c r="H350" s="24" t="s">
        <v>923</v>
      </c>
      <c r="I350" s="23">
        <v>1</v>
      </c>
      <c r="J350" s="24" t="s">
        <v>39</v>
      </c>
      <c r="K350" s="103">
        <v>15042</v>
      </c>
      <c r="L350" s="35">
        <f t="shared" si="37"/>
        <v>15042</v>
      </c>
      <c r="M350" s="173">
        <f t="shared" si="35"/>
        <v>1.5042E-3</v>
      </c>
      <c r="N350" s="149">
        <v>1.9159999999999999</v>
      </c>
      <c r="O350" s="152">
        <f t="shared" si="38"/>
        <v>28820.471999999998</v>
      </c>
      <c r="P350" s="149">
        <v>299.57002679425767</v>
      </c>
      <c r="Q350" s="152">
        <f t="shared" si="34"/>
        <v>4506132.3430392239</v>
      </c>
      <c r="R350" s="133">
        <f t="shared" si="36"/>
        <v>0.45061323430392242</v>
      </c>
      <c r="S350" s="23" t="s">
        <v>1494</v>
      </c>
      <c r="T350" s="24" t="s">
        <v>1478</v>
      </c>
      <c r="AA350"/>
    </row>
    <row r="351" spans="1:27" ht="12.75" x14ac:dyDescent="0.2">
      <c r="A351" s="24" t="s">
        <v>1502</v>
      </c>
      <c r="B351" s="174">
        <v>44652</v>
      </c>
      <c r="C351" s="23" t="s">
        <v>386</v>
      </c>
      <c r="D351" s="106">
        <v>5500183</v>
      </c>
      <c r="E351" s="24" t="s">
        <v>78</v>
      </c>
      <c r="F351" s="23" t="s">
        <v>425</v>
      </c>
      <c r="G351" s="101" t="s">
        <v>1505</v>
      </c>
      <c r="H351" s="24" t="s">
        <v>924</v>
      </c>
      <c r="I351" s="23">
        <v>1</v>
      </c>
      <c r="J351" s="24" t="s">
        <v>39</v>
      </c>
      <c r="K351" s="103">
        <v>57360</v>
      </c>
      <c r="L351" s="35">
        <f t="shared" si="37"/>
        <v>57360</v>
      </c>
      <c r="M351" s="173">
        <f t="shared" si="35"/>
        <v>5.7359999999999998E-3</v>
      </c>
      <c r="N351" s="149">
        <v>1.92</v>
      </c>
      <c r="O351" s="152">
        <f t="shared" si="38"/>
        <v>110131.2</v>
      </c>
      <c r="P351" s="149">
        <v>98.999988131204162</v>
      </c>
      <c r="Q351" s="152">
        <f t="shared" si="34"/>
        <v>5678639.3192058709</v>
      </c>
      <c r="R351" s="133">
        <f t="shared" si="36"/>
        <v>0.56786393192058704</v>
      </c>
      <c r="S351" s="23" t="s">
        <v>1494</v>
      </c>
      <c r="T351" s="24" t="s">
        <v>1478</v>
      </c>
      <c r="AA351"/>
    </row>
    <row r="352" spans="1:27" ht="12.75" x14ac:dyDescent="0.2">
      <c r="A352" s="24" t="s">
        <v>1502</v>
      </c>
      <c r="B352" s="174">
        <v>44652</v>
      </c>
      <c r="C352" s="23" t="s">
        <v>386</v>
      </c>
      <c r="D352" s="106">
        <v>5501350</v>
      </c>
      <c r="E352" s="24" t="s">
        <v>250</v>
      </c>
      <c r="F352" s="23" t="s">
        <v>425</v>
      </c>
      <c r="G352" s="101" t="s">
        <v>1505</v>
      </c>
      <c r="H352" s="24" t="s">
        <v>927</v>
      </c>
      <c r="I352" s="23">
        <v>1</v>
      </c>
      <c r="J352" s="24" t="s">
        <v>39</v>
      </c>
      <c r="K352" s="103">
        <v>25740</v>
      </c>
      <c r="L352" s="35">
        <f t="shared" si="37"/>
        <v>25740</v>
      </c>
      <c r="M352" s="173">
        <f t="shared" si="35"/>
        <v>2.5739999999999999E-3</v>
      </c>
      <c r="N352" s="149">
        <v>2.36</v>
      </c>
      <c r="O352" s="152">
        <f t="shared" si="38"/>
        <v>60746.399999999994</v>
      </c>
      <c r="P352" s="149">
        <v>27.639974489795922</v>
      </c>
      <c r="Q352" s="152">
        <f t="shared" si="34"/>
        <v>711452.943367347</v>
      </c>
      <c r="R352" s="133">
        <f t="shared" si="36"/>
        <v>7.1145294336734707E-2</v>
      </c>
      <c r="S352" s="23" t="s">
        <v>1494</v>
      </c>
      <c r="T352" s="24" t="s">
        <v>1478</v>
      </c>
      <c r="AA352"/>
    </row>
    <row r="353" spans="1:27" ht="12.75" x14ac:dyDescent="0.2">
      <c r="A353" s="24" t="s">
        <v>1502</v>
      </c>
      <c r="B353" s="174">
        <v>44652</v>
      </c>
      <c r="C353" s="23" t="s">
        <v>386</v>
      </c>
      <c r="D353" s="106">
        <v>5005022</v>
      </c>
      <c r="E353" s="24" t="s">
        <v>758</v>
      </c>
      <c r="F353" s="23" t="s">
        <v>424</v>
      </c>
      <c r="G353" s="101" t="s">
        <v>1505</v>
      </c>
      <c r="H353" s="24" t="s">
        <v>930</v>
      </c>
      <c r="I353" s="23">
        <v>1</v>
      </c>
      <c r="J353" s="24" t="s">
        <v>39</v>
      </c>
      <c r="K353" s="103">
        <v>4490</v>
      </c>
      <c r="L353" s="35">
        <f t="shared" si="37"/>
        <v>4490</v>
      </c>
      <c r="M353" s="173">
        <f t="shared" si="35"/>
        <v>4.4900000000000002E-4</v>
      </c>
      <c r="N353" s="149">
        <v>1.9159999999999999</v>
      </c>
      <c r="O353" s="152">
        <f t="shared" si="38"/>
        <v>8602.84</v>
      </c>
      <c r="P353" s="149">
        <v>0</v>
      </c>
      <c r="Q353" s="152">
        <f t="shared" si="34"/>
        <v>0</v>
      </c>
      <c r="R353" s="133">
        <f t="shared" si="36"/>
        <v>0</v>
      </c>
      <c r="S353" s="23" t="s">
        <v>1494</v>
      </c>
      <c r="T353" s="24" t="s">
        <v>1478</v>
      </c>
      <c r="AA353"/>
    </row>
    <row r="354" spans="1:27" ht="12.75" x14ac:dyDescent="0.2">
      <c r="A354" s="24" t="s">
        <v>1502</v>
      </c>
      <c r="B354" s="174">
        <v>44652</v>
      </c>
      <c r="C354" s="23" t="s">
        <v>386</v>
      </c>
      <c r="D354" s="106">
        <v>5005071</v>
      </c>
      <c r="E354" s="24" t="s">
        <v>759</v>
      </c>
      <c r="F354" s="23" t="s">
        <v>424</v>
      </c>
      <c r="G354" s="101" t="s">
        <v>1505</v>
      </c>
      <c r="H354" s="24" t="s">
        <v>384</v>
      </c>
      <c r="I354" s="23">
        <v>1</v>
      </c>
      <c r="J354" s="24" t="s">
        <v>39</v>
      </c>
      <c r="K354" s="103">
        <v>4840</v>
      </c>
      <c r="L354" s="35">
        <f t="shared" si="37"/>
        <v>4840</v>
      </c>
      <c r="M354" s="173">
        <f t="shared" si="35"/>
        <v>4.84E-4</v>
      </c>
      <c r="N354" s="149">
        <v>1.9159999999999999</v>
      </c>
      <c r="O354" s="152">
        <f t="shared" si="38"/>
        <v>9273.44</v>
      </c>
      <c r="P354" s="149">
        <v>0</v>
      </c>
      <c r="Q354" s="152">
        <f t="shared" si="34"/>
        <v>0</v>
      </c>
      <c r="R354" s="133">
        <f t="shared" si="36"/>
        <v>0</v>
      </c>
      <c r="S354" s="23" t="s">
        <v>1494</v>
      </c>
      <c r="T354" s="24" t="s">
        <v>1478</v>
      </c>
      <c r="AA354"/>
    </row>
    <row r="355" spans="1:27" ht="12.75" x14ac:dyDescent="0.2">
      <c r="A355" s="24" t="s">
        <v>1502</v>
      </c>
      <c r="B355" s="174">
        <v>44652</v>
      </c>
      <c r="C355" s="23" t="s">
        <v>386</v>
      </c>
      <c r="D355" s="106">
        <v>5500125</v>
      </c>
      <c r="E355" s="24" t="s">
        <v>760</v>
      </c>
      <c r="F355" s="23" t="s">
        <v>425</v>
      </c>
      <c r="G355" s="101" t="s">
        <v>1505</v>
      </c>
      <c r="H355" s="24" t="s">
        <v>931</v>
      </c>
      <c r="I355" s="23">
        <v>1</v>
      </c>
      <c r="J355" s="24" t="s">
        <v>39</v>
      </c>
      <c r="K355" s="103">
        <v>31656</v>
      </c>
      <c r="L355" s="35">
        <f t="shared" si="37"/>
        <v>31656</v>
      </c>
      <c r="M355" s="173">
        <f t="shared" si="35"/>
        <v>3.1656000000000002E-3</v>
      </c>
      <c r="N355" s="149">
        <v>1.92</v>
      </c>
      <c r="O355" s="152">
        <f t="shared" si="38"/>
        <v>60779.519999999997</v>
      </c>
      <c r="P355" s="149">
        <v>129.81045679222808</v>
      </c>
      <c r="Q355" s="152">
        <f t="shared" si="34"/>
        <v>4109279.8202147721</v>
      </c>
      <c r="R355" s="133">
        <f t="shared" si="36"/>
        <v>0.41092798202147723</v>
      </c>
      <c r="S355" s="23" t="s">
        <v>1494</v>
      </c>
      <c r="T355" s="24" t="s">
        <v>1478</v>
      </c>
      <c r="AA355"/>
    </row>
    <row r="356" spans="1:27" ht="12.75" x14ac:dyDescent="0.2">
      <c r="A356" s="24" t="s">
        <v>1502</v>
      </c>
      <c r="B356" s="174">
        <v>44652</v>
      </c>
      <c r="C356" s="23" t="s">
        <v>386</v>
      </c>
      <c r="D356" s="106">
        <v>5501350</v>
      </c>
      <c r="E356" s="24" t="s">
        <v>250</v>
      </c>
      <c r="F356" s="23" t="s">
        <v>425</v>
      </c>
      <c r="G356" s="101" t="s">
        <v>1505</v>
      </c>
      <c r="H356" s="24" t="s">
        <v>933</v>
      </c>
      <c r="I356" s="23">
        <v>1</v>
      </c>
      <c r="J356" s="24" t="s">
        <v>39</v>
      </c>
      <c r="K356" s="103">
        <v>25960</v>
      </c>
      <c r="L356" s="35">
        <f t="shared" si="37"/>
        <v>25960</v>
      </c>
      <c r="M356" s="173">
        <f t="shared" si="35"/>
        <v>2.5959999999999998E-3</v>
      </c>
      <c r="N356" s="149">
        <v>2.36</v>
      </c>
      <c r="O356" s="152">
        <f t="shared" si="38"/>
        <v>61265.599999999999</v>
      </c>
      <c r="P356" s="149">
        <v>27.639974489795922</v>
      </c>
      <c r="Q356" s="152">
        <f t="shared" si="34"/>
        <v>717533.73775510211</v>
      </c>
      <c r="R356" s="133">
        <f t="shared" si="36"/>
        <v>7.1753373775510207E-2</v>
      </c>
      <c r="S356" s="23" t="s">
        <v>1494</v>
      </c>
      <c r="T356" s="24" t="s">
        <v>1478</v>
      </c>
      <c r="AA356"/>
    </row>
    <row r="357" spans="1:27" ht="12.75" x14ac:dyDescent="0.2">
      <c r="A357" s="24" t="s">
        <v>1502</v>
      </c>
      <c r="B357" s="174">
        <v>44652</v>
      </c>
      <c r="C357" s="23" t="s">
        <v>386</v>
      </c>
      <c r="D357" s="106">
        <v>5000688</v>
      </c>
      <c r="E357" s="24" t="s">
        <v>761</v>
      </c>
      <c r="F357" s="23" t="s">
        <v>424</v>
      </c>
      <c r="G357" s="101" t="s">
        <v>1505</v>
      </c>
      <c r="H357" s="24" t="s">
        <v>936</v>
      </c>
      <c r="I357" s="23">
        <v>1</v>
      </c>
      <c r="J357" s="24" t="s">
        <v>39</v>
      </c>
      <c r="K357" s="103">
        <v>31080</v>
      </c>
      <c r="L357" s="35">
        <f t="shared" si="37"/>
        <v>31080</v>
      </c>
      <c r="M357" s="173">
        <f t="shared" si="35"/>
        <v>3.1080000000000001E-3</v>
      </c>
      <c r="N357" s="149">
        <v>1.92</v>
      </c>
      <c r="O357" s="152">
        <f t="shared" si="38"/>
        <v>59673.599999999999</v>
      </c>
      <c r="P357" s="149">
        <v>170.44253333333333</v>
      </c>
      <c r="Q357" s="152">
        <f t="shared" si="34"/>
        <v>5297353.9359999998</v>
      </c>
      <c r="R357" s="133">
        <f t="shared" si="36"/>
        <v>0.52973539359999999</v>
      </c>
      <c r="S357" s="23" t="s">
        <v>1494</v>
      </c>
      <c r="T357" s="24" t="s">
        <v>1478</v>
      </c>
      <c r="AA357"/>
    </row>
    <row r="358" spans="1:27" ht="12.75" x14ac:dyDescent="0.2">
      <c r="A358" s="24" t="s">
        <v>1502</v>
      </c>
      <c r="B358" s="174">
        <v>44652</v>
      </c>
      <c r="C358" s="23" t="s">
        <v>386</v>
      </c>
      <c r="D358" s="106">
        <v>5500850</v>
      </c>
      <c r="E358" s="24" t="s">
        <v>762</v>
      </c>
      <c r="F358" s="23" t="s">
        <v>425</v>
      </c>
      <c r="G358" s="101" t="s">
        <v>1505</v>
      </c>
      <c r="H358" s="24" t="s">
        <v>941</v>
      </c>
      <c r="I358" s="23">
        <v>1</v>
      </c>
      <c r="J358" s="24" t="s">
        <v>39</v>
      </c>
      <c r="K358" s="103">
        <v>27882</v>
      </c>
      <c r="L358" s="35">
        <f t="shared" si="37"/>
        <v>27882</v>
      </c>
      <c r="M358" s="173">
        <f t="shared" si="35"/>
        <v>2.7881999999999998E-3</v>
      </c>
      <c r="N358" s="149">
        <v>1.9159999999999999</v>
      </c>
      <c r="O358" s="152">
        <f t="shared" si="38"/>
        <v>53421.911999999997</v>
      </c>
      <c r="P358" s="149">
        <v>183.76807102069998</v>
      </c>
      <c r="Q358" s="152">
        <f t="shared" si="34"/>
        <v>5123821.3561991565</v>
      </c>
      <c r="R358" s="133">
        <f t="shared" si="36"/>
        <v>0.51238213561991564</v>
      </c>
      <c r="S358" s="23" t="s">
        <v>1494</v>
      </c>
      <c r="T358" s="24" t="s">
        <v>1478</v>
      </c>
      <c r="AA358"/>
    </row>
    <row r="359" spans="1:27" ht="12.75" x14ac:dyDescent="0.2">
      <c r="A359" s="24" t="s">
        <v>1502</v>
      </c>
      <c r="B359" s="174">
        <v>44652</v>
      </c>
      <c r="C359" s="23" t="s">
        <v>386</v>
      </c>
      <c r="D359" s="106">
        <v>5501350</v>
      </c>
      <c r="E359" s="24" t="s">
        <v>250</v>
      </c>
      <c r="F359" s="23" t="s">
        <v>425</v>
      </c>
      <c r="G359" s="101" t="s">
        <v>1505</v>
      </c>
      <c r="H359" s="24" t="s">
        <v>943</v>
      </c>
      <c r="I359" s="23">
        <v>1</v>
      </c>
      <c r="J359" s="24" t="s">
        <v>39</v>
      </c>
      <c r="K359" s="103">
        <v>25950</v>
      </c>
      <c r="L359" s="35">
        <f t="shared" si="37"/>
        <v>25950</v>
      </c>
      <c r="M359" s="173">
        <f t="shared" si="35"/>
        <v>2.5950000000000001E-3</v>
      </c>
      <c r="N359" s="149">
        <v>2.36</v>
      </c>
      <c r="O359" s="152">
        <f t="shared" si="38"/>
        <v>61242</v>
      </c>
      <c r="P359" s="149">
        <v>27.639974489795922</v>
      </c>
      <c r="Q359" s="152">
        <f t="shared" si="34"/>
        <v>717257.33801020414</v>
      </c>
      <c r="R359" s="133">
        <f t="shared" si="36"/>
        <v>7.1725733801020417E-2</v>
      </c>
      <c r="S359" s="23" t="s">
        <v>1494</v>
      </c>
      <c r="T359" s="24" t="s">
        <v>1478</v>
      </c>
      <c r="AA359"/>
    </row>
    <row r="360" spans="1:27" ht="12.75" x14ac:dyDescent="0.2">
      <c r="A360" s="24" t="s">
        <v>1502</v>
      </c>
      <c r="B360" s="174">
        <v>44652</v>
      </c>
      <c r="C360" s="23" t="s">
        <v>386</v>
      </c>
      <c r="D360" s="106">
        <v>5500141</v>
      </c>
      <c r="E360" s="24" t="s">
        <v>383</v>
      </c>
      <c r="F360" s="23" t="s">
        <v>425</v>
      </c>
      <c r="G360" s="101" t="s">
        <v>1505</v>
      </c>
      <c r="H360" s="24" t="s">
        <v>930</v>
      </c>
      <c r="I360" s="23">
        <v>1</v>
      </c>
      <c r="J360" s="24" t="s">
        <v>39</v>
      </c>
      <c r="K360" s="103">
        <v>10541</v>
      </c>
      <c r="L360" s="35">
        <f t="shared" si="37"/>
        <v>10541</v>
      </c>
      <c r="M360" s="173">
        <f t="shared" si="35"/>
        <v>1.0541000000000001E-3</v>
      </c>
      <c r="N360" s="149">
        <v>1.9159999999999999</v>
      </c>
      <c r="O360" s="152">
        <f t="shared" si="38"/>
        <v>20196.556</v>
      </c>
      <c r="P360" s="149">
        <v>216.64016705069125</v>
      </c>
      <c r="Q360" s="152">
        <f t="shared" si="34"/>
        <v>2283604.0008813366</v>
      </c>
      <c r="R360" s="133">
        <f t="shared" si="36"/>
        <v>0.22836040008813366</v>
      </c>
      <c r="S360" s="23" t="s">
        <v>1494</v>
      </c>
      <c r="T360" s="24" t="s">
        <v>1478</v>
      </c>
      <c r="AA360"/>
    </row>
    <row r="361" spans="1:27" ht="12.75" x14ac:dyDescent="0.2">
      <c r="A361" s="24" t="s">
        <v>1502</v>
      </c>
      <c r="B361" s="174">
        <v>44652</v>
      </c>
      <c r="C361" s="23" t="s">
        <v>386</v>
      </c>
      <c r="D361" s="106">
        <v>5501350</v>
      </c>
      <c r="E361" s="24" t="s">
        <v>250</v>
      </c>
      <c r="F361" s="23" t="s">
        <v>425</v>
      </c>
      <c r="G361" s="101" t="s">
        <v>1505</v>
      </c>
      <c r="H361" s="24" t="s">
        <v>952</v>
      </c>
      <c r="I361" s="23">
        <v>1</v>
      </c>
      <c r="J361" s="24" t="s">
        <v>39</v>
      </c>
      <c r="K361" s="103">
        <v>25900</v>
      </c>
      <c r="L361" s="35">
        <f t="shared" si="37"/>
        <v>25900</v>
      </c>
      <c r="M361" s="173">
        <f t="shared" si="35"/>
        <v>2.5899999999999999E-3</v>
      </c>
      <c r="N361" s="149">
        <v>2.36</v>
      </c>
      <c r="O361" s="152">
        <f t="shared" si="38"/>
        <v>61124</v>
      </c>
      <c r="P361" s="149">
        <v>27.639974489795922</v>
      </c>
      <c r="Q361" s="152">
        <f t="shared" si="34"/>
        <v>715875.33928571432</v>
      </c>
      <c r="R361" s="133">
        <f t="shared" si="36"/>
        <v>7.1587533928571437E-2</v>
      </c>
      <c r="S361" s="23" t="s">
        <v>1494</v>
      </c>
      <c r="T361" s="24" t="s">
        <v>1478</v>
      </c>
      <c r="AA361"/>
    </row>
    <row r="362" spans="1:27" ht="12.75" x14ac:dyDescent="0.2">
      <c r="A362" s="24" t="s">
        <v>1502</v>
      </c>
      <c r="B362" s="174">
        <v>44652</v>
      </c>
      <c r="C362" s="23" t="s">
        <v>386</v>
      </c>
      <c r="D362" s="106">
        <v>5003541</v>
      </c>
      <c r="E362" s="24" t="s">
        <v>747</v>
      </c>
      <c r="F362" s="23" t="s">
        <v>424</v>
      </c>
      <c r="G362" s="101" t="s">
        <v>1505</v>
      </c>
      <c r="H362" s="24" t="s">
        <v>953</v>
      </c>
      <c r="I362" s="23">
        <v>1</v>
      </c>
      <c r="J362" s="24" t="s">
        <v>39</v>
      </c>
      <c r="K362" s="103">
        <v>48420</v>
      </c>
      <c r="L362" s="35">
        <f t="shared" si="37"/>
        <v>48420</v>
      </c>
      <c r="M362" s="173">
        <f t="shared" si="35"/>
        <v>4.8419999999999999E-3</v>
      </c>
      <c r="N362" s="149">
        <v>2.36</v>
      </c>
      <c r="O362" s="152">
        <f t="shared" si="38"/>
        <v>114271.2</v>
      </c>
      <c r="P362" s="149">
        <v>108.02499999999999</v>
      </c>
      <c r="Q362" s="152">
        <f t="shared" si="34"/>
        <v>5230570.5</v>
      </c>
      <c r="R362" s="133">
        <f t="shared" si="36"/>
        <v>0.52305705000000002</v>
      </c>
      <c r="S362" s="23" t="s">
        <v>1494</v>
      </c>
      <c r="T362" s="24" t="s">
        <v>1478</v>
      </c>
      <c r="AA362"/>
    </row>
    <row r="363" spans="1:27" ht="12.75" x14ac:dyDescent="0.2">
      <c r="A363" s="24" t="s">
        <v>1502</v>
      </c>
      <c r="B363" s="174">
        <v>44652</v>
      </c>
      <c r="C363" s="23" t="s">
        <v>386</v>
      </c>
      <c r="D363" s="106">
        <v>5500483</v>
      </c>
      <c r="E363" s="24" t="s">
        <v>376</v>
      </c>
      <c r="F363" s="23" t="s">
        <v>425</v>
      </c>
      <c r="G363" s="101" t="s">
        <v>1505</v>
      </c>
      <c r="H363" s="24" t="s">
        <v>955</v>
      </c>
      <c r="I363" s="23">
        <v>1</v>
      </c>
      <c r="J363" s="24" t="s">
        <v>39</v>
      </c>
      <c r="K363" s="103">
        <v>37458</v>
      </c>
      <c r="L363" s="35">
        <f t="shared" si="37"/>
        <v>37458</v>
      </c>
      <c r="M363" s="173">
        <f t="shared" si="35"/>
        <v>3.7458000000000001E-3</v>
      </c>
      <c r="N363" s="149">
        <v>1.9159999999999999</v>
      </c>
      <c r="O363" s="152">
        <f t="shared" si="38"/>
        <v>71769.527999999991</v>
      </c>
      <c r="P363" s="149">
        <v>124.06992622757252</v>
      </c>
      <c r="Q363" s="152">
        <f t="shared" si="34"/>
        <v>4647411.2966324119</v>
      </c>
      <c r="R363" s="133">
        <f t="shared" si="36"/>
        <v>0.46474112966324121</v>
      </c>
      <c r="S363" s="23" t="s">
        <v>1494</v>
      </c>
      <c r="T363" s="24" t="s">
        <v>1478</v>
      </c>
      <c r="AA363"/>
    </row>
    <row r="364" spans="1:27" ht="12.75" x14ac:dyDescent="0.2">
      <c r="A364" s="24" t="s">
        <v>1502</v>
      </c>
      <c r="B364" s="174">
        <v>44652</v>
      </c>
      <c r="C364" s="23" t="s">
        <v>386</v>
      </c>
      <c r="D364" s="106">
        <v>5501350</v>
      </c>
      <c r="E364" s="24" t="s">
        <v>250</v>
      </c>
      <c r="F364" s="23" t="s">
        <v>425</v>
      </c>
      <c r="G364" s="101" t="s">
        <v>1505</v>
      </c>
      <c r="H364" s="24" t="s">
        <v>956</v>
      </c>
      <c r="I364" s="23">
        <v>1</v>
      </c>
      <c r="J364" s="24" t="s">
        <v>39</v>
      </c>
      <c r="K364" s="103">
        <v>25730</v>
      </c>
      <c r="L364" s="35">
        <f t="shared" si="37"/>
        <v>25730</v>
      </c>
      <c r="M364" s="173">
        <f t="shared" si="35"/>
        <v>2.5730000000000002E-3</v>
      </c>
      <c r="N364" s="149">
        <v>2.36</v>
      </c>
      <c r="O364" s="152">
        <f t="shared" si="38"/>
        <v>60722.799999999996</v>
      </c>
      <c r="P364" s="149">
        <v>27.639974489795922</v>
      </c>
      <c r="Q364" s="152">
        <f t="shared" si="34"/>
        <v>711176.54362244904</v>
      </c>
      <c r="R364" s="133">
        <f t="shared" si="36"/>
        <v>7.1117654362244903E-2</v>
      </c>
      <c r="S364" s="23" t="s">
        <v>1494</v>
      </c>
      <c r="T364" s="24" t="s">
        <v>1478</v>
      </c>
      <c r="AA364"/>
    </row>
    <row r="365" spans="1:27" ht="12.75" x14ac:dyDescent="0.2">
      <c r="A365" s="24" t="s">
        <v>1502</v>
      </c>
      <c r="B365" s="174">
        <v>44652</v>
      </c>
      <c r="C365" s="23" t="s">
        <v>386</v>
      </c>
      <c r="D365" s="106">
        <v>5500220</v>
      </c>
      <c r="E365" s="24" t="s">
        <v>236</v>
      </c>
      <c r="F365" s="23" t="s">
        <v>425</v>
      </c>
      <c r="G365" s="34" t="s">
        <v>1503</v>
      </c>
      <c r="H365" s="24" t="s">
        <v>854</v>
      </c>
      <c r="I365" s="23">
        <v>1</v>
      </c>
      <c r="J365" s="24" t="s">
        <v>34</v>
      </c>
      <c r="K365" s="103">
        <v>4955</v>
      </c>
      <c r="L365" s="35">
        <f t="shared" ref="L365:L371" si="39">K365*I365</f>
        <v>4955</v>
      </c>
      <c r="M365" s="173">
        <f t="shared" si="35"/>
        <v>4.9549999999999996E-4</v>
      </c>
      <c r="N365" s="149">
        <v>2.8653061224489798</v>
      </c>
      <c r="O365" s="152">
        <f t="shared" ref="O365:O367" si="40">+K365*N365</f>
        <v>14197.591836734695</v>
      </c>
      <c r="P365" s="149">
        <v>217.83012195121955</v>
      </c>
      <c r="Q365" s="152">
        <f t="shared" si="34"/>
        <v>1079348.2542682928</v>
      </c>
      <c r="R365" s="133">
        <f t="shared" si="36"/>
        <v>0.10793482542682928</v>
      </c>
      <c r="S365" s="23" t="s">
        <v>1494</v>
      </c>
      <c r="T365" s="24" t="s">
        <v>1478</v>
      </c>
      <c r="AA365"/>
    </row>
    <row r="366" spans="1:27" ht="12.75" x14ac:dyDescent="0.2">
      <c r="A366" s="24" t="s">
        <v>1502</v>
      </c>
      <c r="B366" s="174">
        <v>44652</v>
      </c>
      <c r="C366" s="23" t="s">
        <v>386</v>
      </c>
      <c r="D366" s="106">
        <v>5500220</v>
      </c>
      <c r="E366" s="24" t="s">
        <v>236</v>
      </c>
      <c r="F366" s="23" t="s">
        <v>425</v>
      </c>
      <c r="G366" s="34" t="s">
        <v>1503</v>
      </c>
      <c r="H366" s="24" t="s">
        <v>855</v>
      </c>
      <c r="I366" s="23">
        <v>1</v>
      </c>
      <c r="J366" s="24" t="s">
        <v>34</v>
      </c>
      <c r="K366" s="103">
        <v>4933</v>
      </c>
      <c r="L366" s="35">
        <f t="shared" si="39"/>
        <v>4933</v>
      </c>
      <c r="M366" s="173">
        <f t="shared" si="35"/>
        <v>4.9330000000000001E-4</v>
      </c>
      <c r="N366" s="149">
        <v>2.8653061224489798</v>
      </c>
      <c r="O366" s="152">
        <f t="shared" si="40"/>
        <v>14134.555102040817</v>
      </c>
      <c r="P366" s="149">
        <v>217.83012195121955</v>
      </c>
      <c r="Q366" s="152">
        <f t="shared" si="34"/>
        <v>1074555.991585366</v>
      </c>
      <c r="R366" s="133">
        <f t="shared" si="36"/>
        <v>0.1074555991585366</v>
      </c>
      <c r="S366" s="23" t="s">
        <v>1494</v>
      </c>
      <c r="T366" s="24" t="s">
        <v>1478</v>
      </c>
      <c r="AA366"/>
    </row>
    <row r="367" spans="1:27" ht="12.75" x14ac:dyDescent="0.2">
      <c r="A367" s="24" t="s">
        <v>1502</v>
      </c>
      <c r="B367" s="174">
        <v>44652</v>
      </c>
      <c r="C367" s="23" t="s">
        <v>386</v>
      </c>
      <c r="D367" s="106">
        <v>5500220</v>
      </c>
      <c r="E367" s="24" t="s">
        <v>236</v>
      </c>
      <c r="F367" s="23" t="s">
        <v>425</v>
      </c>
      <c r="G367" s="34" t="s">
        <v>1503</v>
      </c>
      <c r="H367" s="24" t="s">
        <v>865</v>
      </c>
      <c r="I367" s="23">
        <v>1</v>
      </c>
      <c r="J367" s="24" t="s">
        <v>34</v>
      </c>
      <c r="K367" s="103">
        <v>4905</v>
      </c>
      <c r="L367" s="35">
        <f t="shared" si="39"/>
        <v>4905</v>
      </c>
      <c r="M367" s="173">
        <f t="shared" si="35"/>
        <v>4.9050000000000005E-4</v>
      </c>
      <c r="N367" s="149">
        <v>2.8653061224489798</v>
      </c>
      <c r="O367" s="152">
        <f t="shared" si="40"/>
        <v>14054.326530612245</v>
      </c>
      <c r="P367" s="149">
        <v>217.83012195121955</v>
      </c>
      <c r="Q367" s="152">
        <f t="shared" si="34"/>
        <v>1068456.7481707318</v>
      </c>
      <c r="R367" s="133">
        <f t="shared" si="36"/>
        <v>0.10684567481707319</v>
      </c>
      <c r="S367" s="23" t="s">
        <v>1494</v>
      </c>
      <c r="T367" s="24" t="s">
        <v>1478</v>
      </c>
      <c r="AA367"/>
    </row>
    <row r="368" spans="1:27" ht="12.75" x14ac:dyDescent="0.2">
      <c r="A368" s="24" t="s">
        <v>1502</v>
      </c>
      <c r="B368" s="174">
        <v>44652</v>
      </c>
      <c r="C368" s="23" t="s">
        <v>386</v>
      </c>
      <c r="D368" s="106">
        <v>5000247</v>
      </c>
      <c r="E368" s="24" t="s">
        <v>310</v>
      </c>
      <c r="F368" s="23" t="s">
        <v>424</v>
      </c>
      <c r="G368" s="100" t="s">
        <v>185</v>
      </c>
      <c r="H368" s="24" t="s">
        <v>778</v>
      </c>
      <c r="I368" s="23">
        <v>1</v>
      </c>
      <c r="J368" s="24" t="s">
        <v>1</v>
      </c>
      <c r="K368" s="103">
        <v>551950</v>
      </c>
      <c r="L368" s="35">
        <f t="shared" si="39"/>
        <v>551950</v>
      </c>
      <c r="M368" s="173">
        <f t="shared" si="35"/>
        <v>5.5195000000000001E-2</v>
      </c>
      <c r="N368" s="149">
        <v>0.62059989780275926</v>
      </c>
      <c r="O368" s="152">
        <f t="shared" ref="O368:O369" si="41">+K368*N368</f>
        <v>342540.11359223298</v>
      </c>
      <c r="P368" s="149">
        <v>6.378570571428571</v>
      </c>
      <c r="Q368" s="152">
        <f t="shared" si="34"/>
        <v>3520652.0268999999</v>
      </c>
      <c r="R368" s="133">
        <f t="shared" si="36"/>
        <v>0.35206520268999997</v>
      </c>
      <c r="S368" s="23" t="s">
        <v>1494</v>
      </c>
      <c r="T368" s="24" t="s">
        <v>1478</v>
      </c>
      <c r="AA368"/>
    </row>
    <row r="369" spans="1:27" ht="12.75" x14ac:dyDescent="0.2">
      <c r="A369" s="24" t="s">
        <v>1502</v>
      </c>
      <c r="B369" s="174">
        <v>44652</v>
      </c>
      <c r="C369" s="23" t="s">
        <v>386</v>
      </c>
      <c r="D369" s="106">
        <v>5004565</v>
      </c>
      <c r="E369" s="24" t="s">
        <v>756</v>
      </c>
      <c r="F369" s="23" t="s">
        <v>424</v>
      </c>
      <c r="G369" s="100" t="s">
        <v>185</v>
      </c>
      <c r="H369" s="24" t="s">
        <v>921</v>
      </c>
      <c r="I369" s="23">
        <v>1</v>
      </c>
      <c r="J369" s="24" t="s">
        <v>1</v>
      </c>
      <c r="K369" s="103">
        <v>78477</v>
      </c>
      <c r="L369" s="35">
        <f t="shared" si="39"/>
        <v>78477</v>
      </c>
      <c r="M369" s="173">
        <f t="shared" si="35"/>
        <v>7.8477000000000009E-3</v>
      </c>
      <c r="N369" s="149">
        <v>0.633946132164109</v>
      </c>
      <c r="O369" s="152">
        <f t="shared" si="41"/>
        <v>49750.19061384278</v>
      </c>
      <c r="P369" s="149">
        <v>7.1428622908622907</v>
      </c>
      <c r="Q369" s="152">
        <f t="shared" si="34"/>
        <v>560550.40399999998</v>
      </c>
      <c r="R369" s="133">
        <f t="shared" si="36"/>
        <v>5.6055040399999999E-2</v>
      </c>
      <c r="S369" s="23" t="s">
        <v>1494</v>
      </c>
      <c r="T369" s="24" t="s">
        <v>1478</v>
      </c>
      <c r="AA369"/>
    </row>
    <row r="370" spans="1:27" ht="12.75" x14ac:dyDescent="0.2">
      <c r="A370" s="24" t="s">
        <v>1502</v>
      </c>
      <c r="B370" s="174">
        <v>44652</v>
      </c>
      <c r="C370" s="23" t="s">
        <v>386</v>
      </c>
      <c r="D370" s="106">
        <v>5500133</v>
      </c>
      <c r="E370" s="24" t="s">
        <v>233</v>
      </c>
      <c r="F370" s="23" t="s">
        <v>425</v>
      </c>
      <c r="G370" s="34" t="s">
        <v>1503</v>
      </c>
      <c r="H370" s="24" t="s">
        <v>864</v>
      </c>
      <c r="I370" s="23">
        <v>1</v>
      </c>
      <c r="J370" s="24" t="s">
        <v>34</v>
      </c>
      <c r="K370" s="103">
        <v>8246</v>
      </c>
      <c r="L370" s="35">
        <f t="shared" si="39"/>
        <v>8246</v>
      </c>
      <c r="M370" s="173">
        <f t="shared" si="35"/>
        <v>8.2459999999999999E-4</v>
      </c>
      <c r="N370" s="149">
        <v>2.3229925443482733</v>
      </c>
      <c r="O370" s="152">
        <f t="shared" ref="O370:O371" si="42">+K370*N370</f>
        <v>19155.39652069586</v>
      </c>
      <c r="P370" s="149">
        <v>253.21934782608696</v>
      </c>
      <c r="Q370" s="152">
        <f t="shared" si="34"/>
        <v>2088046.7421739132</v>
      </c>
      <c r="R370" s="133">
        <f t="shared" si="36"/>
        <v>0.20880467421739132</v>
      </c>
      <c r="S370" s="23" t="s">
        <v>1494</v>
      </c>
      <c r="T370" s="24" t="s">
        <v>1478</v>
      </c>
      <c r="AA370"/>
    </row>
    <row r="371" spans="1:27" ht="12.75" x14ac:dyDescent="0.2">
      <c r="A371" s="24" t="s">
        <v>1502</v>
      </c>
      <c r="B371" s="174">
        <v>44652</v>
      </c>
      <c r="C371" s="23" t="s">
        <v>386</v>
      </c>
      <c r="D371" s="106">
        <v>5500133</v>
      </c>
      <c r="E371" s="24" t="s">
        <v>233</v>
      </c>
      <c r="F371" s="23" t="s">
        <v>425</v>
      </c>
      <c r="G371" s="34" t="s">
        <v>1503</v>
      </c>
      <c r="H371" s="24" t="s">
        <v>871</v>
      </c>
      <c r="I371" s="23">
        <v>1</v>
      </c>
      <c r="J371" s="24" t="s">
        <v>34</v>
      </c>
      <c r="K371" s="103">
        <v>8224</v>
      </c>
      <c r="L371" s="35">
        <f t="shared" si="39"/>
        <v>8224</v>
      </c>
      <c r="M371" s="173">
        <f t="shared" si="35"/>
        <v>8.2240000000000004E-4</v>
      </c>
      <c r="N371" s="149">
        <v>2.3229925443482733</v>
      </c>
      <c r="O371" s="152">
        <f t="shared" si="42"/>
        <v>19104.290684720199</v>
      </c>
      <c r="P371" s="149">
        <v>253.21934782608696</v>
      </c>
      <c r="Q371" s="152">
        <f t="shared" si="34"/>
        <v>2082475.9165217392</v>
      </c>
      <c r="R371" s="133">
        <f t="shared" si="36"/>
        <v>0.20824759165217391</v>
      </c>
      <c r="S371" s="23" t="s">
        <v>1494</v>
      </c>
      <c r="T371" s="24" t="s">
        <v>1478</v>
      </c>
      <c r="AA371"/>
    </row>
    <row r="372" spans="1:27" ht="12.75" x14ac:dyDescent="0.2">
      <c r="A372" s="24" t="s">
        <v>1502</v>
      </c>
      <c r="B372" s="174">
        <v>44652</v>
      </c>
      <c r="C372" s="23" t="s">
        <v>386</v>
      </c>
      <c r="D372" s="106">
        <v>5001968</v>
      </c>
      <c r="E372" s="24" t="s">
        <v>726</v>
      </c>
      <c r="F372" s="23" t="s">
        <v>424</v>
      </c>
      <c r="G372" s="47" t="s">
        <v>264</v>
      </c>
      <c r="H372" s="24" t="s">
        <v>765</v>
      </c>
      <c r="I372" s="23">
        <v>10</v>
      </c>
      <c r="J372" s="24" t="s">
        <v>3</v>
      </c>
      <c r="K372" s="103">
        <v>5300</v>
      </c>
      <c r="L372" s="35">
        <f t="shared" ref="L372:L435" si="43">K372*I372</f>
        <v>53000</v>
      </c>
      <c r="M372" s="173">
        <f t="shared" si="35"/>
        <v>5.3E-3</v>
      </c>
      <c r="N372" s="149">
        <v>0.33200000000000002</v>
      </c>
      <c r="O372" s="152">
        <f t="shared" ref="O372:O435" si="44">+K372*N372</f>
        <v>1759.6000000000001</v>
      </c>
      <c r="P372" s="149">
        <v>0</v>
      </c>
      <c r="Q372" s="152">
        <f t="shared" si="34"/>
        <v>0</v>
      </c>
      <c r="R372" s="133">
        <f t="shared" si="36"/>
        <v>0</v>
      </c>
      <c r="S372" s="23" t="s">
        <v>1494</v>
      </c>
      <c r="T372" s="24" t="s">
        <v>1478</v>
      </c>
      <c r="AA372"/>
    </row>
    <row r="373" spans="1:27" ht="12.75" x14ac:dyDescent="0.2">
      <c r="A373" s="24" t="s">
        <v>1502</v>
      </c>
      <c r="B373" s="174">
        <v>44652</v>
      </c>
      <c r="C373" s="23" t="s">
        <v>386</v>
      </c>
      <c r="D373" s="106">
        <v>5004113</v>
      </c>
      <c r="E373" s="24" t="s">
        <v>727</v>
      </c>
      <c r="F373" s="23" t="s">
        <v>424</v>
      </c>
      <c r="G373" s="47" t="s">
        <v>264</v>
      </c>
      <c r="H373" s="24" t="s">
        <v>767</v>
      </c>
      <c r="I373" s="23">
        <v>10</v>
      </c>
      <c r="J373" s="24" t="s">
        <v>3</v>
      </c>
      <c r="K373" s="103">
        <v>10572</v>
      </c>
      <c r="L373" s="35">
        <f t="shared" si="43"/>
        <v>105720</v>
      </c>
      <c r="M373" s="173">
        <f t="shared" si="35"/>
        <v>1.0572E-2</v>
      </c>
      <c r="N373" s="149">
        <v>0.40052083333333333</v>
      </c>
      <c r="O373" s="152">
        <f t="shared" si="44"/>
        <v>4234.3062499999996</v>
      </c>
      <c r="P373" s="149">
        <v>167.87333333333333</v>
      </c>
      <c r="Q373" s="152">
        <f t="shared" si="34"/>
        <v>1774756.8800000001</v>
      </c>
      <c r="R373" s="133">
        <f t="shared" si="36"/>
        <v>0.17747568800000002</v>
      </c>
      <c r="S373" s="23" t="s">
        <v>1494</v>
      </c>
      <c r="T373" s="24" t="s">
        <v>1478</v>
      </c>
      <c r="AA373"/>
    </row>
    <row r="374" spans="1:27" ht="12.75" x14ac:dyDescent="0.2">
      <c r="A374" s="24" t="s">
        <v>1502</v>
      </c>
      <c r="B374" s="174">
        <v>44652</v>
      </c>
      <c r="C374" s="23" t="s">
        <v>386</v>
      </c>
      <c r="D374" s="106">
        <v>5004113</v>
      </c>
      <c r="E374" s="24" t="s">
        <v>727</v>
      </c>
      <c r="F374" s="23" t="s">
        <v>424</v>
      </c>
      <c r="G374" s="47" t="s">
        <v>264</v>
      </c>
      <c r="H374" s="24" t="s">
        <v>768</v>
      </c>
      <c r="I374" s="23">
        <v>10</v>
      </c>
      <c r="J374" s="24" t="s">
        <v>3</v>
      </c>
      <c r="K374" s="103">
        <v>10623</v>
      </c>
      <c r="L374" s="35">
        <f t="shared" si="43"/>
        <v>106230</v>
      </c>
      <c r="M374" s="173">
        <f t="shared" si="35"/>
        <v>1.0623E-2</v>
      </c>
      <c r="N374" s="149">
        <v>0.40052083333333333</v>
      </c>
      <c r="O374" s="152">
        <f t="shared" si="44"/>
        <v>4254.7328125000004</v>
      </c>
      <c r="P374" s="149">
        <v>167.87333333333333</v>
      </c>
      <c r="Q374" s="152">
        <f t="shared" si="34"/>
        <v>1783318.42</v>
      </c>
      <c r="R374" s="133">
        <f t="shared" si="36"/>
        <v>0.17833184199999999</v>
      </c>
      <c r="S374" s="23" t="s">
        <v>1494</v>
      </c>
      <c r="T374" s="24" t="s">
        <v>1478</v>
      </c>
      <c r="AA374"/>
    </row>
    <row r="375" spans="1:27" ht="12.75" x14ac:dyDescent="0.2">
      <c r="A375" s="24" t="s">
        <v>1502</v>
      </c>
      <c r="B375" s="174">
        <v>44652</v>
      </c>
      <c r="C375" s="23" t="s">
        <v>386</v>
      </c>
      <c r="D375" s="106">
        <v>5500783</v>
      </c>
      <c r="E375" s="24" t="s">
        <v>729</v>
      </c>
      <c r="F375" s="23" t="s">
        <v>425</v>
      </c>
      <c r="G375" s="47" t="s">
        <v>264</v>
      </c>
      <c r="H375" s="24" t="s">
        <v>770</v>
      </c>
      <c r="I375" s="23">
        <v>20</v>
      </c>
      <c r="J375" s="24" t="s">
        <v>3</v>
      </c>
      <c r="K375" s="103">
        <v>98518</v>
      </c>
      <c r="L375" s="35">
        <f t="shared" si="43"/>
        <v>1970360</v>
      </c>
      <c r="M375" s="173">
        <f t="shared" si="35"/>
        <v>0.19703599999999999</v>
      </c>
      <c r="N375" s="149">
        <v>0.44999999999999996</v>
      </c>
      <c r="O375" s="152">
        <f t="shared" si="44"/>
        <v>44333.1</v>
      </c>
      <c r="P375" s="149">
        <v>64.360152993495291</v>
      </c>
      <c r="Q375" s="152">
        <f t="shared" si="34"/>
        <v>6340633.552613169</v>
      </c>
      <c r="R375" s="133">
        <f t="shared" si="36"/>
        <v>0.63406335526131685</v>
      </c>
      <c r="S375" s="23" t="s">
        <v>1494</v>
      </c>
      <c r="T375" s="24" t="s">
        <v>1478</v>
      </c>
      <c r="AA375"/>
    </row>
    <row r="376" spans="1:27" ht="12.75" x14ac:dyDescent="0.2">
      <c r="A376" s="24" t="s">
        <v>1502</v>
      </c>
      <c r="B376" s="174">
        <v>44652</v>
      </c>
      <c r="C376" s="23" t="s">
        <v>386</v>
      </c>
      <c r="D376" s="106">
        <v>5500783</v>
      </c>
      <c r="E376" s="24" t="s">
        <v>729</v>
      </c>
      <c r="F376" s="23" t="s">
        <v>425</v>
      </c>
      <c r="G376" s="47" t="s">
        <v>264</v>
      </c>
      <c r="H376" s="24" t="s">
        <v>771</v>
      </c>
      <c r="I376" s="23">
        <v>20</v>
      </c>
      <c r="J376" s="24" t="s">
        <v>3</v>
      </c>
      <c r="K376" s="103">
        <v>98928</v>
      </c>
      <c r="L376" s="35">
        <f t="shared" si="43"/>
        <v>1978560</v>
      </c>
      <c r="M376" s="173">
        <f t="shared" si="35"/>
        <v>0.197856</v>
      </c>
      <c r="N376" s="149">
        <v>0.44999999999999996</v>
      </c>
      <c r="O376" s="152">
        <f t="shared" si="44"/>
        <v>44517.599999999999</v>
      </c>
      <c r="P376" s="149">
        <v>64.360152993495291</v>
      </c>
      <c r="Q376" s="152">
        <f t="shared" si="34"/>
        <v>6367021.2153405026</v>
      </c>
      <c r="R376" s="133">
        <f t="shared" si="36"/>
        <v>0.63670212153405026</v>
      </c>
      <c r="S376" s="23" t="s">
        <v>1494</v>
      </c>
      <c r="T376" s="24" t="s">
        <v>1478</v>
      </c>
      <c r="AA376"/>
    </row>
    <row r="377" spans="1:27" ht="12.75" x14ac:dyDescent="0.2">
      <c r="A377" s="24" t="s">
        <v>1502</v>
      </c>
      <c r="B377" s="174">
        <v>44652</v>
      </c>
      <c r="C377" s="23" t="s">
        <v>386</v>
      </c>
      <c r="D377" s="106">
        <v>5501501</v>
      </c>
      <c r="E377" s="24" t="s">
        <v>730</v>
      </c>
      <c r="F377" s="23" t="s">
        <v>425</v>
      </c>
      <c r="G377" s="47" t="s">
        <v>264</v>
      </c>
      <c r="H377" s="24" t="s">
        <v>773</v>
      </c>
      <c r="I377" s="23">
        <v>10</v>
      </c>
      <c r="J377" s="24" t="s">
        <v>65</v>
      </c>
      <c r="K377" s="103">
        <v>16330</v>
      </c>
      <c r="L377" s="35">
        <f t="shared" si="43"/>
        <v>163300</v>
      </c>
      <c r="M377" s="173">
        <f t="shared" si="35"/>
        <v>1.6330000000000001E-2</v>
      </c>
      <c r="N377" s="149">
        <v>0.34177083333333336</v>
      </c>
      <c r="O377" s="152">
        <f t="shared" si="44"/>
        <v>5581.1177083333341</v>
      </c>
      <c r="P377" s="149">
        <v>280.89999999999998</v>
      </c>
      <c r="Q377" s="152">
        <f t="shared" si="34"/>
        <v>4587097</v>
      </c>
      <c r="R377" s="133">
        <f t="shared" si="36"/>
        <v>0.4587097</v>
      </c>
      <c r="S377" s="23" t="s">
        <v>1494</v>
      </c>
      <c r="T377" s="24" t="s">
        <v>1478</v>
      </c>
      <c r="AA377"/>
    </row>
    <row r="378" spans="1:27" ht="12.75" x14ac:dyDescent="0.2">
      <c r="A378" s="24" t="s">
        <v>1502</v>
      </c>
      <c r="B378" s="174">
        <v>44652</v>
      </c>
      <c r="C378" s="23" t="s">
        <v>386</v>
      </c>
      <c r="D378" s="106">
        <v>5001974</v>
      </c>
      <c r="E378" s="24" t="s">
        <v>731</v>
      </c>
      <c r="F378" s="23" t="s">
        <v>424</v>
      </c>
      <c r="G378" s="47" t="s">
        <v>264</v>
      </c>
      <c r="H378" s="24" t="s">
        <v>774</v>
      </c>
      <c r="I378" s="23">
        <v>10</v>
      </c>
      <c r="J378" s="24" t="s">
        <v>3</v>
      </c>
      <c r="K378" s="103">
        <v>9634</v>
      </c>
      <c r="L378" s="35">
        <f t="shared" si="43"/>
        <v>96340</v>
      </c>
      <c r="M378" s="173">
        <f t="shared" si="35"/>
        <v>9.6340000000000002E-3</v>
      </c>
      <c r="N378" s="149">
        <v>0.40052083333333333</v>
      </c>
      <c r="O378" s="152">
        <f t="shared" si="44"/>
        <v>3858.6177083333332</v>
      </c>
      <c r="P378" s="149">
        <v>207.09509999999997</v>
      </c>
      <c r="Q378" s="152">
        <f t="shared" si="34"/>
        <v>1995154.1933999998</v>
      </c>
      <c r="R378" s="133">
        <f t="shared" si="36"/>
        <v>0.19951541933999997</v>
      </c>
      <c r="S378" s="23" t="s">
        <v>1494</v>
      </c>
      <c r="T378" s="24" t="s">
        <v>1478</v>
      </c>
      <c r="AA378"/>
    </row>
    <row r="379" spans="1:27" ht="12.75" x14ac:dyDescent="0.2">
      <c r="A379" s="24" t="s">
        <v>1502</v>
      </c>
      <c r="B379" s="174">
        <v>44652</v>
      </c>
      <c r="C379" s="23" t="s">
        <v>386</v>
      </c>
      <c r="D379" s="106">
        <v>5004113</v>
      </c>
      <c r="E379" s="24" t="s">
        <v>727</v>
      </c>
      <c r="F379" s="23" t="s">
        <v>424</v>
      </c>
      <c r="G379" s="47" t="s">
        <v>264</v>
      </c>
      <c r="H379" s="24" t="s">
        <v>775</v>
      </c>
      <c r="I379" s="23">
        <v>10</v>
      </c>
      <c r="J379" s="24" t="s">
        <v>3</v>
      </c>
      <c r="K379" s="103">
        <v>10611</v>
      </c>
      <c r="L379" s="35">
        <f t="shared" si="43"/>
        <v>106110</v>
      </c>
      <c r="M379" s="173">
        <f t="shared" si="35"/>
        <v>1.0611000000000001E-2</v>
      </c>
      <c r="N379" s="149">
        <v>0.40052083333333333</v>
      </c>
      <c r="O379" s="152">
        <f t="shared" si="44"/>
        <v>4249.9265624999998</v>
      </c>
      <c r="P379" s="149">
        <v>167.87333333333333</v>
      </c>
      <c r="Q379" s="152">
        <f t="shared" si="34"/>
        <v>1781303.94</v>
      </c>
      <c r="R379" s="133">
        <f t="shared" si="36"/>
        <v>0.178130394</v>
      </c>
      <c r="S379" s="23" t="s">
        <v>1494</v>
      </c>
      <c r="T379" s="24" t="s">
        <v>1478</v>
      </c>
      <c r="AA379"/>
    </row>
    <row r="380" spans="1:27" ht="12.75" x14ac:dyDescent="0.2">
      <c r="A380" s="24" t="s">
        <v>1502</v>
      </c>
      <c r="B380" s="174">
        <v>44652</v>
      </c>
      <c r="C380" s="23" t="s">
        <v>386</v>
      </c>
      <c r="D380" s="106">
        <v>5001480</v>
      </c>
      <c r="E380" s="24" t="s">
        <v>733</v>
      </c>
      <c r="F380" s="23" t="s">
        <v>424</v>
      </c>
      <c r="G380" s="47" t="s">
        <v>264</v>
      </c>
      <c r="H380" s="24" t="s">
        <v>780</v>
      </c>
      <c r="I380" s="23">
        <v>6</v>
      </c>
      <c r="J380" s="24" t="s">
        <v>3</v>
      </c>
      <c r="K380" s="103">
        <v>3367</v>
      </c>
      <c r="L380" s="35">
        <f t="shared" si="43"/>
        <v>20202</v>
      </c>
      <c r="M380" s="173">
        <f t="shared" si="35"/>
        <v>2.0202000000000002E-3</v>
      </c>
      <c r="N380" s="149">
        <v>0.34177083333333336</v>
      </c>
      <c r="O380" s="152">
        <f t="shared" si="44"/>
        <v>1150.7423958333334</v>
      </c>
      <c r="P380" s="149">
        <v>168.36999999999998</v>
      </c>
      <c r="Q380" s="152">
        <f t="shared" si="34"/>
        <v>566901.78999999992</v>
      </c>
      <c r="R380" s="133">
        <f t="shared" si="36"/>
        <v>5.6690178999999993E-2</v>
      </c>
      <c r="S380" s="23" t="s">
        <v>1494</v>
      </c>
      <c r="T380" s="24" t="s">
        <v>1478</v>
      </c>
      <c r="AA380"/>
    </row>
    <row r="381" spans="1:27" ht="12.75" x14ac:dyDescent="0.2">
      <c r="A381" s="24" t="s">
        <v>1502</v>
      </c>
      <c r="B381" s="174">
        <v>44652</v>
      </c>
      <c r="C381" s="23" t="s">
        <v>386</v>
      </c>
      <c r="D381" s="106">
        <v>5002557</v>
      </c>
      <c r="E381" s="24" t="s">
        <v>302</v>
      </c>
      <c r="F381" s="23" t="s">
        <v>424</v>
      </c>
      <c r="G381" s="47" t="s">
        <v>264</v>
      </c>
      <c r="H381" s="24" t="s">
        <v>782</v>
      </c>
      <c r="I381" s="23">
        <v>10</v>
      </c>
      <c r="J381" s="24" t="s">
        <v>3</v>
      </c>
      <c r="K381" s="103">
        <v>22097</v>
      </c>
      <c r="L381" s="35">
        <f t="shared" si="43"/>
        <v>220970</v>
      </c>
      <c r="M381" s="173">
        <f t="shared" si="35"/>
        <v>2.2096999999999999E-2</v>
      </c>
      <c r="N381" s="149">
        <v>0.34177083333333336</v>
      </c>
      <c r="O381" s="152">
        <f t="shared" si="44"/>
        <v>7552.110104166667</v>
      </c>
      <c r="P381" s="149">
        <v>95.255017206477746</v>
      </c>
      <c r="Q381" s="152">
        <f t="shared" si="34"/>
        <v>2104850.115211539</v>
      </c>
      <c r="R381" s="133">
        <f t="shared" si="36"/>
        <v>0.2104850115211539</v>
      </c>
      <c r="S381" s="23" t="s">
        <v>1494</v>
      </c>
      <c r="T381" s="24" t="s">
        <v>1478</v>
      </c>
      <c r="AA381"/>
    </row>
    <row r="382" spans="1:27" ht="12.75" x14ac:dyDescent="0.2">
      <c r="A382" s="24" t="s">
        <v>1502</v>
      </c>
      <c r="B382" s="174">
        <v>44652</v>
      </c>
      <c r="C382" s="23" t="s">
        <v>386</v>
      </c>
      <c r="D382" s="106">
        <v>5500781</v>
      </c>
      <c r="E382" s="24" t="s">
        <v>314</v>
      </c>
      <c r="F382" s="23" t="s">
        <v>425</v>
      </c>
      <c r="G382" s="47" t="s">
        <v>264</v>
      </c>
      <c r="H382" s="24" t="s">
        <v>783</v>
      </c>
      <c r="I382" s="23">
        <v>20</v>
      </c>
      <c r="J382" s="24" t="s">
        <v>3</v>
      </c>
      <c r="K382" s="103">
        <v>68383</v>
      </c>
      <c r="L382" s="35">
        <f t="shared" si="43"/>
        <v>1367660</v>
      </c>
      <c r="M382" s="173">
        <f t="shared" si="35"/>
        <v>0.136766</v>
      </c>
      <c r="N382" s="149">
        <v>0.60750000000000004</v>
      </c>
      <c r="O382" s="152">
        <f t="shared" si="44"/>
        <v>41542.672500000001</v>
      </c>
      <c r="P382" s="149">
        <v>161.35999784774972</v>
      </c>
      <c r="Q382" s="152">
        <f t="shared" si="34"/>
        <v>11034280.73282267</v>
      </c>
      <c r="R382" s="133">
        <f t="shared" si="36"/>
        <v>1.103428073282267</v>
      </c>
      <c r="S382" s="23" t="s">
        <v>1494</v>
      </c>
      <c r="T382" s="24" t="s">
        <v>1478</v>
      </c>
      <c r="AA382"/>
    </row>
    <row r="383" spans="1:27" ht="12.75" x14ac:dyDescent="0.2">
      <c r="A383" s="24" t="s">
        <v>1502</v>
      </c>
      <c r="B383" s="174">
        <v>44652</v>
      </c>
      <c r="C383" s="23" t="s">
        <v>386</v>
      </c>
      <c r="D383" s="106">
        <v>5500783</v>
      </c>
      <c r="E383" s="24" t="s">
        <v>729</v>
      </c>
      <c r="F383" s="23" t="s">
        <v>425</v>
      </c>
      <c r="G383" s="47" t="s">
        <v>264</v>
      </c>
      <c r="H383" s="24" t="s">
        <v>784</v>
      </c>
      <c r="I383" s="23">
        <v>20</v>
      </c>
      <c r="J383" s="24" t="s">
        <v>3</v>
      </c>
      <c r="K383" s="103">
        <v>99218</v>
      </c>
      <c r="L383" s="35">
        <f t="shared" si="43"/>
        <v>1984360</v>
      </c>
      <c r="M383" s="173">
        <f t="shared" si="35"/>
        <v>0.198436</v>
      </c>
      <c r="N383" s="149">
        <v>0.44999999999999996</v>
      </c>
      <c r="O383" s="152">
        <f t="shared" si="44"/>
        <v>44648.1</v>
      </c>
      <c r="P383" s="149">
        <v>64.360152993495291</v>
      </c>
      <c r="Q383" s="152">
        <f t="shared" si="34"/>
        <v>6385685.6597086154</v>
      </c>
      <c r="R383" s="133">
        <f t="shared" si="36"/>
        <v>0.63856856597086153</v>
      </c>
      <c r="S383" s="23" t="s">
        <v>1494</v>
      </c>
      <c r="T383" s="24" t="s">
        <v>1478</v>
      </c>
      <c r="AA383"/>
    </row>
    <row r="384" spans="1:27" ht="12.75" x14ac:dyDescent="0.2">
      <c r="A384" s="24" t="s">
        <v>1502</v>
      </c>
      <c r="B384" s="174">
        <v>44652</v>
      </c>
      <c r="C384" s="23" t="s">
        <v>386</v>
      </c>
      <c r="D384" s="106">
        <v>5500784</v>
      </c>
      <c r="E384" s="24" t="s">
        <v>313</v>
      </c>
      <c r="F384" s="23" t="s">
        <v>425</v>
      </c>
      <c r="G384" s="47" t="s">
        <v>264</v>
      </c>
      <c r="H384" s="24" t="s">
        <v>785</v>
      </c>
      <c r="I384" s="23">
        <v>20</v>
      </c>
      <c r="J384" s="24" t="s">
        <v>3</v>
      </c>
      <c r="K384" s="103">
        <v>59545</v>
      </c>
      <c r="L384" s="35">
        <f t="shared" si="43"/>
        <v>1190900</v>
      </c>
      <c r="M384" s="173">
        <f t="shared" si="35"/>
        <v>0.11909</v>
      </c>
      <c r="N384" s="149">
        <v>0.44999999999999996</v>
      </c>
      <c r="O384" s="152">
        <f t="shared" si="44"/>
        <v>26795.249999999996</v>
      </c>
      <c r="P384" s="149">
        <v>92.300074955567538</v>
      </c>
      <c r="Q384" s="152">
        <f t="shared" si="34"/>
        <v>5496007.9632292688</v>
      </c>
      <c r="R384" s="133">
        <f t="shared" si="36"/>
        <v>0.54960079632292691</v>
      </c>
      <c r="S384" s="23" t="s">
        <v>1494</v>
      </c>
      <c r="T384" s="24" t="s">
        <v>1478</v>
      </c>
      <c r="AA384"/>
    </row>
    <row r="385" spans="1:27" ht="12.75" x14ac:dyDescent="0.2">
      <c r="A385" s="24" t="s">
        <v>1502</v>
      </c>
      <c r="B385" s="174">
        <v>44652</v>
      </c>
      <c r="C385" s="23" t="s">
        <v>386</v>
      </c>
      <c r="D385" s="106">
        <v>5500788</v>
      </c>
      <c r="E385" s="24" t="s">
        <v>244</v>
      </c>
      <c r="F385" s="23" t="s">
        <v>425</v>
      </c>
      <c r="G385" s="47" t="s">
        <v>264</v>
      </c>
      <c r="H385" s="24" t="s">
        <v>786</v>
      </c>
      <c r="I385" s="23">
        <v>15</v>
      </c>
      <c r="J385" s="24" t="s">
        <v>3</v>
      </c>
      <c r="K385" s="103">
        <v>8220</v>
      </c>
      <c r="L385" s="35">
        <f t="shared" si="43"/>
        <v>123300</v>
      </c>
      <c r="M385" s="173">
        <f t="shared" si="35"/>
        <v>1.2330000000000001E-2</v>
      </c>
      <c r="N385" s="149">
        <v>0.47619791666666672</v>
      </c>
      <c r="O385" s="152">
        <f t="shared" si="44"/>
        <v>3914.3468750000006</v>
      </c>
      <c r="P385" s="149">
        <v>137.57011989795939</v>
      </c>
      <c r="Q385" s="152">
        <f t="shared" si="34"/>
        <v>1130826.3855612262</v>
      </c>
      <c r="R385" s="133">
        <f t="shared" si="36"/>
        <v>0.11308263855612262</v>
      </c>
      <c r="S385" s="23" t="s">
        <v>1494</v>
      </c>
      <c r="T385" s="24" t="s">
        <v>1478</v>
      </c>
      <c r="AA385"/>
    </row>
    <row r="386" spans="1:27" ht="12.75" x14ac:dyDescent="0.2">
      <c r="A386" s="24" t="s">
        <v>1502</v>
      </c>
      <c r="B386" s="174">
        <v>44652</v>
      </c>
      <c r="C386" s="23" t="s">
        <v>386</v>
      </c>
      <c r="D386" s="106">
        <v>5001479</v>
      </c>
      <c r="E386" s="24" t="s">
        <v>734</v>
      </c>
      <c r="F386" s="23" t="s">
        <v>424</v>
      </c>
      <c r="G386" s="47" t="s">
        <v>264</v>
      </c>
      <c r="H386" s="24" t="s">
        <v>780</v>
      </c>
      <c r="I386" s="23">
        <v>3</v>
      </c>
      <c r="J386" s="24" t="s">
        <v>3</v>
      </c>
      <c r="K386" s="103">
        <v>9200</v>
      </c>
      <c r="L386" s="35">
        <f t="shared" si="43"/>
        <v>27600</v>
      </c>
      <c r="M386" s="173">
        <f t="shared" si="35"/>
        <v>2.7599999999999999E-3</v>
      </c>
      <c r="N386" s="149">
        <v>0.28766666666666668</v>
      </c>
      <c r="O386" s="152">
        <f t="shared" si="44"/>
        <v>2646.5333333333333</v>
      </c>
      <c r="P386" s="149">
        <v>130.48674999999997</v>
      </c>
      <c r="Q386" s="152">
        <f t="shared" ref="Q386:Q449" si="45">+K386*P386</f>
        <v>1200478.0999999999</v>
      </c>
      <c r="R386" s="133">
        <f t="shared" si="36"/>
        <v>0.12004780999999999</v>
      </c>
      <c r="S386" s="23" t="s">
        <v>1494</v>
      </c>
      <c r="T386" s="24" t="s">
        <v>1478</v>
      </c>
      <c r="AA386"/>
    </row>
    <row r="387" spans="1:27" ht="12.75" x14ac:dyDescent="0.2">
      <c r="A387" s="24" t="s">
        <v>1502</v>
      </c>
      <c r="B387" s="174">
        <v>44652</v>
      </c>
      <c r="C387" s="23" t="s">
        <v>386</v>
      </c>
      <c r="D387" s="106">
        <v>5002556</v>
      </c>
      <c r="E387" s="24" t="s">
        <v>735</v>
      </c>
      <c r="F387" s="23" t="s">
        <v>424</v>
      </c>
      <c r="G387" s="47" t="s">
        <v>264</v>
      </c>
      <c r="H387" s="24" t="s">
        <v>792</v>
      </c>
      <c r="I387" s="23">
        <v>10</v>
      </c>
      <c r="J387" s="24" t="s">
        <v>3</v>
      </c>
      <c r="K387" s="103">
        <v>36236</v>
      </c>
      <c r="L387" s="35">
        <f t="shared" si="43"/>
        <v>362360</v>
      </c>
      <c r="M387" s="173">
        <f t="shared" ref="M387:M450" si="46">L387/10^7</f>
        <v>3.6235999999999997E-2</v>
      </c>
      <c r="N387" s="149">
        <v>0.34177083333333336</v>
      </c>
      <c r="O387" s="152">
        <f t="shared" si="44"/>
        <v>12384.407916666667</v>
      </c>
      <c r="P387" s="149">
        <v>128.34995812908497</v>
      </c>
      <c r="Q387" s="152">
        <f t="shared" si="45"/>
        <v>4650889.0827655233</v>
      </c>
      <c r="R387" s="133">
        <f t="shared" ref="R387:R450" si="47">Q387/10^7</f>
        <v>0.46508890827655236</v>
      </c>
      <c r="S387" s="23" t="s">
        <v>1494</v>
      </c>
      <c r="T387" s="24" t="s">
        <v>1478</v>
      </c>
      <c r="AA387"/>
    </row>
    <row r="388" spans="1:27" ht="12.75" x14ac:dyDescent="0.2">
      <c r="A388" s="24" t="s">
        <v>1502</v>
      </c>
      <c r="B388" s="174">
        <v>44652</v>
      </c>
      <c r="C388" s="23" t="s">
        <v>386</v>
      </c>
      <c r="D388" s="106">
        <v>5002556</v>
      </c>
      <c r="E388" s="24" t="s">
        <v>735</v>
      </c>
      <c r="F388" s="23" t="s">
        <v>424</v>
      </c>
      <c r="G388" s="47" t="s">
        <v>264</v>
      </c>
      <c r="H388" s="24" t="s">
        <v>793</v>
      </c>
      <c r="I388" s="23">
        <v>10</v>
      </c>
      <c r="J388" s="24" t="s">
        <v>3</v>
      </c>
      <c r="K388" s="103">
        <v>36767</v>
      </c>
      <c r="L388" s="35">
        <f t="shared" si="43"/>
        <v>367670</v>
      </c>
      <c r="M388" s="173">
        <f t="shared" si="46"/>
        <v>3.6767000000000001E-2</v>
      </c>
      <c r="N388" s="149">
        <v>0.34177083333333336</v>
      </c>
      <c r="O388" s="152">
        <f t="shared" si="44"/>
        <v>12565.888229166667</v>
      </c>
      <c r="P388" s="149">
        <v>128.34995812908497</v>
      </c>
      <c r="Q388" s="152">
        <f t="shared" si="45"/>
        <v>4719042.9105320666</v>
      </c>
      <c r="R388" s="133">
        <f t="shared" si="47"/>
        <v>0.47190429105320664</v>
      </c>
      <c r="S388" s="23" t="s">
        <v>1494</v>
      </c>
      <c r="T388" s="24" t="s">
        <v>1478</v>
      </c>
      <c r="AA388"/>
    </row>
    <row r="389" spans="1:27" ht="12.75" x14ac:dyDescent="0.2">
      <c r="A389" s="24" t="s">
        <v>1502</v>
      </c>
      <c r="B389" s="174">
        <v>44652</v>
      </c>
      <c r="C389" s="23" t="s">
        <v>386</v>
      </c>
      <c r="D389" s="106">
        <v>5500784</v>
      </c>
      <c r="E389" s="24" t="s">
        <v>313</v>
      </c>
      <c r="F389" s="23" t="s">
        <v>425</v>
      </c>
      <c r="G389" s="47" t="s">
        <v>264</v>
      </c>
      <c r="H389" s="24" t="s">
        <v>794</v>
      </c>
      <c r="I389" s="23">
        <v>20</v>
      </c>
      <c r="J389" s="24" t="s">
        <v>3</v>
      </c>
      <c r="K389" s="103">
        <v>59285</v>
      </c>
      <c r="L389" s="35">
        <f t="shared" si="43"/>
        <v>1185700</v>
      </c>
      <c r="M389" s="173">
        <f t="shared" si="46"/>
        <v>0.11856999999999999</v>
      </c>
      <c r="N389" s="149">
        <v>0.44999999999999996</v>
      </c>
      <c r="O389" s="152">
        <f t="shared" si="44"/>
        <v>26678.249999999996</v>
      </c>
      <c r="P389" s="149">
        <v>92.300074955567538</v>
      </c>
      <c r="Q389" s="152">
        <f t="shared" si="45"/>
        <v>5472009.9437408214</v>
      </c>
      <c r="R389" s="133">
        <f t="shared" si="47"/>
        <v>0.54720099437408209</v>
      </c>
      <c r="S389" s="23" t="s">
        <v>1494</v>
      </c>
      <c r="T389" s="24" t="s">
        <v>1478</v>
      </c>
      <c r="AA389"/>
    </row>
    <row r="390" spans="1:27" ht="12.75" x14ac:dyDescent="0.2">
      <c r="A390" s="24" t="s">
        <v>1502</v>
      </c>
      <c r="B390" s="174">
        <v>44652</v>
      </c>
      <c r="C390" s="23" t="s">
        <v>386</v>
      </c>
      <c r="D390" s="106">
        <v>5500788</v>
      </c>
      <c r="E390" s="24" t="s">
        <v>244</v>
      </c>
      <c r="F390" s="23" t="s">
        <v>425</v>
      </c>
      <c r="G390" s="47" t="s">
        <v>264</v>
      </c>
      <c r="H390" s="24" t="s">
        <v>795</v>
      </c>
      <c r="I390" s="23">
        <v>15</v>
      </c>
      <c r="J390" s="24" t="s">
        <v>3</v>
      </c>
      <c r="K390" s="103">
        <v>8130</v>
      </c>
      <c r="L390" s="35">
        <f t="shared" si="43"/>
        <v>121950</v>
      </c>
      <c r="M390" s="173">
        <f t="shared" si="46"/>
        <v>1.2194999999999999E-2</v>
      </c>
      <c r="N390" s="149">
        <v>0.47619791666666672</v>
      </c>
      <c r="O390" s="152">
        <f t="shared" si="44"/>
        <v>3871.4890625000003</v>
      </c>
      <c r="P390" s="149">
        <v>137.57011989795939</v>
      </c>
      <c r="Q390" s="152">
        <f t="shared" si="45"/>
        <v>1118445.0747704098</v>
      </c>
      <c r="R390" s="133">
        <f t="shared" si="47"/>
        <v>0.11184450747704099</v>
      </c>
      <c r="S390" s="23" t="s">
        <v>1494</v>
      </c>
      <c r="T390" s="24" t="s">
        <v>1478</v>
      </c>
      <c r="AA390"/>
    </row>
    <row r="391" spans="1:27" ht="12.75" x14ac:dyDescent="0.2">
      <c r="A391" s="24" t="s">
        <v>1502</v>
      </c>
      <c r="B391" s="174">
        <v>44652</v>
      </c>
      <c r="C391" s="23" t="s">
        <v>386</v>
      </c>
      <c r="D391" s="106">
        <v>5501152</v>
      </c>
      <c r="E391" s="24" t="s">
        <v>736</v>
      </c>
      <c r="F391" s="23" t="s">
        <v>1490</v>
      </c>
      <c r="G391" s="47" t="s">
        <v>264</v>
      </c>
      <c r="H391" s="24" t="s">
        <v>796</v>
      </c>
      <c r="I391" s="23">
        <v>15</v>
      </c>
      <c r="J391" s="24" t="s">
        <v>3</v>
      </c>
      <c r="K391" s="103">
        <v>66451</v>
      </c>
      <c r="L391" s="35">
        <f t="shared" si="43"/>
        <v>996765</v>
      </c>
      <c r="M391" s="173">
        <f t="shared" si="46"/>
        <v>9.9676500000000001E-2</v>
      </c>
      <c r="N391" s="149">
        <v>0.4746354166666667</v>
      </c>
      <c r="O391" s="152">
        <f t="shared" si="44"/>
        <v>31539.998072916667</v>
      </c>
      <c r="P391" s="149">
        <v>21.150029014942696</v>
      </c>
      <c r="Q391" s="152">
        <f t="shared" si="45"/>
        <v>1405440.578071957</v>
      </c>
      <c r="R391" s="133">
        <f t="shared" si="47"/>
        <v>0.1405440578071957</v>
      </c>
      <c r="S391" s="23" t="s">
        <v>1494</v>
      </c>
      <c r="T391" s="24" t="s">
        <v>1478</v>
      </c>
      <c r="AA391"/>
    </row>
    <row r="392" spans="1:27" ht="12.75" x14ac:dyDescent="0.2">
      <c r="A392" s="24" t="s">
        <v>1502</v>
      </c>
      <c r="B392" s="174">
        <v>44652</v>
      </c>
      <c r="C392" s="23" t="s">
        <v>386</v>
      </c>
      <c r="D392" s="106">
        <v>5001474</v>
      </c>
      <c r="E392" s="24" t="s">
        <v>737</v>
      </c>
      <c r="F392" s="23" t="s">
        <v>424</v>
      </c>
      <c r="G392" s="47" t="s">
        <v>264</v>
      </c>
      <c r="H392" s="24" t="s">
        <v>798</v>
      </c>
      <c r="I392" s="23">
        <v>10</v>
      </c>
      <c r="J392" s="24" t="s">
        <v>3</v>
      </c>
      <c r="K392" s="103">
        <v>11721</v>
      </c>
      <c r="L392" s="35">
        <f t="shared" si="43"/>
        <v>117210</v>
      </c>
      <c r="M392" s="173">
        <f t="shared" si="46"/>
        <v>1.1721000000000001E-2</v>
      </c>
      <c r="N392" s="149">
        <v>0.33479591836734696</v>
      </c>
      <c r="O392" s="152">
        <f t="shared" si="44"/>
        <v>3924.1429591836736</v>
      </c>
      <c r="P392" s="149">
        <v>111.25333333333332</v>
      </c>
      <c r="Q392" s="152">
        <f t="shared" si="45"/>
        <v>1304000.3199999998</v>
      </c>
      <c r="R392" s="133">
        <f t="shared" si="47"/>
        <v>0.13040003199999997</v>
      </c>
      <c r="S392" s="23" t="s">
        <v>1494</v>
      </c>
      <c r="T392" s="24" t="s">
        <v>1478</v>
      </c>
      <c r="AA392"/>
    </row>
    <row r="393" spans="1:27" ht="12.75" x14ac:dyDescent="0.2">
      <c r="A393" s="24" t="s">
        <v>1502</v>
      </c>
      <c r="B393" s="174">
        <v>44652</v>
      </c>
      <c r="C393" s="23" t="s">
        <v>386</v>
      </c>
      <c r="D393" s="106">
        <v>5500783</v>
      </c>
      <c r="E393" s="24" t="s">
        <v>729</v>
      </c>
      <c r="F393" s="23" t="s">
        <v>425</v>
      </c>
      <c r="G393" s="47" t="s">
        <v>264</v>
      </c>
      <c r="H393" s="24" t="s">
        <v>800</v>
      </c>
      <c r="I393" s="23">
        <v>20</v>
      </c>
      <c r="J393" s="24" t="s">
        <v>3</v>
      </c>
      <c r="K393" s="103">
        <v>98278</v>
      </c>
      <c r="L393" s="35">
        <f t="shared" si="43"/>
        <v>1965560</v>
      </c>
      <c r="M393" s="173">
        <f t="shared" si="46"/>
        <v>0.19655600000000001</v>
      </c>
      <c r="N393" s="149">
        <v>0.44999999999999996</v>
      </c>
      <c r="O393" s="152">
        <f t="shared" si="44"/>
        <v>44225.1</v>
      </c>
      <c r="P393" s="149">
        <v>64.360152993495291</v>
      </c>
      <c r="Q393" s="152">
        <f t="shared" si="45"/>
        <v>6325187.1158947302</v>
      </c>
      <c r="R393" s="133">
        <f t="shared" si="47"/>
        <v>0.63251871158947304</v>
      </c>
      <c r="S393" s="23" t="s">
        <v>1494</v>
      </c>
      <c r="T393" s="24" t="s">
        <v>1478</v>
      </c>
      <c r="AA393"/>
    </row>
    <row r="394" spans="1:27" ht="12.75" x14ac:dyDescent="0.2">
      <c r="A394" s="24" t="s">
        <v>1502</v>
      </c>
      <c r="B394" s="174">
        <v>44652</v>
      </c>
      <c r="C394" s="23" t="s">
        <v>386</v>
      </c>
      <c r="D394" s="106">
        <v>5002663</v>
      </c>
      <c r="E394" s="24" t="s">
        <v>739</v>
      </c>
      <c r="F394" s="23" t="s">
        <v>424</v>
      </c>
      <c r="G394" s="47" t="s">
        <v>264</v>
      </c>
      <c r="H394" s="24" t="s">
        <v>805</v>
      </c>
      <c r="I394" s="23">
        <v>10</v>
      </c>
      <c r="J394" s="24" t="s">
        <v>3</v>
      </c>
      <c r="K394" s="103">
        <v>9423</v>
      </c>
      <c r="L394" s="35">
        <f t="shared" si="43"/>
        <v>94230</v>
      </c>
      <c r="M394" s="173">
        <f t="shared" si="46"/>
        <v>9.4230000000000008E-3</v>
      </c>
      <c r="N394" s="149">
        <v>0.49708333333333332</v>
      </c>
      <c r="O394" s="152">
        <f t="shared" si="44"/>
        <v>4684.0162499999997</v>
      </c>
      <c r="P394" s="149">
        <v>219.03</v>
      </c>
      <c r="Q394" s="152">
        <f t="shared" si="45"/>
        <v>2063919.69</v>
      </c>
      <c r="R394" s="133">
        <f t="shared" si="47"/>
        <v>0.20639196899999998</v>
      </c>
      <c r="S394" s="23" t="s">
        <v>1494</v>
      </c>
      <c r="T394" s="24" t="s">
        <v>1478</v>
      </c>
      <c r="AA394"/>
    </row>
    <row r="395" spans="1:27" ht="12.75" x14ac:dyDescent="0.2">
      <c r="A395" s="24" t="s">
        <v>1502</v>
      </c>
      <c r="B395" s="174">
        <v>44652</v>
      </c>
      <c r="C395" s="23" t="s">
        <v>386</v>
      </c>
      <c r="D395" s="106">
        <v>5004122</v>
      </c>
      <c r="E395" s="24" t="s">
        <v>740</v>
      </c>
      <c r="F395" s="23" t="s">
        <v>424</v>
      </c>
      <c r="G395" s="47" t="s">
        <v>264</v>
      </c>
      <c r="H395" s="24" t="s">
        <v>806</v>
      </c>
      <c r="I395" s="23">
        <v>10</v>
      </c>
      <c r="J395" s="24" t="s">
        <v>3</v>
      </c>
      <c r="K395" s="103">
        <v>9315</v>
      </c>
      <c r="L395" s="35">
        <f t="shared" si="43"/>
        <v>93150</v>
      </c>
      <c r="M395" s="173">
        <f t="shared" si="46"/>
        <v>9.3150000000000004E-3</v>
      </c>
      <c r="N395" s="149">
        <v>0.34177083333333336</v>
      </c>
      <c r="O395" s="152">
        <f t="shared" si="44"/>
        <v>3183.5953125000001</v>
      </c>
      <c r="P395" s="149">
        <v>76.608349999999987</v>
      </c>
      <c r="Q395" s="152">
        <f t="shared" si="45"/>
        <v>713606.78024999984</v>
      </c>
      <c r="R395" s="133">
        <f t="shared" si="47"/>
        <v>7.1360678024999985E-2</v>
      </c>
      <c r="S395" s="23" t="s">
        <v>1494</v>
      </c>
      <c r="T395" s="24" t="s">
        <v>1478</v>
      </c>
      <c r="AA395"/>
    </row>
    <row r="396" spans="1:27" ht="12.75" x14ac:dyDescent="0.2">
      <c r="A396" s="24" t="s">
        <v>1502</v>
      </c>
      <c r="B396" s="174">
        <v>44652</v>
      </c>
      <c r="C396" s="23" t="s">
        <v>386</v>
      </c>
      <c r="D396" s="106">
        <v>5500058</v>
      </c>
      <c r="E396" s="24" t="s">
        <v>741</v>
      </c>
      <c r="F396" s="23" t="s">
        <v>425</v>
      </c>
      <c r="G396" s="47" t="s">
        <v>264</v>
      </c>
      <c r="H396" s="24" t="s">
        <v>807</v>
      </c>
      <c r="I396" s="23">
        <v>15</v>
      </c>
      <c r="J396" s="24" t="s">
        <v>3</v>
      </c>
      <c r="K396" s="103">
        <v>32551</v>
      </c>
      <c r="L396" s="35">
        <f t="shared" si="43"/>
        <v>488265</v>
      </c>
      <c r="M396" s="173">
        <f t="shared" si="46"/>
        <v>4.8826500000000002E-2</v>
      </c>
      <c r="N396" s="149">
        <v>0.96</v>
      </c>
      <c r="O396" s="152">
        <f t="shared" si="44"/>
        <v>31248.959999999999</v>
      </c>
      <c r="P396" s="149">
        <v>84.489955317247919</v>
      </c>
      <c r="Q396" s="152">
        <f t="shared" si="45"/>
        <v>2750232.5355317369</v>
      </c>
      <c r="R396" s="133">
        <f t="shared" si="47"/>
        <v>0.2750232535531737</v>
      </c>
      <c r="S396" s="23" t="s">
        <v>1494</v>
      </c>
      <c r="T396" s="24" t="s">
        <v>1478</v>
      </c>
      <c r="AA396"/>
    </row>
    <row r="397" spans="1:27" ht="12.75" x14ac:dyDescent="0.2">
      <c r="A397" s="24" t="s">
        <v>1502</v>
      </c>
      <c r="B397" s="174">
        <v>44652</v>
      </c>
      <c r="C397" s="23" t="s">
        <v>386</v>
      </c>
      <c r="D397" s="106">
        <v>5500783</v>
      </c>
      <c r="E397" s="24" t="s">
        <v>729</v>
      </c>
      <c r="F397" s="23" t="s">
        <v>425</v>
      </c>
      <c r="G397" s="47" t="s">
        <v>264</v>
      </c>
      <c r="H397" s="24" t="s">
        <v>808</v>
      </c>
      <c r="I397" s="23">
        <v>20</v>
      </c>
      <c r="J397" s="24" t="s">
        <v>3</v>
      </c>
      <c r="K397" s="103">
        <v>98418</v>
      </c>
      <c r="L397" s="35">
        <f t="shared" si="43"/>
        <v>1968360</v>
      </c>
      <c r="M397" s="173">
        <f t="shared" si="46"/>
        <v>0.19683600000000001</v>
      </c>
      <c r="N397" s="149">
        <v>0.44999999999999996</v>
      </c>
      <c r="O397" s="152">
        <f t="shared" si="44"/>
        <v>44288.1</v>
      </c>
      <c r="P397" s="149">
        <v>64.360152993495291</v>
      </c>
      <c r="Q397" s="152">
        <f t="shared" si="45"/>
        <v>6334197.5373138199</v>
      </c>
      <c r="R397" s="133">
        <f t="shared" si="47"/>
        <v>0.63341975373138204</v>
      </c>
      <c r="S397" s="23" t="s">
        <v>1494</v>
      </c>
      <c r="T397" s="24" t="s">
        <v>1478</v>
      </c>
      <c r="AA397"/>
    </row>
    <row r="398" spans="1:27" ht="12.75" x14ac:dyDescent="0.2">
      <c r="A398" s="24" t="s">
        <v>1502</v>
      </c>
      <c r="B398" s="174">
        <v>44652</v>
      </c>
      <c r="C398" s="23" t="s">
        <v>386</v>
      </c>
      <c r="D398" s="106">
        <v>5500783</v>
      </c>
      <c r="E398" s="24" t="s">
        <v>729</v>
      </c>
      <c r="F398" s="23" t="s">
        <v>425</v>
      </c>
      <c r="G398" s="47" t="s">
        <v>264</v>
      </c>
      <c r="H398" s="24" t="s">
        <v>809</v>
      </c>
      <c r="I398" s="23">
        <v>20</v>
      </c>
      <c r="J398" s="24" t="s">
        <v>3</v>
      </c>
      <c r="K398" s="103">
        <v>97958</v>
      </c>
      <c r="L398" s="35">
        <f t="shared" si="43"/>
        <v>1959160</v>
      </c>
      <c r="M398" s="173">
        <f t="shared" si="46"/>
        <v>0.19591600000000001</v>
      </c>
      <c r="N398" s="149">
        <v>0.44999999999999996</v>
      </c>
      <c r="O398" s="152">
        <f t="shared" si="44"/>
        <v>44081.1</v>
      </c>
      <c r="P398" s="149">
        <v>64.360152993495291</v>
      </c>
      <c r="Q398" s="152">
        <f t="shared" si="45"/>
        <v>6304591.8669368112</v>
      </c>
      <c r="R398" s="133">
        <f t="shared" si="47"/>
        <v>0.63045918669368117</v>
      </c>
      <c r="S398" s="23" t="s">
        <v>1494</v>
      </c>
      <c r="T398" s="24" t="s">
        <v>1478</v>
      </c>
      <c r="AA398"/>
    </row>
    <row r="399" spans="1:27" ht="12.75" x14ac:dyDescent="0.2">
      <c r="A399" s="24" t="s">
        <v>1502</v>
      </c>
      <c r="B399" s="174">
        <v>44652</v>
      </c>
      <c r="C399" s="23" t="s">
        <v>386</v>
      </c>
      <c r="D399" s="106">
        <v>8001220</v>
      </c>
      <c r="E399" s="24" t="s">
        <v>742</v>
      </c>
      <c r="F399" s="23" t="e">
        <v>#N/A</v>
      </c>
      <c r="G399" s="47" t="s">
        <v>264</v>
      </c>
      <c r="H399" s="24" t="s">
        <v>810</v>
      </c>
      <c r="I399" s="23">
        <v>2</v>
      </c>
      <c r="J399" s="24" t="s">
        <v>3</v>
      </c>
      <c r="K399" s="103">
        <v>19328</v>
      </c>
      <c r="L399" s="35">
        <f t="shared" si="43"/>
        <v>38656</v>
      </c>
      <c r="M399" s="173">
        <f t="shared" si="46"/>
        <v>3.8655999999999999E-3</v>
      </c>
      <c r="N399" s="149">
        <v>0.22668749999999999</v>
      </c>
      <c r="O399" s="152">
        <f t="shared" si="44"/>
        <v>4381.4160000000002</v>
      </c>
      <c r="P399" s="149">
        <v>0</v>
      </c>
      <c r="Q399" s="152">
        <f t="shared" si="45"/>
        <v>0</v>
      </c>
      <c r="R399" s="133">
        <f t="shared" si="47"/>
        <v>0</v>
      </c>
      <c r="S399" s="23" t="s">
        <v>1494</v>
      </c>
      <c r="T399" s="24" t="s">
        <v>1478</v>
      </c>
      <c r="AA399"/>
    </row>
    <row r="400" spans="1:27" ht="12.75" x14ac:dyDescent="0.2">
      <c r="A400" s="24" t="s">
        <v>1502</v>
      </c>
      <c r="B400" s="174">
        <v>44652</v>
      </c>
      <c r="C400" s="23" t="s">
        <v>386</v>
      </c>
      <c r="D400" s="106">
        <v>5002663</v>
      </c>
      <c r="E400" s="24" t="s">
        <v>739</v>
      </c>
      <c r="F400" s="23" t="s">
        <v>424</v>
      </c>
      <c r="G400" s="47" t="s">
        <v>264</v>
      </c>
      <c r="H400" s="24" t="s">
        <v>812</v>
      </c>
      <c r="I400" s="23">
        <v>10</v>
      </c>
      <c r="J400" s="24" t="s">
        <v>3</v>
      </c>
      <c r="K400" s="103">
        <v>8673</v>
      </c>
      <c r="L400" s="35">
        <f t="shared" si="43"/>
        <v>86730</v>
      </c>
      <c r="M400" s="173">
        <f t="shared" si="46"/>
        <v>8.6730000000000002E-3</v>
      </c>
      <c r="N400" s="149">
        <v>0.49708333333333332</v>
      </c>
      <c r="O400" s="152">
        <f t="shared" si="44"/>
        <v>4311.2037499999997</v>
      </c>
      <c r="P400" s="149">
        <v>219.03</v>
      </c>
      <c r="Q400" s="152">
        <f t="shared" si="45"/>
        <v>1899647.19</v>
      </c>
      <c r="R400" s="133">
        <f t="shared" si="47"/>
        <v>0.189964719</v>
      </c>
      <c r="S400" s="23" t="s">
        <v>1494</v>
      </c>
      <c r="T400" s="24" t="s">
        <v>1478</v>
      </c>
      <c r="AA400"/>
    </row>
    <row r="401" spans="1:27" ht="12.75" x14ac:dyDescent="0.2">
      <c r="A401" s="24" t="s">
        <v>1502</v>
      </c>
      <c r="B401" s="174">
        <v>44652</v>
      </c>
      <c r="C401" s="23" t="s">
        <v>386</v>
      </c>
      <c r="D401" s="106">
        <v>5004123</v>
      </c>
      <c r="E401" s="24" t="s">
        <v>743</v>
      </c>
      <c r="F401" s="23" t="s">
        <v>424</v>
      </c>
      <c r="G401" s="47" t="s">
        <v>264</v>
      </c>
      <c r="H401" s="24" t="s">
        <v>813</v>
      </c>
      <c r="I401" s="23">
        <v>10</v>
      </c>
      <c r="J401" s="24" t="s">
        <v>3</v>
      </c>
      <c r="K401" s="103">
        <v>9501</v>
      </c>
      <c r="L401" s="35">
        <f t="shared" si="43"/>
        <v>95010</v>
      </c>
      <c r="M401" s="173">
        <f t="shared" si="46"/>
        <v>9.5010000000000008E-3</v>
      </c>
      <c r="N401" s="149">
        <v>0.34</v>
      </c>
      <c r="O401" s="152">
        <f t="shared" si="44"/>
        <v>3230.34</v>
      </c>
      <c r="P401" s="149">
        <v>95.690283333333312</v>
      </c>
      <c r="Q401" s="152">
        <f t="shared" si="45"/>
        <v>909153.38194999984</v>
      </c>
      <c r="R401" s="133">
        <f t="shared" si="47"/>
        <v>9.0915338194999987E-2</v>
      </c>
      <c r="S401" s="23" t="s">
        <v>1494</v>
      </c>
      <c r="T401" s="24" t="s">
        <v>1478</v>
      </c>
      <c r="AA401"/>
    </row>
    <row r="402" spans="1:27" ht="12.75" x14ac:dyDescent="0.2">
      <c r="A402" s="24" t="s">
        <v>1502</v>
      </c>
      <c r="B402" s="174">
        <v>44652</v>
      </c>
      <c r="C402" s="23" t="s">
        <v>386</v>
      </c>
      <c r="D402" s="106">
        <v>5500783</v>
      </c>
      <c r="E402" s="24" t="s">
        <v>729</v>
      </c>
      <c r="F402" s="23" t="s">
        <v>425</v>
      </c>
      <c r="G402" s="47" t="s">
        <v>264</v>
      </c>
      <c r="H402" s="24" t="s">
        <v>814</v>
      </c>
      <c r="I402" s="23">
        <v>20</v>
      </c>
      <c r="J402" s="24" t="s">
        <v>3</v>
      </c>
      <c r="K402" s="103">
        <v>98368</v>
      </c>
      <c r="L402" s="35">
        <f t="shared" si="43"/>
        <v>1967360</v>
      </c>
      <c r="M402" s="173">
        <f t="shared" si="46"/>
        <v>0.19673599999999999</v>
      </c>
      <c r="N402" s="149">
        <v>0.44999999999999996</v>
      </c>
      <c r="O402" s="152">
        <f t="shared" si="44"/>
        <v>44265.599999999999</v>
      </c>
      <c r="P402" s="149">
        <v>64.360152993495291</v>
      </c>
      <c r="Q402" s="152">
        <f t="shared" si="45"/>
        <v>6330979.5296641449</v>
      </c>
      <c r="R402" s="133">
        <f t="shared" si="47"/>
        <v>0.63309795296641447</v>
      </c>
      <c r="S402" s="23" t="s">
        <v>1494</v>
      </c>
      <c r="T402" s="24" t="s">
        <v>1478</v>
      </c>
      <c r="AA402"/>
    </row>
    <row r="403" spans="1:27" ht="12.75" x14ac:dyDescent="0.2">
      <c r="A403" s="24" t="s">
        <v>1502</v>
      </c>
      <c r="B403" s="174">
        <v>44652</v>
      </c>
      <c r="C403" s="23" t="s">
        <v>386</v>
      </c>
      <c r="D403" s="106">
        <v>5500783</v>
      </c>
      <c r="E403" s="24" t="s">
        <v>729</v>
      </c>
      <c r="F403" s="23" t="s">
        <v>425</v>
      </c>
      <c r="G403" s="47" t="s">
        <v>264</v>
      </c>
      <c r="H403" s="24" t="s">
        <v>815</v>
      </c>
      <c r="I403" s="23">
        <v>20</v>
      </c>
      <c r="J403" s="24" t="s">
        <v>3</v>
      </c>
      <c r="K403" s="103">
        <v>98778</v>
      </c>
      <c r="L403" s="35">
        <f t="shared" si="43"/>
        <v>1975560</v>
      </c>
      <c r="M403" s="173">
        <f t="shared" si="46"/>
        <v>0.19755600000000001</v>
      </c>
      <c r="N403" s="149">
        <v>0.44999999999999996</v>
      </c>
      <c r="O403" s="152">
        <f t="shared" si="44"/>
        <v>44450.1</v>
      </c>
      <c r="P403" s="149">
        <v>64.360152993495291</v>
      </c>
      <c r="Q403" s="152">
        <f t="shared" si="45"/>
        <v>6357367.1923914775</v>
      </c>
      <c r="R403" s="133">
        <f t="shared" si="47"/>
        <v>0.63573671923914776</v>
      </c>
      <c r="S403" s="23" t="s">
        <v>1494</v>
      </c>
      <c r="T403" s="24" t="s">
        <v>1478</v>
      </c>
      <c r="AA403"/>
    </row>
    <row r="404" spans="1:27" ht="12.75" x14ac:dyDescent="0.2">
      <c r="A404" s="24" t="s">
        <v>1502</v>
      </c>
      <c r="B404" s="174">
        <v>44652</v>
      </c>
      <c r="C404" s="23" t="s">
        <v>386</v>
      </c>
      <c r="D404" s="106">
        <v>5500002</v>
      </c>
      <c r="E404" s="24" t="s">
        <v>744</v>
      </c>
      <c r="F404" s="23" t="s">
        <v>425</v>
      </c>
      <c r="G404" s="47" t="s">
        <v>264</v>
      </c>
      <c r="H404" s="24" t="s">
        <v>817</v>
      </c>
      <c r="I404" s="23">
        <v>15</v>
      </c>
      <c r="J404" s="24" t="s">
        <v>3</v>
      </c>
      <c r="K404" s="103">
        <v>16321</v>
      </c>
      <c r="L404" s="35">
        <f t="shared" si="43"/>
        <v>244815</v>
      </c>
      <c r="M404" s="173">
        <f t="shared" si="46"/>
        <v>2.44815E-2</v>
      </c>
      <c r="N404" s="149">
        <v>0.47499999999999992</v>
      </c>
      <c r="O404" s="152">
        <f t="shared" si="44"/>
        <v>7752.4749999999985</v>
      </c>
      <c r="P404" s="149">
        <v>154.57991176470591</v>
      </c>
      <c r="Q404" s="152">
        <f t="shared" si="45"/>
        <v>2522898.7399117653</v>
      </c>
      <c r="R404" s="133">
        <f t="shared" si="47"/>
        <v>0.25228987399117653</v>
      </c>
      <c r="S404" s="23" t="s">
        <v>1494</v>
      </c>
      <c r="T404" s="24" t="s">
        <v>1478</v>
      </c>
      <c r="AA404"/>
    </row>
    <row r="405" spans="1:27" ht="12.75" x14ac:dyDescent="0.2">
      <c r="A405" s="24" t="s">
        <v>1502</v>
      </c>
      <c r="B405" s="174">
        <v>44652</v>
      </c>
      <c r="C405" s="23" t="s">
        <v>386</v>
      </c>
      <c r="D405" s="106">
        <v>5500783</v>
      </c>
      <c r="E405" s="24" t="s">
        <v>729</v>
      </c>
      <c r="F405" s="23" t="s">
        <v>425</v>
      </c>
      <c r="G405" s="47" t="s">
        <v>264</v>
      </c>
      <c r="H405" s="24" t="s">
        <v>820</v>
      </c>
      <c r="I405" s="23">
        <v>20</v>
      </c>
      <c r="J405" s="24" t="s">
        <v>3</v>
      </c>
      <c r="K405" s="103">
        <v>98968</v>
      </c>
      <c r="L405" s="35">
        <f t="shared" si="43"/>
        <v>1979360</v>
      </c>
      <c r="M405" s="173">
        <f t="shared" si="46"/>
        <v>0.197936</v>
      </c>
      <c r="N405" s="149">
        <v>0.44999999999999996</v>
      </c>
      <c r="O405" s="152">
        <f t="shared" si="44"/>
        <v>44535.6</v>
      </c>
      <c r="P405" s="149">
        <v>64.360152993495291</v>
      </c>
      <c r="Q405" s="152">
        <f t="shared" si="45"/>
        <v>6369595.6214602422</v>
      </c>
      <c r="R405" s="133">
        <f t="shared" si="47"/>
        <v>0.63695956214602423</v>
      </c>
      <c r="S405" s="23" t="s">
        <v>1494</v>
      </c>
      <c r="T405" s="24" t="s">
        <v>1478</v>
      </c>
      <c r="AA405"/>
    </row>
    <row r="406" spans="1:27" ht="12.75" x14ac:dyDescent="0.2">
      <c r="A406" s="24" t="s">
        <v>1502</v>
      </c>
      <c r="B406" s="174">
        <v>44652</v>
      </c>
      <c r="C406" s="23" t="s">
        <v>386</v>
      </c>
      <c r="D406" s="106">
        <v>5500784</v>
      </c>
      <c r="E406" s="24" t="s">
        <v>313</v>
      </c>
      <c r="F406" s="23" t="s">
        <v>425</v>
      </c>
      <c r="G406" s="47" t="s">
        <v>264</v>
      </c>
      <c r="H406" s="24" t="s">
        <v>821</v>
      </c>
      <c r="I406" s="23">
        <v>20</v>
      </c>
      <c r="J406" s="24" t="s">
        <v>3</v>
      </c>
      <c r="K406" s="103">
        <v>59075</v>
      </c>
      <c r="L406" s="35">
        <f t="shared" si="43"/>
        <v>1181500</v>
      </c>
      <c r="M406" s="173">
        <f t="shared" si="46"/>
        <v>0.11815000000000001</v>
      </c>
      <c r="N406" s="149">
        <v>0.44999999999999996</v>
      </c>
      <c r="O406" s="152">
        <f t="shared" si="44"/>
        <v>26583.749999999996</v>
      </c>
      <c r="P406" s="149">
        <v>92.300074955567538</v>
      </c>
      <c r="Q406" s="152">
        <f t="shared" si="45"/>
        <v>5452626.9280001521</v>
      </c>
      <c r="R406" s="133">
        <f t="shared" si="47"/>
        <v>0.54526269280001516</v>
      </c>
      <c r="S406" s="23" t="s">
        <v>1494</v>
      </c>
      <c r="T406" s="24" t="s">
        <v>1478</v>
      </c>
      <c r="AA406"/>
    </row>
    <row r="407" spans="1:27" ht="12.75" x14ac:dyDescent="0.2">
      <c r="A407" s="24" t="s">
        <v>1502</v>
      </c>
      <c r="B407" s="174">
        <v>44652</v>
      </c>
      <c r="C407" s="23" t="s">
        <v>386</v>
      </c>
      <c r="D407" s="106">
        <v>5501180</v>
      </c>
      <c r="E407" s="24" t="s">
        <v>246</v>
      </c>
      <c r="F407" s="23" t="s">
        <v>425</v>
      </c>
      <c r="G407" s="47" t="s">
        <v>264</v>
      </c>
      <c r="H407" s="24" t="s">
        <v>823</v>
      </c>
      <c r="I407" s="23">
        <v>20</v>
      </c>
      <c r="J407" s="24" t="s">
        <v>3</v>
      </c>
      <c r="K407" s="103">
        <v>49685</v>
      </c>
      <c r="L407" s="35">
        <f t="shared" si="43"/>
        <v>993700</v>
      </c>
      <c r="M407" s="173">
        <f t="shared" si="46"/>
        <v>9.937E-2</v>
      </c>
      <c r="N407" s="149">
        <v>0.64</v>
      </c>
      <c r="O407" s="152">
        <f t="shared" si="44"/>
        <v>31798.400000000001</v>
      </c>
      <c r="P407" s="149">
        <v>152.35992084432718</v>
      </c>
      <c r="Q407" s="152">
        <f t="shared" si="45"/>
        <v>7570002.6671503959</v>
      </c>
      <c r="R407" s="133">
        <f t="shared" si="47"/>
        <v>0.75700026671503962</v>
      </c>
      <c r="S407" s="23" t="s">
        <v>1494</v>
      </c>
      <c r="T407" s="24" t="s">
        <v>1478</v>
      </c>
      <c r="AA407"/>
    </row>
    <row r="408" spans="1:27" ht="12.75" x14ac:dyDescent="0.2">
      <c r="A408" s="24" t="s">
        <v>1502</v>
      </c>
      <c r="B408" s="174">
        <v>44652</v>
      </c>
      <c r="C408" s="23" t="s">
        <v>386</v>
      </c>
      <c r="D408" s="106">
        <v>5501560</v>
      </c>
      <c r="E408" s="24" t="s">
        <v>746</v>
      </c>
      <c r="F408" s="23" t="s">
        <v>425</v>
      </c>
      <c r="G408" s="47" t="s">
        <v>264</v>
      </c>
      <c r="H408" s="24" t="s">
        <v>824</v>
      </c>
      <c r="I408" s="23">
        <v>10</v>
      </c>
      <c r="J408" s="24" t="s">
        <v>3</v>
      </c>
      <c r="K408" s="103">
        <v>22720</v>
      </c>
      <c r="L408" s="35">
        <f t="shared" si="43"/>
        <v>227200</v>
      </c>
      <c r="M408" s="173">
        <f t="shared" si="46"/>
        <v>2.2720000000000001E-2</v>
      </c>
      <c r="N408" s="149">
        <v>0.34177083333333336</v>
      </c>
      <c r="O408" s="152">
        <f t="shared" si="44"/>
        <v>7765.0333333333338</v>
      </c>
      <c r="P408" s="149">
        <v>109.28</v>
      </c>
      <c r="Q408" s="152">
        <f t="shared" si="45"/>
        <v>2482841.6000000001</v>
      </c>
      <c r="R408" s="133">
        <f t="shared" si="47"/>
        <v>0.24828416</v>
      </c>
      <c r="S408" s="23" t="s">
        <v>1494</v>
      </c>
      <c r="T408" s="24" t="s">
        <v>1478</v>
      </c>
      <c r="AA408"/>
    </row>
    <row r="409" spans="1:27" ht="12.75" x14ac:dyDescent="0.2">
      <c r="A409" s="24" t="s">
        <v>1502</v>
      </c>
      <c r="B409" s="174">
        <v>44652</v>
      </c>
      <c r="C409" s="23" t="s">
        <v>386</v>
      </c>
      <c r="D409" s="106">
        <v>5500783</v>
      </c>
      <c r="E409" s="24" t="s">
        <v>729</v>
      </c>
      <c r="F409" s="23" t="s">
        <v>425</v>
      </c>
      <c r="G409" s="47" t="s">
        <v>264</v>
      </c>
      <c r="H409" s="24" t="s">
        <v>827</v>
      </c>
      <c r="I409" s="23">
        <v>20</v>
      </c>
      <c r="J409" s="24" t="s">
        <v>3</v>
      </c>
      <c r="K409" s="103">
        <v>98848</v>
      </c>
      <c r="L409" s="35">
        <f t="shared" si="43"/>
        <v>1976960</v>
      </c>
      <c r="M409" s="173">
        <f t="shared" si="46"/>
        <v>0.19769600000000001</v>
      </c>
      <c r="N409" s="149">
        <v>0.44999999999999996</v>
      </c>
      <c r="O409" s="152">
        <f t="shared" si="44"/>
        <v>44481.599999999999</v>
      </c>
      <c r="P409" s="149">
        <v>64.360152993495291</v>
      </c>
      <c r="Q409" s="152">
        <f t="shared" si="45"/>
        <v>6361872.4031010224</v>
      </c>
      <c r="R409" s="133">
        <f t="shared" si="47"/>
        <v>0.63618724031010221</v>
      </c>
      <c r="S409" s="23" t="s">
        <v>1494</v>
      </c>
      <c r="T409" s="24" t="s">
        <v>1478</v>
      </c>
      <c r="AA409"/>
    </row>
    <row r="410" spans="1:27" ht="12.75" x14ac:dyDescent="0.2">
      <c r="A410" s="24" t="s">
        <v>1502</v>
      </c>
      <c r="B410" s="174">
        <v>44652</v>
      </c>
      <c r="C410" s="23" t="s">
        <v>386</v>
      </c>
      <c r="D410" s="106">
        <v>5500784</v>
      </c>
      <c r="E410" s="24" t="s">
        <v>313</v>
      </c>
      <c r="F410" s="23" t="s">
        <v>425</v>
      </c>
      <c r="G410" s="47" t="s">
        <v>264</v>
      </c>
      <c r="H410" s="24" t="s">
        <v>828</v>
      </c>
      <c r="I410" s="23">
        <v>20</v>
      </c>
      <c r="J410" s="24" t="s">
        <v>3</v>
      </c>
      <c r="K410" s="103">
        <v>58745</v>
      </c>
      <c r="L410" s="35">
        <f t="shared" si="43"/>
        <v>1174900</v>
      </c>
      <c r="M410" s="173">
        <f t="shared" si="46"/>
        <v>0.11749</v>
      </c>
      <c r="N410" s="149">
        <v>0.44999999999999996</v>
      </c>
      <c r="O410" s="152">
        <f t="shared" si="44"/>
        <v>26435.249999999996</v>
      </c>
      <c r="P410" s="149">
        <v>92.300074955567538</v>
      </c>
      <c r="Q410" s="152">
        <f t="shared" si="45"/>
        <v>5422167.903264815</v>
      </c>
      <c r="R410" s="133">
        <f t="shared" si="47"/>
        <v>0.54221679032648151</v>
      </c>
      <c r="S410" s="23" t="s">
        <v>1494</v>
      </c>
      <c r="T410" s="24" t="s">
        <v>1478</v>
      </c>
      <c r="AA410"/>
    </row>
    <row r="411" spans="1:27" ht="12.75" x14ac:dyDescent="0.2">
      <c r="A411" s="24" t="s">
        <v>1502</v>
      </c>
      <c r="B411" s="174">
        <v>44652</v>
      </c>
      <c r="C411" s="23" t="s">
        <v>386</v>
      </c>
      <c r="D411" s="106">
        <v>5501284</v>
      </c>
      <c r="E411" s="24" t="s">
        <v>375</v>
      </c>
      <c r="F411" s="23" t="s">
        <v>425</v>
      </c>
      <c r="G411" s="47" t="s">
        <v>264</v>
      </c>
      <c r="H411" s="24" t="s">
        <v>829</v>
      </c>
      <c r="I411" s="23">
        <v>20</v>
      </c>
      <c r="J411" s="24" t="s">
        <v>3</v>
      </c>
      <c r="K411" s="103">
        <v>22743</v>
      </c>
      <c r="L411" s="35">
        <f t="shared" si="43"/>
        <v>454860</v>
      </c>
      <c r="M411" s="173">
        <f t="shared" si="46"/>
        <v>4.5485999999999999E-2</v>
      </c>
      <c r="N411" s="149">
        <v>0.60750000000000004</v>
      </c>
      <c r="O411" s="152">
        <f t="shared" si="44"/>
        <v>13816.372500000001</v>
      </c>
      <c r="P411" s="149">
        <v>150.43016597510373</v>
      </c>
      <c r="Q411" s="152">
        <f t="shared" si="45"/>
        <v>3421233.2647717842</v>
      </c>
      <c r="R411" s="133">
        <f t="shared" si="47"/>
        <v>0.34212332647717841</v>
      </c>
      <c r="S411" s="23" t="s">
        <v>1494</v>
      </c>
      <c r="T411" s="24" t="s">
        <v>1478</v>
      </c>
      <c r="AA411"/>
    </row>
    <row r="412" spans="1:27" ht="12.75" x14ac:dyDescent="0.2">
      <c r="A412" s="24" t="s">
        <v>1502</v>
      </c>
      <c r="B412" s="174">
        <v>44652</v>
      </c>
      <c r="C412" s="23" t="s">
        <v>386</v>
      </c>
      <c r="D412" s="106">
        <v>5500783</v>
      </c>
      <c r="E412" s="24" t="s">
        <v>729</v>
      </c>
      <c r="F412" s="23" t="s">
        <v>425</v>
      </c>
      <c r="G412" s="47" t="s">
        <v>264</v>
      </c>
      <c r="H412" s="24" t="s">
        <v>832</v>
      </c>
      <c r="I412" s="23">
        <v>20</v>
      </c>
      <c r="J412" s="24" t="s">
        <v>3</v>
      </c>
      <c r="K412" s="103">
        <v>98688</v>
      </c>
      <c r="L412" s="35">
        <f t="shared" si="43"/>
        <v>1973760</v>
      </c>
      <c r="M412" s="173">
        <f t="shared" si="46"/>
        <v>0.197376</v>
      </c>
      <c r="N412" s="149">
        <v>0.44999999999999996</v>
      </c>
      <c r="O412" s="152">
        <f t="shared" si="44"/>
        <v>44409.599999999999</v>
      </c>
      <c r="P412" s="149">
        <v>64.360152993495291</v>
      </c>
      <c r="Q412" s="152">
        <f t="shared" si="45"/>
        <v>6351574.7786220629</v>
      </c>
      <c r="R412" s="133">
        <f t="shared" si="47"/>
        <v>0.63515747786220633</v>
      </c>
      <c r="S412" s="23" t="s">
        <v>1494</v>
      </c>
      <c r="T412" s="24" t="s">
        <v>1478</v>
      </c>
      <c r="AA412"/>
    </row>
    <row r="413" spans="1:27" ht="12.75" x14ac:dyDescent="0.2">
      <c r="A413" s="24" t="s">
        <v>1502</v>
      </c>
      <c r="B413" s="174">
        <v>44652</v>
      </c>
      <c r="C413" s="23" t="s">
        <v>386</v>
      </c>
      <c r="D413" s="106">
        <v>5500784</v>
      </c>
      <c r="E413" s="24" t="s">
        <v>313</v>
      </c>
      <c r="F413" s="23" t="s">
        <v>425</v>
      </c>
      <c r="G413" s="47" t="s">
        <v>264</v>
      </c>
      <c r="H413" s="24" t="s">
        <v>833</v>
      </c>
      <c r="I413" s="23">
        <v>20</v>
      </c>
      <c r="J413" s="24" t="s">
        <v>3</v>
      </c>
      <c r="K413" s="103">
        <v>59295</v>
      </c>
      <c r="L413" s="35">
        <f t="shared" si="43"/>
        <v>1185900</v>
      </c>
      <c r="M413" s="173">
        <f t="shared" si="46"/>
        <v>0.11859</v>
      </c>
      <c r="N413" s="149">
        <v>0.44999999999999996</v>
      </c>
      <c r="O413" s="152">
        <f t="shared" si="44"/>
        <v>26682.749999999996</v>
      </c>
      <c r="P413" s="149">
        <v>92.300074955567538</v>
      </c>
      <c r="Q413" s="152">
        <f t="shared" si="45"/>
        <v>5472932.9444903769</v>
      </c>
      <c r="R413" s="133">
        <f t="shared" si="47"/>
        <v>0.54729329444903774</v>
      </c>
      <c r="S413" s="23" t="s">
        <v>1494</v>
      </c>
      <c r="T413" s="24" t="s">
        <v>1478</v>
      </c>
      <c r="AA413"/>
    </row>
    <row r="414" spans="1:27" ht="12.75" x14ac:dyDescent="0.2">
      <c r="A414" s="24" t="s">
        <v>1502</v>
      </c>
      <c r="B414" s="174">
        <v>44652</v>
      </c>
      <c r="C414" s="23" t="s">
        <v>386</v>
      </c>
      <c r="D414" s="106">
        <v>5500784</v>
      </c>
      <c r="E414" s="24" t="s">
        <v>313</v>
      </c>
      <c r="F414" s="23" t="s">
        <v>425</v>
      </c>
      <c r="G414" s="47" t="s">
        <v>264</v>
      </c>
      <c r="H414" s="24" t="s">
        <v>834</v>
      </c>
      <c r="I414" s="23">
        <v>20</v>
      </c>
      <c r="J414" s="24" t="s">
        <v>3</v>
      </c>
      <c r="K414" s="103">
        <v>59715</v>
      </c>
      <c r="L414" s="35">
        <f t="shared" si="43"/>
        <v>1194300</v>
      </c>
      <c r="M414" s="173">
        <f t="shared" si="46"/>
        <v>0.11942999999999999</v>
      </c>
      <c r="N414" s="149">
        <v>0.44999999999999996</v>
      </c>
      <c r="O414" s="152">
        <f t="shared" si="44"/>
        <v>26871.749999999996</v>
      </c>
      <c r="P414" s="149">
        <v>92.300074955567538</v>
      </c>
      <c r="Q414" s="152">
        <f t="shared" si="45"/>
        <v>5511698.9759717155</v>
      </c>
      <c r="R414" s="133">
        <f t="shared" si="47"/>
        <v>0.5511698975971715</v>
      </c>
      <c r="S414" s="23" t="s">
        <v>1494</v>
      </c>
      <c r="T414" s="24" t="s">
        <v>1478</v>
      </c>
      <c r="AA414"/>
    </row>
    <row r="415" spans="1:27" ht="12.75" x14ac:dyDescent="0.2">
      <c r="A415" s="24" t="s">
        <v>1502</v>
      </c>
      <c r="B415" s="174">
        <v>44652</v>
      </c>
      <c r="C415" s="23" t="s">
        <v>386</v>
      </c>
      <c r="D415" s="106">
        <v>5501180</v>
      </c>
      <c r="E415" s="24" t="s">
        <v>246</v>
      </c>
      <c r="F415" s="23" t="s">
        <v>425</v>
      </c>
      <c r="G415" s="47" t="s">
        <v>264</v>
      </c>
      <c r="H415" s="24" t="s">
        <v>835</v>
      </c>
      <c r="I415" s="23">
        <v>20</v>
      </c>
      <c r="J415" s="24" t="s">
        <v>3</v>
      </c>
      <c r="K415" s="103">
        <v>49625</v>
      </c>
      <c r="L415" s="35">
        <f t="shared" si="43"/>
        <v>992500</v>
      </c>
      <c r="M415" s="173">
        <f t="shared" si="46"/>
        <v>9.9250000000000005E-2</v>
      </c>
      <c r="N415" s="149">
        <v>0.64</v>
      </c>
      <c r="O415" s="152">
        <f t="shared" si="44"/>
        <v>31760</v>
      </c>
      <c r="P415" s="149">
        <v>152.35992084432718</v>
      </c>
      <c r="Q415" s="152">
        <f t="shared" si="45"/>
        <v>7560861.0718997363</v>
      </c>
      <c r="R415" s="133">
        <f t="shared" si="47"/>
        <v>0.7560861071899736</v>
      </c>
      <c r="S415" s="23" t="s">
        <v>1494</v>
      </c>
      <c r="T415" s="24" t="s">
        <v>1478</v>
      </c>
      <c r="AA415"/>
    </row>
    <row r="416" spans="1:27" ht="12.75" x14ac:dyDescent="0.2">
      <c r="A416" s="24" t="s">
        <v>1502</v>
      </c>
      <c r="B416" s="174">
        <v>44652</v>
      </c>
      <c r="C416" s="23" t="s">
        <v>386</v>
      </c>
      <c r="D416" s="106">
        <v>5002663</v>
      </c>
      <c r="E416" s="24" t="s">
        <v>739</v>
      </c>
      <c r="F416" s="23" t="s">
        <v>424</v>
      </c>
      <c r="G416" s="47" t="s">
        <v>264</v>
      </c>
      <c r="H416" s="24" t="s">
        <v>838</v>
      </c>
      <c r="I416" s="23">
        <v>10</v>
      </c>
      <c r="J416" s="24" t="s">
        <v>3</v>
      </c>
      <c r="K416" s="103">
        <v>9234</v>
      </c>
      <c r="L416" s="35">
        <f t="shared" si="43"/>
        <v>92340</v>
      </c>
      <c r="M416" s="173">
        <f t="shared" si="46"/>
        <v>9.2339999999999992E-3</v>
      </c>
      <c r="N416" s="149">
        <v>0.49708333333333332</v>
      </c>
      <c r="O416" s="152">
        <f t="shared" si="44"/>
        <v>4590.0675000000001</v>
      </c>
      <c r="P416" s="149">
        <v>219.03</v>
      </c>
      <c r="Q416" s="152">
        <f t="shared" si="45"/>
        <v>2022523.02</v>
      </c>
      <c r="R416" s="133">
        <f t="shared" si="47"/>
        <v>0.20225230199999999</v>
      </c>
      <c r="S416" s="23" t="s">
        <v>1494</v>
      </c>
      <c r="T416" s="24" t="s">
        <v>1478</v>
      </c>
      <c r="AA416"/>
    </row>
    <row r="417" spans="1:27" ht="12.75" x14ac:dyDescent="0.2">
      <c r="A417" s="24" t="s">
        <v>1502</v>
      </c>
      <c r="B417" s="174">
        <v>44652</v>
      </c>
      <c r="C417" s="23" t="s">
        <v>386</v>
      </c>
      <c r="D417" s="106">
        <v>5500053</v>
      </c>
      <c r="E417" s="24" t="s">
        <v>748</v>
      </c>
      <c r="F417" s="23" t="s">
        <v>425</v>
      </c>
      <c r="G417" s="47" t="s">
        <v>264</v>
      </c>
      <c r="H417" s="24" t="s">
        <v>840</v>
      </c>
      <c r="I417" s="23">
        <v>15</v>
      </c>
      <c r="J417" s="24" t="s">
        <v>3</v>
      </c>
      <c r="K417" s="103">
        <v>65908</v>
      </c>
      <c r="L417" s="35">
        <f t="shared" si="43"/>
        <v>988620</v>
      </c>
      <c r="M417" s="173">
        <f t="shared" si="46"/>
        <v>9.8862000000000005E-2</v>
      </c>
      <c r="N417" s="149">
        <v>0.44999999999999996</v>
      </c>
      <c r="O417" s="152">
        <f t="shared" si="44"/>
        <v>29658.6</v>
      </c>
      <c r="P417" s="149">
        <v>50.700333333333333</v>
      </c>
      <c r="Q417" s="152">
        <f t="shared" si="45"/>
        <v>3341557.5693333335</v>
      </c>
      <c r="R417" s="133">
        <f t="shared" si="47"/>
        <v>0.33415575693333333</v>
      </c>
      <c r="S417" s="23" t="s">
        <v>1494</v>
      </c>
      <c r="T417" s="24" t="s">
        <v>1478</v>
      </c>
      <c r="AA417"/>
    </row>
    <row r="418" spans="1:27" ht="12.75" x14ac:dyDescent="0.2">
      <c r="A418" s="24" t="s">
        <v>1502</v>
      </c>
      <c r="B418" s="174">
        <v>44652</v>
      </c>
      <c r="C418" s="23" t="s">
        <v>386</v>
      </c>
      <c r="D418" s="106">
        <v>5500522</v>
      </c>
      <c r="E418" s="24" t="s">
        <v>239</v>
      </c>
      <c r="F418" s="23" t="s">
        <v>425</v>
      </c>
      <c r="G418" s="47" t="s">
        <v>264</v>
      </c>
      <c r="H418" s="24" t="s">
        <v>841</v>
      </c>
      <c r="I418" s="23">
        <v>15</v>
      </c>
      <c r="J418" s="24" t="s">
        <v>3</v>
      </c>
      <c r="K418" s="103">
        <v>32020</v>
      </c>
      <c r="L418" s="35">
        <f t="shared" si="43"/>
        <v>480300</v>
      </c>
      <c r="M418" s="173">
        <f t="shared" si="46"/>
        <v>4.8030000000000003E-2</v>
      </c>
      <c r="N418" s="149">
        <v>0.4746354166666667</v>
      </c>
      <c r="O418" s="152">
        <f t="shared" si="44"/>
        <v>15197.826041666667</v>
      </c>
      <c r="P418" s="149">
        <v>144.63998321703033</v>
      </c>
      <c r="Q418" s="152">
        <f t="shared" si="45"/>
        <v>4631372.2626093114</v>
      </c>
      <c r="R418" s="133">
        <f t="shared" si="47"/>
        <v>0.46313722626093112</v>
      </c>
      <c r="S418" s="23" t="s">
        <v>1494</v>
      </c>
      <c r="T418" s="24" t="s">
        <v>1478</v>
      </c>
      <c r="AA418"/>
    </row>
    <row r="419" spans="1:27" ht="12.75" x14ac:dyDescent="0.2">
      <c r="A419" s="24" t="s">
        <v>1502</v>
      </c>
      <c r="B419" s="174">
        <v>44652</v>
      </c>
      <c r="C419" s="23" t="s">
        <v>386</v>
      </c>
      <c r="D419" s="106">
        <v>5500523</v>
      </c>
      <c r="E419" s="24" t="s">
        <v>312</v>
      </c>
      <c r="F419" s="23" t="s">
        <v>425</v>
      </c>
      <c r="G419" s="47" t="s">
        <v>264</v>
      </c>
      <c r="H419" s="24" t="s">
        <v>842</v>
      </c>
      <c r="I419" s="23">
        <v>15</v>
      </c>
      <c r="J419" s="24" t="s">
        <v>3</v>
      </c>
      <c r="K419" s="103">
        <v>26550</v>
      </c>
      <c r="L419" s="35">
        <f t="shared" si="43"/>
        <v>398250</v>
      </c>
      <c r="M419" s="173">
        <f t="shared" si="46"/>
        <v>3.9824999999999999E-2</v>
      </c>
      <c r="N419" s="149">
        <v>0.4746354166666667</v>
      </c>
      <c r="O419" s="152">
        <f t="shared" si="44"/>
        <v>12601.5703125</v>
      </c>
      <c r="P419" s="149">
        <v>172.12969451073985</v>
      </c>
      <c r="Q419" s="152">
        <f t="shared" si="45"/>
        <v>4570043.389260143</v>
      </c>
      <c r="R419" s="133">
        <f t="shared" si="47"/>
        <v>0.45700433892601433</v>
      </c>
      <c r="S419" s="23" t="s">
        <v>1494</v>
      </c>
      <c r="T419" s="24" t="s">
        <v>1478</v>
      </c>
      <c r="AA419"/>
    </row>
    <row r="420" spans="1:27" ht="12.75" x14ac:dyDescent="0.2">
      <c r="A420" s="24" t="s">
        <v>1502</v>
      </c>
      <c r="B420" s="174">
        <v>44652</v>
      </c>
      <c r="C420" s="23" t="s">
        <v>386</v>
      </c>
      <c r="D420" s="106">
        <v>5500784</v>
      </c>
      <c r="E420" s="24" t="s">
        <v>313</v>
      </c>
      <c r="F420" s="23" t="s">
        <v>425</v>
      </c>
      <c r="G420" s="47" t="s">
        <v>264</v>
      </c>
      <c r="H420" s="24" t="s">
        <v>843</v>
      </c>
      <c r="I420" s="23">
        <v>20</v>
      </c>
      <c r="J420" s="24" t="s">
        <v>3</v>
      </c>
      <c r="K420" s="103">
        <v>59115</v>
      </c>
      <c r="L420" s="35">
        <f t="shared" si="43"/>
        <v>1182300</v>
      </c>
      <c r="M420" s="173">
        <f t="shared" si="46"/>
        <v>0.11823</v>
      </c>
      <c r="N420" s="149">
        <v>0.44999999999999996</v>
      </c>
      <c r="O420" s="152">
        <f t="shared" si="44"/>
        <v>26601.749999999996</v>
      </c>
      <c r="P420" s="149">
        <v>92.300074955567538</v>
      </c>
      <c r="Q420" s="152">
        <f t="shared" si="45"/>
        <v>5456318.9309983747</v>
      </c>
      <c r="R420" s="133">
        <f t="shared" si="47"/>
        <v>0.54563189309983751</v>
      </c>
      <c r="S420" s="23" t="s">
        <v>1494</v>
      </c>
      <c r="T420" s="24" t="s">
        <v>1478</v>
      </c>
      <c r="AA420"/>
    </row>
    <row r="421" spans="1:27" ht="12.75" x14ac:dyDescent="0.2">
      <c r="A421" s="24" t="s">
        <v>1502</v>
      </c>
      <c r="B421" s="174">
        <v>44652</v>
      </c>
      <c r="C421" s="23" t="s">
        <v>386</v>
      </c>
      <c r="D421" s="106">
        <v>5500783</v>
      </c>
      <c r="E421" s="24" t="s">
        <v>729</v>
      </c>
      <c r="F421" s="23" t="s">
        <v>425</v>
      </c>
      <c r="G421" s="47" t="s">
        <v>264</v>
      </c>
      <c r="H421" s="24" t="s">
        <v>848</v>
      </c>
      <c r="I421" s="23">
        <v>20</v>
      </c>
      <c r="J421" s="24" t="s">
        <v>3</v>
      </c>
      <c r="K421" s="103">
        <v>98798</v>
      </c>
      <c r="L421" s="35">
        <f t="shared" si="43"/>
        <v>1975960</v>
      </c>
      <c r="M421" s="173">
        <f t="shared" si="46"/>
        <v>0.19759599999999999</v>
      </c>
      <c r="N421" s="149">
        <v>0.44999999999999996</v>
      </c>
      <c r="O421" s="152">
        <f t="shared" si="44"/>
        <v>44459.1</v>
      </c>
      <c r="P421" s="149">
        <v>64.360152993495291</v>
      </c>
      <c r="Q421" s="152">
        <f t="shared" si="45"/>
        <v>6358654.3954513473</v>
      </c>
      <c r="R421" s="133">
        <f t="shared" si="47"/>
        <v>0.63586543954513475</v>
      </c>
      <c r="S421" s="23" t="s">
        <v>1494</v>
      </c>
      <c r="T421" s="24" t="s">
        <v>1478</v>
      </c>
      <c r="AA421"/>
    </row>
    <row r="422" spans="1:27" ht="12.75" x14ac:dyDescent="0.2">
      <c r="A422" s="24" t="s">
        <v>1502</v>
      </c>
      <c r="B422" s="174">
        <v>44652</v>
      </c>
      <c r="C422" s="23" t="s">
        <v>386</v>
      </c>
      <c r="D422" s="106">
        <v>5500784</v>
      </c>
      <c r="E422" s="24" t="s">
        <v>313</v>
      </c>
      <c r="F422" s="23" t="s">
        <v>425</v>
      </c>
      <c r="G422" s="47" t="s">
        <v>264</v>
      </c>
      <c r="H422" s="24" t="s">
        <v>849</v>
      </c>
      <c r="I422" s="23">
        <v>20</v>
      </c>
      <c r="J422" s="24" t="s">
        <v>3</v>
      </c>
      <c r="K422" s="103">
        <v>59315</v>
      </c>
      <c r="L422" s="35">
        <f t="shared" si="43"/>
        <v>1186300</v>
      </c>
      <c r="M422" s="173">
        <f t="shared" si="46"/>
        <v>0.11863</v>
      </c>
      <c r="N422" s="149">
        <v>0.44999999999999996</v>
      </c>
      <c r="O422" s="152">
        <f t="shared" si="44"/>
        <v>26691.749999999996</v>
      </c>
      <c r="P422" s="149">
        <v>92.300074955567538</v>
      </c>
      <c r="Q422" s="152">
        <f t="shared" si="45"/>
        <v>5474778.9459894886</v>
      </c>
      <c r="R422" s="133">
        <f t="shared" si="47"/>
        <v>0.54747789459894891</v>
      </c>
      <c r="S422" s="23" t="s">
        <v>1494</v>
      </c>
      <c r="T422" s="24" t="s">
        <v>1478</v>
      </c>
      <c r="AA422"/>
    </row>
    <row r="423" spans="1:27" ht="12.75" x14ac:dyDescent="0.2">
      <c r="A423" s="24" t="s">
        <v>1502</v>
      </c>
      <c r="B423" s="174">
        <v>44652</v>
      </c>
      <c r="C423" s="23" t="s">
        <v>386</v>
      </c>
      <c r="D423" s="106">
        <v>5002388</v>
      </c>
      <c r="E423" s="24" t="s">
        <v>35</v>
      </c>
      <c r="F423" s="23" t="s">
        <v>424</v>
      </c>
      <c r="G423" s="47" t="s">
        <v>264</v>
      </c>
      <c r="H423" s="24" t="s">
        <v>852</v>
      </c>
      <c r="I423" s="23">
        <v>4</v>
      </c>
      <c r="J423" s="24" t="s">
        <v>3</v>
      </c>
      <c r="K423" s="103">
        <v>294812</v>
      </c>
      <c r="L423" s="35">
        <f t="shared" si="43"/>
        <v>1179248</v>
      </c>
      <c r="M423" s="173">
        <f t="shared" si="46"/>
        <v>0.1179248</v>
      </c>
      <c r="N423" s="149">
        <v>0.24</v>
      </c>
      <c r="O423" s="152">
        <f t="shared" si="44"/>
        <v>70754.880000000005</v>
      </c>
      <c r="P423" s="149">
        <v>24.109966666666665</v>
      </c>
      <c r="Q423" s="152">
        <f t="shared" si="45"/>
        <v>7107907.4929333329</v>
      </c>
      <c r="R423" s="133">
        <f t="shared" si="47"/>
        <v>0.7107907492933333</v>
      </c>
      <c r="S423" s="23" t="s">
        <v>1494</v>
      </c>
      <c r="T423" s="24" t="s">
        <v>1478</v>
      </c>
      <c r="AA423"/>
    </row>
    <row r="424" spans="1:27" ht="12.75" x14ac:dyDescent="0.2">
      <c r="A424" s="24" t="s">
        <v>1502</v>
      </c>
      <c r="B424" s="174">
        <v>44652</v>
      </c>
      <c r="C424" s="23" t="s">
        <v>386</v>
      </c>
      <c r="D424" s="106">
        <v>5006402</v>
      </c>
      <c r="E424" s="24" t="s">
        <v>750</v>
      </c>
      <c r="F424" s="23" t="s">
        <v>424</v>
      </c>
      <c r="G424" s="47" t="s">
        <v>264</v>
      </c>
      <c r="H424" s="24" t="s">
        <v>853</v>
      </c>
      <c r="I424" s="23">
        <v>10</v>
      </c>
      <c r="J424" s="24" t="s">
        <v>3</v>
      </c>
      <c r="K424" s="103">
        <v>20934</v>
      </c>
      <c r="L424" s="35">
        <f t="shared" si="43"/>
        <v>209340</v>
      </c>
      <c r="M424" s="173">
        <f t="shared" si="46"/>
        <v>2.0934000000000001E-2</v>
      </c>
      <c r="N424" s="149">
        <v>0.34177083333333336</v>
      </c>
      <c r="O424" s="152">
        <f t="shared" si="44"/>
        <v>7154.6306250000007</v>
      </c>
      <c r="P424" s="149">
        <v>464.38333333333333</v>
      </c>
      <c r="Q424" s="152">
        <f t="shared" si="45"/>
        <v>9721400.6999999993</v>
      </c>
      <c r="R424" s="133">
        <f t="shared" si="47"/>
        <v>0.97214006999999991</v>
      </c>
      <c r="S424" s="23" t="s">
        <v>1494</v>
      </c>
      <c r="T424" s="24" t="s">
        <v>1478</v>
      </c>
      <c r="AA424"/>
    </row>
    <row r="425" spans="1:27" ht="12.75" x14ac:dyDescent="0.2">
      <c r="A425" s="24" t="s">
        <v>1502</v>
      </c>
      <c r="B425" s="174">
        <v>44652</v>
      </c>
      <c r="C425" s="23" t="s">
        <v>386</v>
      </c>
      <c r="D425" s="106">
        <v>5500523</v>
      </c>
      <c r="E425" s="24" t="s">
        <v>312</v>
      </c>
      <c r="F425" s="23" t="s">
        <v>425</v>
      </c>
      <c r="G425" s="47" t="s">
        <v>264</v>
      </c>
      <c r="H425" s="24" t="s">
        <v>856</v>
      </c>
      <c r="I425" s="23">
        <v>15</v>
      </c>
      <c r="J425" s="24" t="s">
        <v>3</v>
      </c>
      <c r="K425" s="103">
        <v>32320</v>
      </c>
      <c r="L425" s="35">
        <f t="shared" si="43"/>
        <v>484800</v>
      </c>
      <c r="M425" s="173">
        <f t="shared" si="46"/>
        <v>4.8480000000000002E-2</v>
      </c>
      <c r="N425" s="149">
        <v>0.4746354166666667</v>
      </c>
      <c r="O425" s="152">
        <f t="shared" si="44"/>
        <v>15340.216666666667</v>
      </c>
      <c r="P425" s="149">
        <v>172.12969451073985</v>
      </c>
      <c r="Q425" s="152">
        <f t="shared" si="45"/>
        <v>5563231.7265871121</v>
      </c>
      <c r="R425" s="133">
        <f t="shared" si="47"/>
        <v>0.55632317265871123</v>
      </c>
      <c r="S425" s="23" t="s">
        <v>1494</v>
      </c>
      <c r="T425" s="24" t="s">
        <v>1478</v>
      </c>
      <c r="AA425"/>
    </row>
    <row r="426" spans="1:27" ht="12.75" x14ac:dyDescent="0.2">
      <c r="A426" s="24" t="s">
        <v>1502</v>
      </c>
      <c r="B426" s="174">
        <v>44652</v>
      </c>
      <c r="C426" s="23" t="s">
        <v>386</v>
      </c>
      <c r="D426" s="106">
        <v>5500523</v>
      </c>
      <c r="E426" s="24" t="s">
        <v>312</v>
      </c>
      <c r="F426" s="23" t="s">
        <v>425</v>
      </c>
      <c r="G426" s="47" t="s">
        <v>264</v>
      </c>
      <c r="H426" s="24" t="s">
        <v>857</v>
      </c>
      <c r="I426" s="23">
        <v>15</v>
      </c>
      <c r="J426" s="24" t="s">
        <v>3</v>
      </c>
      <c r="K426" s="103">
        <v>32250</v>
      </c>
      <c r="L426" s="35">
        <f t="shared" si="43"/>
        <v>483750</v>
      </c>
      <c r="M426" s="173">
        <f t="shared" si="46"/>
        <v>4.8375000000000001E-2</v>
      </c>
      <c r="N426" s="149">
        <v>0.4746354166666667</v>
      </c>
      <c r="O426" s="152">
        <f t="shared" si="44"/>
        <v>15306.992187500002</v>
      </c>
      <c r="P426" s="149">
        <v>172.12969451073985</v>
      </c>
      <c r="Q426" s="152">
        <f t="shared" si="45"/>
        <v>5551182.64797136</v>
      </c>
      <c r="R426" s="133">
        <f t="shared" si="47"/>
        <v>0.555118264797136</v>
      </c>
      <c r="S426" s="23" t="s">
        <v>1494</v>
      </c>
      <c r="T426" s="24" t="s">
        <v>1478</v>
      </c>
      <c r="AA426"/>
    </row>
    <row r="427" spans="1:27" ht="12.75" x14ac:dyDescent="0.2">
      <c r="A427" s="24" t="s">
        <v>1502</v>
      </c>
      <c r="B427" s="174">
        <v>44652</v>
      </c>
      <c r="C427" s="23" t="s">
        <v>386</v>
      </c>
      <c r="D427" s="106">
        <v>5500783</v>
      </c>
      <c r="E427" s="24" t="s">
        <v>729</v>
      </c>
      <c r="F427" s="23" t="s">
        <v>425</v>
      </c>
      <c r="G427" s="47" t="s">
        <v>264</v>
      </c>
      <c r="H427" s="24" t="s">
        <v>859</v>
      </c>
      <c r="I427" s="23">
        <v>20</v>
      </c>
      <c r="J427" s="24" t="s">
        <v>3</v>
      </c>
      <c r="K427" s="103">
        <v>98898</v>
      </c>
      <c r="L427" s="35">
        <f t="shared" si="43"/>
        <v>1977960</v>
      </c>
      <c r="M427" s="173">
        <f t="shared" si="46"/>
        <v>0.197796</v>
      </c>
      <c r="N427" s="149">
        <v>0.44999999999999996</v>
      </c>
      <c r="O427" s="152">
        <f t="shared" si="44"/>
        <v>44504.1</v>
      </c>
      <c r="P427" s="149">
        <v>64.360152993495291</v>
      </c>
      <c r="Q427" s="152">
        <f t="shared" si="45"/>
        <v>6365090.4107506974</v>
      </c>
      <c r="R427" s="133">
        <f t="shared" si="47"/>
        <v>0.63650904107506978</v>
      </c>
      <c r="S427" s="23" t="s">
        <v>1494</v>
      </c>
      <c r="T427" s="24" t="s">
        <v>1478</v>
      </c>
      <c r="AA427"/>
    </row>
    <row r="428" spans="1:27" ht="12.75" x14ac:dyDescent="0.2">
      <c r="A428" s="24" t="s">
        <v>1502</v>
      </c>
      <c r="B428" s="174">
        <v>44652</v>
      </c>
      <c r="C428" s="23" t="s">
        <v>386</v>
      </c>
      <c r="D428" s="106">
        <v>5500784</v>
      </c>
      <c r="E428" s="24" t="s">
        <v>313</v>
      </c>
      <c r="F428" s="23" t="s">
        <v>425</v>
      </c>
      <c r="G428" s="47" t="s">
        <v>264</v>
      </c>
      <c r="H428" s="24" t="s">
        <v>860</v>
      </c>
      <c r="I428" s="23">
        <v>20</v>
      </c>
      <c r="J428" s="24" t="s">
        <v>3</v>
      </c>
      <c r="K428" s="103">
        <v>59495</v>
      </c>
      <c r="L428" s="35">
        <f t="shared" si="43"/>
        <v>1189900</v>
      </c>
      <c r="M428" s="173">
        <f t="shared" si="46"/>
        <v>0.11899</v>
      </c>
      <c r="N428" s="149">
        <v>0.44999999999999996</v>
      </c>
      <c r="O428" s="152">
        <f t="shared" si="44"/>
        <v>26772.749999999996</v>
      </c>
      <c r="P428" s="149">
        <v>92.300074955567538</v>
      </c>
      <c r="Q428" s="152">
        <f t="shared" si="45"/>
        <v>5491392.9594814908</v>
      </c>
      <c r="R428" s="133">
        <f t="shared" si="47"/>
        <v>0.54913929594814903</v>
      </c>
      <c r="S428" s="23" t="s">
        <v>1494</v>
      </c>
      <c r="T428" s="24" t="s">
        <v>1478</v>
      </c>
      <c r="AA428"/>
    </row>
    <row r="429" spans="1:27" ht="12.75" x14ac:dyDescent="0.2">
      <c r="A429" s="24" t="s">
        <v>1502</v>
      </c>
      <c r="B429" s="174">
        <v>44652</v>
      </c>
      <c r="C429" s="23" t="s">
        <v>386</v>
      </c>
      <c r="D429" s="106">
        <v>5500053</v>
      </c>
      <c r="E429" s="24" t="s">
        <v>748</v>
      </c>
      <c r="F429" s="23" t="s">
        <v>425</v>
      </c>
      <c r="G429" s="47" t="s">
        <v>264</v>
      </c>
      <c r="H429" s="24" t="s">
        <v>863</v>
      </c>
      <c r="I429" s="23">
        <v>15</v>
      </c>
      <c r="J429" s="24" t="s">
        <v>3</v>
      </c>
      <c r="K429" s="103">
        <v>65298</v>
      </c>
      <c r="L429" s="35">
        <f t="shared" si="43"/>
        <v>979470</v>
      </c>
      <c r="M429" s="173">
        <f t="shared" si="46"/>
        <v>9.7947000000000006E-2</v>
      </c>
      <c r="N429" s="149">
        <v>0.44999999999999996</v>
      </c>
      <c r="O429" s="152">
        <f t="shared" si="44"/>
        <v>29384.1</v>
      </c>
      <c r="P429" s="149">
        <v>50.700333333333333</v>
      </c>
      <c r="Q429" s="152">
        <f t="shared" si="45"/>
        <v>3310630.3659999999</v>
      </c>
      <c r="R429" s="133">
        <f t="shared" si="47"/>
        <v>0.33106303659999997</v>
      </c>
      <c r="S429" s="23" t="s">
        <v>1494</v>
      </c>
      <c r="T429" s="24" t="s">
        <v>1478</v>
      </c>
      <c r="AA429"/>
    </row>
    <row r="430" spans="1:27" ht="12.75" x14ac:dyDescent="0.2">
      <c r="A430" s="24" t="s">
        <v>1502</v>
      </c>
      <c r="B430" s="174">
        <v>44652</v>
      </c>
      <c r="C430" s="23" t="s">
        <v>386</v>
      </c>
      <c r="D430" s="106">
        <v>5500783</v>
      </c>
      <c r="E430" s="24" t="s">
        <v>729</v>
      </c>
      <c r="F430" s="23" t="s">
        <v>425</v>
      </c>
      <c r="G430" s="47" t="s">
        <v>264</v>
      </c>
      <c r="H430" s="24" t="s">
        <v>867</v>
      </c>
      <c r="I430" s="23">
        <v>20</v>
      </c>
      <c r="J430" s="24" t="s">
        <v>3</v>
      </c>
      <c r="K430" s="103">
        <v>98778</v>
      </c>
      <c r="L430" s="35">
        <f t="shared" si="43"/>
        <v>1975560</v>
      </c>
      <c r="M430" s="173">
        <f t="shared" si="46"/>
        <v>0.19755600000000001</v>
      </c>
      <c r="N430" s="149">
        <v>0.44999999999999996</v>
      </c>
      <c r="O430" s="152">
        <f t="shared" si="44"/>
        <v>44450.1</v>
      </c>
      <c r="P430" s="149">
        <v>64.360152993495291</v>
      </c>
      <c r="Q430" s="152">
        <f t="shared" si="45"/>
        <v>6357367.1923914775</v>
      </c>
      <c r="R430" s="133">
        <f t="shared" si="47"/>
        <v>0.63573671923914776</v>
      </c>
      <c r="S430" s="23" t="s">
        <v>1494</v>
      </c>
      <c r="T430" s="24" t="s">
        <v>1478</v>
      </c>
      <c r="AA430"/>
    </row>
    <row r="431" spans="1:27" ht="12.75" x14ac:dyDescent="0.2">
      <c r="A431" s="24" t="s">
        <v>1502</v>
      </c>
      <c r="B431" s="174">
        <v>44652</v>
      </c>
      <c r="C431" s="23" t="s">
        <v>386</v>
      </c>
      <c r="D431" s="106">
        <v>5500784</v>
      </c>
      <c r="E431" s="24" t="s">
        <v>313</v>
      </c>
      <c r="F431" s="23" t="s">
        <v>425</v>
      </c>
      <c r="G431" s="47" t="s">
        <v>264</v>
      </c>
      <c r="H431" s="24" t="s">
        <v>868</v>
      </c>
      <c r="I431" s="23">
        <v>20</v>
      </c>
      <c r="J431" s="24" t="s">
        <v>3</v>
      </c>
      <c r="K431" s="103">
        <v>59725</v>
      </c>
      <c r="L431" s="35">
        <f t="shared" si="43"/>
        <v>1194500</v>
      </c>
      <c r="M431" s="173">
        <f t="shared" si="46"/>
        <v>0.11945</v>
      </c>
      <c r="N431" s="149">
        <v>0.44999999999999996</v>
      </c>
      <c r="O431" s="152">
        <f t="shared" si="44"/>
        <v>26876.249999999996</v>
      </c>
      <c r="P431" s="149">
        <v>92.300074955567538</v>
      </c>
      <c r="Q431" s="152">
        <f t="shared" si="45"/>
        <v>5512621.9767212709</v>
      </c>
      <c r="R431" s="133">
        <f t="shared" si="47"/>
        <v>0.55126219767212714</v>
      </c>
      <c r="S431" s="23" t="s">
        <v>1494</v>
      </c>
      <c r="T431" s="24" t="s">
        <v>1478</v>
      </c>
      <c r="AA431"/>
    </row>
    <row r="432" spans="1:27" ht="12.75" x14ac:dyDescent="0.2">
      <c r="A432" s="24" t="s">
        <v>1502</v>
      </c>
      <c r="B432" s="174">
        <v>44652</v>
      </c>
      <c r="C432" s="23" t="s">
        <v>386</v>
      </c>
      <c r="D432" s="106">
        <v>5501284</v>
      </c>
      <c r="E432" s="24" t="s">
        <v>375</v>
      </c>
      <c r="F432" s="23" t="s">
        <v>425</v>
      </c>
      <c r="G432" s="47" t="s">
        <v>264</v>
      </c>
      <c r="H432" s="24" t="s">
        <v>869</v>
      </c>
      <c r="I432" s="23">
        <v>20</v>
      </c>
      <c r="J432" s="24" t="s">
        <v>3</v>
      </c>
      <c r="K432" s="103">
        <v>23423</v>
      </c>
      <c r="L432" s="35">
        <f t="shared" si="43"/>
        <v>468460</v>
      </c>
      <c r="M432" s="173">
        <f t="shared" si="46"/>
        <v>4.6845999999999999E-2</v>
      </c>
      <c r="N432" s="149">
        <v>0.60750000000000004</v>
      </c>
      <c r="O432" s="152">
        <f t="shared" si="44"/>
        <v>14229.472500000002</v>
      </c>
      <c r="P432" s="149">
        <v>150.43016597510373</v>
      </c>
      <c r="Q432" s="152">
        <f t="shared" si="45"/>
        <v>3523525.7776348549</v>
      </c>
      <c r="R432" s="133">
        <f t="shared" si="47"/>
        <v>0.3523525777634855</v>
      </c>
      <c r="S432" s="23" t="s">
        <v>1494</v>
      </c>
      <c r="T432" s="24" t="s">
        <v>1478</v>
      </c>
      <c r="AA432"/>
    </row>
    <row r="433" spans="1:27" ht="12.75" x14ac:dyDescent="0.2">
      <c r="A433" s="24" t="s">
        <v>1502</v>
      </c>
      <c r="B433" s="174">
        <v>44652</v>
      </c>
      <c r="C433" s="23" t="s">
        <v>386</v>
      </c>
      <c r="D433" s="106">
        <v>5500783</v>
      </c>
      <c r="E433" s="24" t="s">
        <v>729</v>
      </c>
      <c r="F433" s="23" t="s">
        <v>425</v>
      </c>
      <c r="G433" s="47" t="s">
        <v>264</v>
      </c>
      <c r="H433" s="24" t="s">
        <v>877</v>
      </c>
      <c r="I433" s="23">
        <v>20</v>
      </c>
      <c r="J433" s="24" t="s">
        <v>3</v>
      </c>
      <c r="K433" s="103">
        <v>98568</v>
      </c>
      <c r="L433" s="35">
        <f t="shared" si="43"/>
        <v>1971360</v>
      </c>
      <c r="M433" s="173">
        <f t="shared" si="46"/>
        <v>0.19713600000000001</v>
      </c>
      <c r="N433" s="149">
        <v>0.44999999999999996</v>
      </c>
      <c r="O433" s="152">
        <f t="shared" si="44"/>
        <v>44355.6</v>
      </c>
      <c r="P433" s="149">
        <v>64.360152993495291</v>
      </c>
      <c r="Q433" s="152">
        <f t="shared" si="45"/>
        <v>6343851.560262844</v>
      </c>
      <c r="R433" s="133">
        <f t="shared" si="47"/>
        <v>0.63438515602628442</v>
      </c>
      <c r="S433" s="23" t="s">
        <v>1494</v>
      </c>
      <c r="T433" s="24" t="s">
        <v>1478</v>
      </c>
      <c r="AA433"/>
    </row>
    <row r="434" spans="1:27" ht="12.75" x14ac:dyDescent="0.2">
      <c r="A434" s="24" t="s">
        <v>1502</v>
      </c>
      <c r="B434" s="174">
        <v>44652</v>
      </c>
      <c r="C434" s="23" t="s">
        <v>386</v>
      </c>
      <c r="D434" s="106">
        <v>5500784</v>
      </c>
      <c r="E434" s="24" t="s">
        <v>313</v>
      </c>
      <c r="F434" s="23" t="s">
        <v>425</v>
      </c>
      <c r="G434" s="47" t="s">
        <v>264</v>
      </c>
      <c r="H434" s="24" t="s">
        <v>878</v>
      </c>
      <c r="I434" s="23">
        <v>20</v>
      </c>
      <c r="J434" s="24" t="s">
        <v>3</v>
      </c>
      <c r="K434" s="103">
        <v>58863</v>
      </c>
      <c r="L434" s="35">
        <f t="shared" si="43"/>
        <v>1177260</v>
      </c>
      <c r="M434" s="173">
        <f t="shared" si="46"/>
        <v>0.117726</v>
      </c>
      <c r="N434" s="149">
        <v>0.44999999999999996</v>
      </c>
      <c r="O434" s="152">
        <f t="shared" si="44"/>
        <v>26488.35</v>
      </c>
      <c r="P434" s="149">
        <v>92.300074955567538</v>
      </c>
      <c r="Q434" s="152">
        <f t="shared" si="45"/>
        <v>5433059.3121095719</v>
      </c>
      <c r="R434" s="133">
        <f t="shared" si="47"/>
        <v>0.54330593121095716</v>
      </c>
      <c r="S434" s="23" t="s">
        <v>1494</v>
      </c>
      <c r="T434" s="24" t="s">
        <v>1478</v>
      </c>
      <c r="AA434"/>
    </row>
    <row r="435" spans="1:27" ht="12.75" x14ac:dyDescent="0.2">
      <c r="A435" s="24" t="s">
        <v>1502</v>
      </c>
      <c r="B435" s="174">
        <v>44652</v>
      </c>
      <c r="C435" s="23" t="s">
        <v>386</v>
      </c>
      <c r="D435" s="106">
        <v>5501181</v>
      </c>
      <c r="E435" s="24" t="s">
        <v>247</v>
      </c>
      <c r="F435" s="23" t="s">
        <v>425</v>
      </c>
      <c r="G435" s="47" t="s">
        <v>264</v>
      </c>
      <c r="H435" s="24" t="s">
        <v>879</v>
      </c>
      <c r="I435" s="23">
        <v>20</v>
      </c>
      <c r="J435" s="24" t="s">
        <v>3</v>
      </c>
      <c r="K435" s="103">
        <v>24835</v>
      </c>
      <c r="L435" s="35">
        <f t="shared" si="43"/>
        <v>496700</v>
      </c>
      <c r="M435" s="173">
        <f t="shared" si="46"/>
        <v>4.9669999999999999E-2</v>
      </c>
      <c r="N435" s="149">
        <v>0.64</v>
      </c>
      <c r="O435" s="152">
        <f t="shared" si="44"/>
        <v>15894.4</v>
      </c>
      <c r="P435" s="149">
        <v>192.21011538461536</v>
      </c>
      <c r="Q435" s="152">
        <f t="shared" si="45"/>
        <v>4773538.2155769225</v>
      </c>
      <c r="R435" s="133">
        <f t="shared" si="47"/>
        <v>0.47735382155769224</v>
      </c>
      <c r="S435" s="23" t="s">
        <v>1494</v>
      </c>
      <c r="T435" s="24" t="s">
        <v>1478</v>
      </c>
      <c r="AA435"/>
    </row>
    <row r="436" spans="1:27" ht="12.75" x14ac:dyDescent="0.2">
      <c r="A436" s="24" t="s">
        <v>1502</v>
      </c>
      <c r="B436" s="174">
        <v>44652</v>
      </c>
      <c r="C436" s="23" t="s">
        <v>386</v>
      </c>
      <c r="D436" s="106">
        <v>5501285</v>
      </c>
      <c r="E436" s="24" t="s">
        <v>378</v>
      </c>
      <c r="F436" s="23" t="s">
        <v>425</v>
      </c>
      <c r="G436" s="47" t="s">
        <v>264</v>
      </c>
      <c r="H436" s="24" t="s">
        <v>880</v>
      </c>
      <c r="I436" s="23">
        <v>20</v>
      </c>
      <c r="J436" s="24" t="s">
        <v>3</v>
      </c>
      <c r="K436" s="103">
        <v>20213</v>
      </c>
      <c r="L436" s="35">
        <f t="shared" ref="L436:L468" si="48">K436*I436</f>
        <v>404260</v>
      </c>
      <c r="M436" s="173">
        <f t="shared" si="46"/>
        <v>4.0425999999999997E-2</v>
      </c>
      <c r="N436" s="149">
        <v>0.60750000000000004</v>
      </c>
      <c r="O436" s="152">
        <f t="shared" ref="O436:O468" si="49">+K436*N436</f>
        <v>12279.397500000001</v>
      </c>
      <c r="P436" s="149">
        <v>165.21099999999998</v>
      </c>
      <c r="Q436" s="152">
        <f t="shared" si="45"/>
        <v>3339409.9429999995</v>
      </c>
      <c r="R436" s="133">
        <f t="shared" si="47"/>
        <v>0.33394099429999996</v>
      </c>
      <c r="S436" s="23" t="s">
        <v>1494</v>
      </c>
      <c r="T436" s="24" t="s">
        <v>1478</v>
      </c>
      <c r="AA436"/>
    </row>
    <row r="437" spans="1:27" ht="12.75" x14ac:dyDescent="0.2">
      <c r="A437" s="24" t="s">
        <v>1502</v>
      </c>
      <c r="B437" s="174">
        <v>44652</v>
      </c>
      <c r="C437" s="23" t="s">
        <v>386</v>
      </c>
      <c r="D437" s="106">
        <v>5500412</v>
      </c>
      <c r="E437" s="24" t="s">
        <v>753</v>
      </c>
      <c r="F437" s="23" t="s">
        <v>425</v>
      </c>
      <c r="G437" s="47" t="s">
        <v>264</v>
      </c>
      <c r="H437" s="24" t="s">
        <v>887</v>
      </c>
      <c r="I437" s="23">
        <v>15</v>
      </c>
      <c r="J437" s="24" t="s">
        <v>65</v>
      </c>
      <c r="K437" s="103">
        <v>131661</v>
      </c>
      <c r="L437" s="35">
        <f t="shared" si="48"/>
        <v>1974915</v>
      </c>
      <c r="M437" s="173">
        <f t="shared" si="46"/>
        <v>0.19749149999999999</v>
      </c>
      <c r="N437" s="149">
        <v>0.44999999999999996</v>
      </c>
      <c r="O437" s="152">
        <f t="shared" si="49"/>
        <v>59247.45</v>
      </c>
      <c r="P437" s="149">
        <v>113.14006738544475</v>
      </c>
      <c r="Q437" s="152">
        <f t="shared" si="45"/>
        <v>14896134.412035041</v>
      </c>
      <c r="R437" s="133">
        <f t="shared" si="47"/>
        <v>1.489613441203504</v>
      </c>
      <c r="S437" s="23" t="s">
        <v>1494</v>
      </c>
      <c r="T437" s="24" t="s">
        <v>1478</v>
      </c>
      <c r="AA437"/>
    </row>
    <row r="438" spans="1:27" ht="12.75" x14ac:dyDescent="0.2">
      <c r="A438" s="24" t="s">
        <v>1502</v>
      </c>
      <c r="B438" s="174">
        <v>44652</v>
      </c>
      <c r="C438" s="23" t="s">
        <v>386</v>
      </c>
      <c r="D438" s="106">
        <v>5500553</v>
      </c>
      <c r="E438" s="24" t="s">
        <v>240</v>
      </c>
      <c r="F438" s="23" t="s">
        <v>425</v>
      </c>
      <c r="G438" s="47" t="s">
        <v>264</v>
      </c>
      <c r="H438" s="24" t="s">
        <v>888</v>
      </c>
      <c r="I438" s="23">
        <v>10</v>
      </c>
      <c r="J438" s="24" t="s">
        <v>3</v>
      </c>
      <c r="K438" s="103">
        <v>43255</v>
      </c>
      <c r="L438" s="35">
        <f t="shared" si="48"/>
        <v>432550</v>
      </c>
      <c r="M438" s="173">
        <f t="shared" si="46"/>
        <v>4.3255000000000002E-2</v>
      </c>
      <c r="N438" s="149">
        <v>0.34177083333333336</v>
      </c>
      <c r="O438" s="152">
        <f t="shared" si="49"/>
        <v>14783.297395833335</v>
      </c>
      <c r="P438" s="149">
        <v>75.210000000000008</v>
      </c>
      <c r="Q438" s="152">
        <f t="shared" si="45"/>
        <v>3253208.5500000003</v>
      </c>
      <c r="R438" s="133">
        <f t="shared" si="47"/>
        <v>0.32532085500000002</v>
      </c>
      <c r="S438" s="23" t="s">
        <v>1494</v>
      </c>
      <c r="T438" s="24" t="s">
        <v>1478</v>
      </c>
      <c r="AA438"/>
    </row>
    <row r="439" spans="1:27" ht="12.75" x14ac:dyDescent="0.2">
      <c r="A439" s="24" t="s">
        <v>1502</v>
      </c>
      <c r="B439" s="174">
        <v>44652</v>
      </c>
      <c r="C439" s="23" t="s">
        <v>386</v>
      </c>
      <c r="D439" s="106">
        <v>5500784</v>
      </c>
      <c r="E439" s="24" t="s">
        <v>313</v>
      </c>
      <c r="F439" s="23" t="s">
        <v>425</v>
      </c>
      <c r="G439" s="47" t="s">
        <v>264</v>
      </c>
      <c r="H439" s="24" t="s">
        <v>889</v>
      </c>
      <c r="I439" s="23">
        <v>20</v>
      </c>
      <c r="J439" s="24" t="s">
        <v>3</v>
      </c>
      <c r="K439" s="103">
        <v>59413</v>
      </c>
      <c r="L439" s="35">
        <f t="shared" si="48"/>
        <v>1188260</v>
      </c>
      <c r="M439" s="173">
        <f t="shared" si="46"/>
        <v>0.118826</v>
      </c>
      <c r="N439" s="149">
        <v>0.44999999999999996</v>
      </c>
      <c r="O439" s="152">
        <f t="shared" si="49"/>
        <v>26735.85</v>
      </c>
      <c r="P439" s="149">
        <v>92.300074955567538</v>
      </c>
      <c r="Q439" s="152">
        <f t="shared" si="45"/>
        <v>5483824.3533351338</v>
      </c>
      <c r="R439" s="133">
        <f t="shared" si="47"/>
        <v>0.54838243533351338</v>
      </c>
      <c r="S439" s="23" t="s">
        <v>1494</v>
      </c>
      <c r="T439" s="24" t="s">
        <v>1478</v>
      </c>
      <c r="AA439"/>
    </row>
    <row r="440" spans="1:27" ht="12.75" x14ac:dyDescent="0.2">
      <c r="A440" s="24" t="s">
        <v>1502</v>
      </c>
      <c r="B440" s="174">
        <v>44652</v>
      </c>
      <c r="C440" s="23" t="s">
        <v>386</v>
      </c>
      <c r="D440" s="106">
        <v>5501431</v>
      </c>
      <c r="E440" s="24" t="s">
        <v>251</v>
      </c>
      <c r="F440" s="23" t="s">
        <v>425</v>
      </c>
      <c r="G440" s="47" t="s">
        <v>264</v>
      </c>
      <c r="H440" s="24" t="s">
        <v>810</v>
      </c>
      <c r="I440" s="23">
        <v>10</v>
      </c>
      <c r="J440" s="24" t="s">
        <v>3</v>
      </c>
      <c r="K440" s="103">
        <v>24730</v>
      </c>
      <c r="L440" s="35">
        <f t="shared" si="48"/>
        <v>247300</v>
      </c>
      <c r="M440" s="173">
        <f t="shared" si="46"/>
        <v>2.4729999999999999E-2</v>
      </c>
      <c r="N440" s="149">
        <v>0.34177083333333336</v>
      </c>
      <c r="O440" s="152">
        <f t="shared" si="49"/>
        <v>8451.9927083333332</v>
      </c>
      <c r="P440" s="149">
        <v>99.640028849621515</v>
      </c>
      <c r="Q440" s="152">
        <f t="shared" si="45"/>
        <v>2464097.9134511403</v>
      </c>
      <c r="R440" s="133">
        <f t="shared" si="47"/>
        <v>0.24640979134511404</v>
      </c>
      <c r="S440" s="23" t="s">
        <v>1494</v>
      </c>
      <c r="T440" s="24" t="s">
        <v>1478</v>
      </c>
      <c r="AA440"/>
    </row>
    <row r="441" spans="1:27" ht="12.75" x14ac:dyDescent="0.2">
      <c r="A441" s="24" t="s">
        <v>1502</v>
      </c>
      <c r="B441" s="174">
        <v>44652</v>
      </c>
      <c r="C441" s="23" t="s">
        <v>386</v>
      </c>
      <c r="D441" s="106">
        <v>5500553</v>
      </c>
      <c r="E441" s="24" t="s">
        <v>240</v>
      </c>
      <c r="F441" s="23" t="s">
        <v>425</v>
      </c>
      <c r="G441" s="47" t="s">
        <v>264</v>
      </c>
      <c r="H441" s="24" t="s">
        <v>894</v>
      </c>
      <c r="I441" s="23">
        <v>10</v>
      </c>
      <c r="J441" s="24" t="s">
        <v>3</v>
      </c>
      <c r="K441" s="103">
        <v>42815</v>
      </c>
      <c r="L441" s="35">
        <f t="shared" si="48"/>
        <v>428150</v>
      </c>
      <c r="M441" s="173">
        <f t="shared" si="46"/>
        <v>4.2814999999999999E-2</v>
      </c>
      <c r="N441" s="149">
        <v>0.34177083333333336</v>
      </c>
      <c r="O441" s="152">
        <f t="shared" si="49"/>
        <v>14632.918229166668</v>
      </c>
      <c r="P441" s="149">
        <v>75.210000000000008</v>
      </c>
      <c r="Q441" s="152">
        <f t="shared" si="45"/>
        <v>3220116.1500000004</v>
      </c>
      <c r="R441" s="133">
        <f t="shared" si="47"/>
        <v>0.32201161500000003</v>
      </c>
      <c r="S441" s="23" t="s">
        <v>1494</v>
      </c>
      <c r="T441" s="24" t="s">
        <v>1478</v>
      </c>
      <c r="AA441"/>
    </row>
    <row r="442" spans="1:27" ht="12.75" x14ac:dyDescent="0.2">
      <c r="A442" s="24" t="s">
        <v>1502</v>
      </c>
      <c r="B442" s="174">
        <v>44652</v>
      </c>
      <c r="C442" s="23" t="s">
        <v>386</v>
      </c>
      <c r="D442" s="106">
        <v>5500783</v>
      </c>
      <c r="E442" s="24" t="s">
        <v>729</v>
      </c>
      <c r="F442" s="23" t="s">
        <v>425</v>
      </c>
      <c r="G442" s="47" t="s">
        <v>264</v>
      </c>
      <c r="H442" s="24" t="s">
        <v>896</v>
      </c>
      <c r="I442" s="23">
        <v>20</v>
      </c>
      <c r="J442" s="24" t="s">
        <v>3</v>
      </c>
      <c r="K442" s="103">
        <v>98658</v>
      </c>
      <c r="L442" s="35">
        <f t="shared" si="48"/>
        <v>1973160</v>
      </c>
      <c r="M442" s="173">
        <f t="shared" si="46"/>
        <v>0.19731599999999999</v>
      </c>
      <c r="N442" s="149">
        <v>0.44999999999999996</v>
      </c>
      <c r="O442" s="152">
        <f t="shared" si="49"/>
        <v>44396.1</v>
      </c>
      <c r="P442" s="149">
        <v>64.360152993495291</v>
      </c>
      <c r="Q442" s="152">
        <f t="shared" si="45"/>
        <v>6349643.9740322586</v>
      </c>
      <c r="R442" s="133">
        <f t="shared" si="47"/>
        <v>0.63496439740322586</v>
      </c>
      <c r="S442" s="23" t="s">
        <v>1494</v>
      </c>
      <c r="T442" s="24" t="s">
        <v>1478</v>
      </c>
      <c r="AA442"/>
    </row>
    <row r="443" spans="1:27" ht="12.75" x14ac:dyDescent="0.2">
      <c r="A443" s="24" t="s">
        <v>1502</v>
      </c>
      <c r="B443" s="174">
        <v>44652</v>
      </c>
      <c r="C443" s="23" t="s">
        <v>386</v>
      </c>
      <c r="D443" s="106">
        <v>5500783</v>
      </c>
      <c r="E443" s="24" t="s">
        <v>729</v>
      </c>
      <c r="F443" s="23" t="s">
        <v>425</v>
      </c>
      <c r="G443" s="47" t="s">
        <v>264</v>
      </c>
      <c r="H443" s="24" t="s">
        <v>897</v>
      </c>
      <c r="I443" s="23">
        <v>20</v>
      </c>
      <c r="J443" s="24" t="s">
        <v>3</v>
      </c>
      <c r="K443" s="103">
        <v>98898</v>
      </c>
      <c r="L443" s="35">
        <f t="shared" si="48"/>
        <v>1977960</v>
      </c>
      <c r="M443" s="173">
        <f t="shared" si="46"/>
        <v>0.197796</v>
      </c>
      <c r="N443" s="149">
        <v>0.44999999999999996</v>
      </c>
      <c r="O443" s="152">
        <f t="shared" si="49"/>
        <v>44504.1</v>
      </c>
      <c r="P443" s="149">
        <v>64.360152993495291</v>
      </c>
      <c r="Q443" s="152">
        <f t="shared" si="45"/>
        <v>6365090.4107506974</v>
      </c>
      <c r="R443" s="133">
        <f t="shared" si="47"/>
        <v>0.63650904107506978</v>
      </c>
      <c r="S443" s="23" t="s">
        <v>1494</v>
      </c>
      <c r="T443" s="24" t="s">
        <v>1478</v>
      </c>
      <c r="AA443"/>
    </row>
    <row r="444" spans="1:27" ht="12.75" x14ac:dyDescent="0.2">
      <c r="A444" s="24" t="s">
        <v>1502</v>
      </c>
      <c r="B444" s="174">
        <v>44652</v>
      </c>
      <c r="C444" s="23" t="s">
        <v>386</v>
      </c>
      <c r="D444" s="106">
        <v>5500784</v>
      </c>
      <c r="E444" s="24" t="s">
        <v>313</v>
      </c>
      <c r="F444" s="23" t="s">
        <v>425</v>
      </c>
      <c r="G444" s="47" t="s">
        <v>264</v>
      </c>
      <c r="H444" s="24" t="s">
        <v>898</v>
      </c>
      <c r="I444" s="23">
        <v>20</v>
      </c>
      <c r="J444" s="24" t="s">
        <v>3</v>
      </c>
      <c r="K444" s="103">
        <v>59453</v>
      </c>
      <c r="L444" s="35">
        <f t="shared" si="48"/>
        <v>1189060</v>
      </c>
      <c r="M444" s="173">
        <f t="shared" si="46"/>
        <v>0.118906</v>
      </c>
      <c r="N444" s="149">
        <v>0.44999999999999996</v>
      </c>
      <c r="O444" s="152">
        <f t="shared" si="49"/>
        <v>26753.85</v>
      </c>
      <c r="P444" s="149">
        <v>92.300074955567538</v>
      </c>
      <c r="Q444" s="152">
        <f t="shared" si="45"/>
        <v>5487516.3563333573</v>
      </c>
      <c r="R444" s="133">
        <f t="shared" si="47"/>
        <v>0.54875163563333573</v>
      </c>
      <c r="S444" s="23" t="s">
        <v>1494</v>
      </c>
      <c r="T444" s="24" t="s">
        <v>1478</v>
      </c>
      <c r="AA444"/>
    </row>
    <row r="445" spans="1:27" ht="12.75" x14ac:dyDescent="0.2">
      <c r="A445" s="24" t="s">
        <v>1502</v>
      </c>
      <c r="B445" s="174">
        <v>44652</v>
      </c>
      <c r="C445" s="23" t="s">
        <v>386</v>
      </c>
      <c r="D445" s="106">
        <v>5500783</v>
      </c>
      <c r="E445" s="24" t="s">
        <v>729</v>
      </c>
      <c r="F445" s="23" t="s">
        <v>425</v>
      </c>
      <c r="G445" s="47" t="s">
        <v>264</v>
      </c>
      <c r="H445" s="24" t="s">
        <v>905</v>
      </c>
      <c r="I445" s="23">
        <v>20</v>
      </c>
      <c r="J445" s="24" t="s">
        <v>3</v>
      </c>
      <c r="K445" s="103">
        <v>99178</v>
      </c>
      <c r="L445" s="35">
        <f t="shared" si="48"/>
        <v>1983560</v>
      </c>
      <c r="M445" s="173">
        <f t="shared" si="46"/>
        <v>0.198356</v>
      </c>
      <c r="N445" s="149">
        <v>0.44999999999999996</v>
      </c>
      <c r="O445" s="152">
        <f t="shared" si="49"/>
        <v>44630.1</v>
      </c>
      <c r="P445" s="149">
        <v>64.360152993495291</v>
      </c>
      <c r="Q445" s="152">
        <f t="shared" si="45"/>
        <v>6383111.2535888758</v>
      </c>
      <c r="R445" s="133">
        <f t="shared" si="47"/>
        <v>0.63831112535888757</v>
      </c>
      <c r="S445" s="23" t="s">
        <v>1494</v>
      </c>
      <c r="T445" s="24" t="s">
        <v>1478</v>
      </c>
      <c r="AA445"/>
    </row>
    <row r="446" spans="1:27" ht="12.75" x14ac:dyDescent="0.2">
      <c r="A446" s="24" t="s">
        <v>1502</v>
      </c>
      <c r="B446" s="174">
        <v>44652</v>
      </c>
      <c r="C446" s="23" t="s">
        <v>386</v>
      </c>
      <c r="D446" s="106">
        <v>5500783</v>
      </c>
      <c r="E446" s="24" t="s">
        <v>729</v>
      </c>
      <c r="F446" s="23" t="s">
        <v>425</v>
      </c>
      <c r="G446" s="47" t="s">
        <v>264</v>
      </c>
      <c r="H446" s="24" t="s">
        <v>906</v>
      </c>
      <c r="I446" s="23">
        <v>20</v>
      </c>
      <c r="J446" s="24" t="s">
        <v>3</v>
      </c>
      <c r="K446" s="103">
        <v>98758</v>
      </c>
      <c r="L446" s="35">
        <f t="shared" si="48"/>
        <v>1975160</v>
      </c>
      <c r="M446" s="173">
        <f t="shared" si="46"/>
        <v>0.197516</v>
      </c>
      <c r="N446" s="149">
        <v>0.44999999999999996</v>
      </c>
      <c r="O446" s="152">
        <f t="shared" si="49"/>
        <v>44441.1</v>
      </c>
      <c r="P446" s="149">
        <v>64.360152993495291</v>
      </c>
      <c r="Q446" s="152">
        <f t="shared" si="45"/>
        <v>6356079.9893316077</v>
      </c>
      <c r="R446" s="133">
        <f t="shared" si="47"/>
        <v>0.63560799893316078</v>
      </c>
      <c r="S446" s="23" t="s">
        <v>1494</v>
      </c>
      <c r="T446" s="24" t="s">
        <v>1478</v>
      </c>
      <c r="AA446"/>
    </row>
    <row r="447" spans="1:27" ht="12.75" x14ac:dyDescent="0.2">
      <c r="A447" s="24" t="s">
        <v>1502</v>
      </c>
      <c r="B447" s="174">
        <v>44652</v>
      </c>
      <c r="C447" s="23" t="s">
        <v>386</v>
      </c>
      <c r="D447" s="106">
        <v>5500784</v>
      </c>
      <c r="E447" s="24" t="s">
        <v>313</v>
      </c>
      <c r="F447" s="23" t="s">
        <v>425</v>
      </c>
      <c r="G447" s="47" t="s">
        <v>264</v>
      </c>
      <c r="H447" s="24" t="s">
        <v>907</v>
      </c>
      <c r="I447" s="23">
        <v>20</v>
      </c>
      <c r="J447" s="24" t="s">
        <v>3</v>
      </c>
      <c r="K447" s="103">
        <v>58665</v>
      </c>
      <c r="L447" s="35">
        <f t="shared" si="48"/>
        <v>1173300</v>
      </c>
      <c r="M447" s="173">
        <f t="shared" si="46"/>
        <v>0.11733</v>
      </c>
      <c r="N447" s="149">
        <v>0.44999999999999996</v>
      </c>
      <c r="O447" s="152">
        <f t="shared" si="49"/>
        <v>26399.249999999996</v>
      </c>
      <c r="P447" s="149">
        <v>92.300074955567538</v>
      </c>
      <c r="Q447" s="152">
        <f t="shared" si="45"/>
        <v>5414783.8972683698</v>
      </c>
      <c r="R447" s="133">
        <f t="shared" si="47"/>
        <v>0.54147838972683693</v>
      </c>
      <c r="S447" s="23" t="s">
        <v>1494</v>
      </c>
      <c r="T447" s="24" t="s">
        <v>1478</v>
      </c>
      <c r="AA447"/>
    </row>
    <row r="448" spans="1:27" ht="12.75" x14ac:dyDescent="0.2">
      <c r="A448" s="24" t="s">
        <v>1502</v>
      </c>
      <c r="B448" s="174">
        <v>44652</v>
      </c>
      <c r="C448" s="23" t="s">
        <v>386</v>
      </c>
      <c r="D448" s="106">
        <v>5500784</v>
      </c>
      <c r="E448" s="24" t="s">
        <v>313</v>
      </c>
      <c r="F448" s="23" t="s">
        <v>425</v>
      </c>
      <c r="G448" s="47" t="s">
        <v>264</v>
      </c>
      <c r="H448" s="24" t="s">
        <v>908</v>
      </c>
      <c r="I448" s="23">
        <v>20</v>
      </c>
      <c r="J448" s="24" t="s">
        <v>3</v>
      </c>
      <c r="K448" s="103">
        <v>59225</v>
      </c>
      <c r="L448" s="35">
        <f t="shared" si="48"/>
        <v>1184500</v>
      </c>
      <c r="M448" s="173">
        <f t="shared" si="46"/>
        <v>0.11845</v>
      </c>
      <c r="N448" s="149">
        <v>0.44999999999999996</v>
      </c>
      <c r="O448" s="152">
        <f t="shared" si="49"/>
        <v>26651.249999999996</v>
      </c>
      <c r="P448" s="149">
        <v>92.300074955567538</v>
      </c>
      <c r="Q448" s="152">
        <f t="shared" si="45"/>
        <v>5466471.9392434871</v>
      </c>
      <c r="R448" s="133">
        <f t="shared" si="47"/>
        <v>0.54664719392434868</v>
      </c>
      <c r="S448" s="23" t="s">
        <v>1494</v>
      </c>
      <c r="T448" s="24" t="s">
        <v>1478</v>
      </c>
      <c r="AA448"/>
    </row>
    <row r="449" spans="1:27" ht="12.75" x14ac:dyDescent="0.2">
      <c r="A449" s="24" t="s">
        <v>1502</v>
      </c>
      <c r="B449" s="174">
        <v>44652</v>
      </c>
      <c r="C449" s="23" t="s">
        <v>386</v>
      </c>
      <c r="D449" s="106">
        <v>5500780</v>
      </c>
      <c r="E449" s="24" t="s">
        <v>381</v>
      </c>
      <c r="F449" s="23" t="s">
        <v>425</v>
      </c>
      <c r="G449" s="47" t="s">
        <v>264</v>
      </c>
      <c r="H449" s="24" t="s">
        <v>916</v>
      </c>
      <c r="I449" s="23">
        <v>20</v>
      </c>
      <c r="J449" s="24" t="s">
        <v>3</v>
      </c>
      <c r="K449" s="103">
        <v>73103</v>
      </c>
      <c r="L449" s="35">
        <f t="shared" si="48"/>
        <v>1462060</v>
      </c>
      <c r="M449" s="173">
        <f t="shared" si="46"/>
        <v>0.146206</v>
      </c>
      <c r="N449" s="149">
        <v>0.60750000000000004</v>
      </c>
      <c r="O449" s="152">
        <f t="shared" si="49"/>
        <v>44410.072500000002</v>
      </c>
      <c r="P449" s="149">
        <v>137.56999626047121</v>
      </c>
      <c r="Q449" s="152">
        <f t="shared" si="45"/>
        <v>10056779.436629226</v>
      </c>
      <c r="R449" s="133">
        <f t="shared" si="47"/>
        <v>1.0056779436629226</v>
      </c>
      <c r="S449" s="23" t="s">
        <v>1494</v>
      </c>
      <c r="T449" s="24" t="s">
        <v>1478</v>
      </c>
      <c r="AA449"/>
    </row>
    <row r="450" spans="1:27" ht="12.75" x14ac:dyDescent="0.2">
      <c r="A450" s="24" t="s">
        <v>1502</v>
      </c>
      <c r="B450" s="174">
        <v>44652</v>
      </c>
      <c r="C450" s="23" t="s">
        <v>386</v>
      </c>
      <c r="D450" s="106">
        <v>5501606</v>
      </c>
      <c r="E450" s="24" t="s">
        <v>388</v>
      </c>
      <c r="F450" s="23" t="s">
        <v>425</v>
      </c>
      <c r="G450" s="47" t="s">
        <v>264</v>
      </c>
      <c r="H450" s="24" t="s">
        <v>918</v>
      </c>
      <c r="I450" s="23">
        <v>15</v>
      </c>
      <c r="J450" s="24" t="s">
        <v>3</v>
      </c>
      <c r="K450" s="103">
        <v>29064</v>
      </c>
      <c r="L450" s="35">
        <f t="shared" si="48"/>
        <v>435960</v>
      </c>
      <c r="M450" s="173">
        <f t="shared" si="46"/>
        <v>4.3596000000000003E-2</v>
      </c>
      <c r="N450" s="149">
        <v>0.4746354166666667</v>
      </c>
      <c r="O450" s="152">
        <f t="shared" si="49"/>
        <v>13794.803750000001</v>
      </c>
      <c r="P450" s="149">
        <v>248.76</v>
      </c>
      <c r="Q450" s="152">
        <f t="shared" ref="Q450:Q513" si="50">+K450*P450</f>
        <v>7229960.6399999997</v>
      </c>
      <c r="R450" s="133">
        <f t="shared" si="47"/>
        <v>0.72299606399999994</v>
      </c>
      <c r="S450" s="23" t="s">
        <v>1494</v>
      </c>
      <c r="T450" s="24" t="s">
        <v>1478</v>
      </c>
      <c r="AA450"/>
    </row>
    <row r="451" spans="1:27" ht="12.75" x14ac:dyDescent="0.2">
      <c r="A451" s="24" t="s">
        <v>1502</v>
      </c>
      <c r="B451" s="174">
        <v>44652</v>
      </c>
      <c r="C451" s="23" t="s">
        <v>386</v>
      </c>
      <c r="D451" s="106">
        <v>5002552</v>
      </c>
      <c r="E451" s="24" t="s">
        <v>755</v>
      </c>
      <c r="F451" s="23" t="s">
        <v>424</v>
      </c>
      <c r="G451" s="47" t="s">
        <v>264</v>
      </c>
      <c r="H451" s="24" t="s">
        <v>920</v>
      </c>
      <c r="I451" s="23">
        <v>10</v>
      </c>
      <c r="J451" s="24" t="s">
        <v>3</v>
      </c>
      <c r="K451" s="103">
        <v>42666</v>
      </c>
      <c r="L451" s="35">
        <f t="shared" si="48"/>
        <v>426660</v>
      </c>
      <c r="M451" s="173">
        <f t="shared" ref="M451:M514" si="51">L451/10^7</f>
        <v>4.2666000000000003E-2</v>
      </c>
      <c r="N451" s="149">
        <v>0.34177083333333336</v>
      </c>
      <c r="O451" s="152">
        <f t="shared" si="49"/>
        <v>14581.994375</v>
      </c>
      <c r="P451" s="149">
        <v>43.209999999999994</v>
      </c>
      <c r="Q451" s="152">
        <f t="shared" si="50"/>
        <v>1843597.8599999996</v>
      </c>
      <c r="R451" s="133">
        <f t="shared" ref="R451:R514" si="52">Q451/10^7</f>
        <v>0.18435978599999997</v>
      </c>
      <c r="S451" s="23" t="s">
        <v>1494</v>
      </c>
      <c r="T451" s="24" t="s">
        <v>1478</v>
      </c>
      <c r="AA451"/>
    </row>
    <row r="452" spans="1:27" ht="12.75" x14ac:dyDescent="0.2">
      <c r="A452" s="24" t="s">
        <v>1502</v>
      </c>
      <c r="B452" s="174">
        <v>44652</v>
      </c>
      <c r="C452" s="23" t="s">
        <v>386</v>
      </c>
      <c r="D452" s="106">
        <v>5500500</v>
      </c>
      <c r="E452" s="24" t="s">
        <v>238</v>
      </c>
      <c r="F452" s="23" t="s">
        <v>425</v>
      </c>
      <c r="G452" s="47" t="s">
        <v>264</v>
      </c>
      <c r="H452" s="24" t="s">
        <v>925</v>
      </c>
      <c r="I452" s="23">
        <v>15</v>
      </c>
      <c r="J452" s="24" t="s">
        <v>3</v>
      </c>
      <c r="K452" s="103">
        <v>22104</v>
      </c>
      <c r="L452" s="35">
        <f t="shared" si="48"/>
        <v>331560</v>
      </c>
      <c r="M452" s="173">
        <f t="shared" si="51"/>
        <v>3.3155999999999998E-2</v>
      </c>
      <c r="N452" s="149">
        <v>0.70760416666666659</v>
      </c>
      <c r="O452" s="152">
        <f t="shared" si="49"/>
        <v>15640.882499999998</v>
      </c>
      <c r="P452" s="149">
        <v>160.67125678774019</v>
      </c>
      <c r="Q452" s="152">
        <f t="shared" si="50"/>
        <v>3551477.4600362093</v>
      </c>
      <c r="R452" s="133">
        <f t="shared" si="52"/>
        <v>0.35514774600362092</v>
      </c>
      <c r="S452" s="23" t="s">
        <v>1494</v>
      </c>
      <c r="T452" s="24" t="s">
        <v>1478</v>
      </c>
      <c r="AA452"/>
    </row>
    <row r="453" spans="1:27" ht="12.75" x14ac:dyDescent="0.2">
      <c r="A453" s="24" t="s">
        <v>1502</v>
      </c>
      <c r="B453" s="174">
        <v>44652</v>
      </c>
      <c r="C453" s="23" t="s">
        <v>386</v>
      </c>
      <c r="D453" s="106">
        <v>5500787</v>
      </c>
      <c r="E453" s="24" t="s">
        <v>317</v>
      </c>
      <c r="F453" s="23" t="s">
        <v>425</v>
      </c>
      <c r="G453" s="47" t="s">
        <v>264</v>
      </c>
      <c r="H453" s="24" t="s">
        <v>926</v>
      </c>
      <c r="I453" s="23">
        <v>15</v>
      </c>
      <c r="J453" s="24" t="s">
        <v>3</v>
      </c>
      <c r="K453" s="103">
        <v>790</v>
      </c>
      <c r="L453" s="35">
        <f t="shared" si="48"/>
        <v>11850</v>
      </c>
      <c r="M453" s="173">
        <f t="shared" si="51"/>
        <v>1.1850000000000001E-3</v>
      </c>
      <c r="N453" s="149">
        <v>0.4746354166666667</v>
      </c>
      <c r="O453" s="152">
        <f t="shared" si="49"/>
        <v>374.96197916666671</v>
      </c>
      <c r="P453" s="149">
        <v>77.14</v>
      </c>
      <c r="Q453" s="152">
        <f t="shared" si="50"/>
        <v>60940.6</v>
      </c>
      <c r="R453" s="133">
        <f t="shared" si="52"/>
        <v>6.0940600000000001E-3</v>
      </c>
      <c r="S453" s="23" t="s">
        <v>1494</v>
      </c>
      <c r="T453" s="24" t="s">
        <v>1478</v>
      </c>
      <c r="AA453"/>
    </row>
    <row r="454" spans="1:27" ht="12.75" x14ac:dyDescent="0.2">
      <c r="A454" s="24" t="s">
        <v>1502</v>
      </c>
      <c r="B454" s="174">
        <v>44652</v>
      </c>
      <c r="C454" s="23" t="s">
        <v>386</v>
      </c>
      <c r="D454" s="106">
        <v>5000360</v>
      </c>
      <c r="E454" s="24" t="s">
        <v>757</v>
      </c>
      <c r="F454" s="23" t="s">
        <v>424</v>
      </c>
      <c r="G454" s="47" t="s">
        <v>264</v>
      </c>
      <c r="H454" s="24" t="s">
        <v>928</v>
      </c>
      <c r="I454" s="23">
        <v>10</v>
      </c>
      <c r="J454" s="24" t="s">
        <v>3</v>
      </c>
      <c r="K454" s="103">
        <v>9645</v>
      </c>
      <c r="L454" s="35">
        <f t="shared" si="48"/>
        <v>96450</v>
      </c>
      <c r="M454" s="173">
        <f t="shared" si="51"/>
        <v>9.6450000000000008E-3</v>
      </c>
      <c r="N454" s="149">
        <v>0.3</v>
      </c>
      <c r="O454" s="152">
        <f t="shared" si="49"/>
        <v>2893.5</v>
      </c>
      <c r="P454" s="149">
        <v>178.75281666666666</v>
      </c>
      <c r="Q454" s="152">
        <f t="shared" si="50"/>
        <v>1724070.9167499999</v>
      </c>
      <c r="R454" s="133">
        <f t="shared" si="52"/>
        <v>0.17240709167499998</v>
      </c>
      <c r="S454" s="23" t="s">
        <v>1494</v>
      </c>
      <c r="T454" s="24" t="s">
        <v>1478</v>
      </c>
      <c r="AA454"/>
    </row>
    <row r="455" spans="1:27" ht="12.75" x14ac:dyDescent="0.2">
      <c r="A455" s="24" t="s">
        <v>1502</v>
      </c>
      <c r="B455" s="174">
        <v>44652</v>
      </c>
      <c r="C455" s="23" t="s">
        <v>386</v>
      </c>
      <c r="D455" s="106">
        <v>5500782</v>
      </c>
      <c r="E455" s="24" t="s">
        <v>243</v>
      </c>
      <c r="F455" s="23" t="s">
        <v>425</v>
      </c>
      <c r="G455" s="47" t="s">
        <v>264</v>
      </c>
      <c r="H455" s="24" t="s">
        <v>932</v>
      </c>
      <c r="I455" s="23">
        <v>20</v>
      </c>
      <c r="J455" s="24" t="s">
        <v>3</v>
      </c>
      <c r="K455" s="103">
        <v>99498</v>
      </c>
      <c r="L455" s="35">
        <f t="shared" si="48"/>
        <v>1989960</v>
      </c>
      <c r="M455" s="173">
        <f t="shared" si="51"/>
        <v>0.19899600000000001</v>
      </c>
      <c r="N455" s="149">
        <v>0.44999999999999996</v>
      </c>
      <c r="O455" s="152">
        <f t="shared" si="49"/>
        <v>44774.1</v>
      </c>
      <c r="P455" s="149">
        <v>60.110011217288807</v>
      </c>
      <c r="Q455" s="152">
        <f t="shared" si="50"/>
        <v>5980825.8960978016</v>
      </c>
      <c r="R455" s="133">
        <f t="shared" si="52"/>
        <v>0.59808258960978011</v>
      </c>
      <c r="S455" s="23" t="s">
        <v>1494</v>
      </c>
      <c r="T455" s="24" t="s">
        <v>1478</v>
      </c>
      <c r="AA455"/>
    </row>
    <row r="456" spans="1:27" ht="12.75" x14ac:dyDescent="0.2">
      <c r="A456" s="24" t="s">
        <v>1502</v>
      </c>
      <c r="B456" s="174">
        <v>44652</v>
      </c>
      <c r="C456" s="23" t="s">
        <v>386</v>
      </c>
      <c r="D456" s="106">
        <v>5000360</v>
      </c>
      <c r="E456" s="24" t="s">
        <v>757</v>
      </c>
      <c r="F456" s="23" t="s">
        <v>424</v>
      </c>
      <c r="G456" s="47" t="s">
        <v>264</v>
      </c>
      <c r="H456" s="24" t="s">
        <v>935</v>
      </c>
      <c r="I456" s="23">
        <v>10</v>
      </c>
      <c r="J456" s="24" t="s">
        <v>3</v>
      </c>
      <c r="K456" s="103">
        <v>9543</v>
      </c>
      <c r="L456" s="35">
        <f t="shared" si="48"/>
        <v>95430</v>
      </c>
      <c r="M456" s="173">
        <f t="shared" si="51"/>
        <v>9.5429999999999994E-3</v>
      </c>
      <c r="N456" s="149">
        <v>0.3</v>
      </c>
      <c r="O456" s="152">
        <f t="shared" si="49"/>
        <v>2862.9</v>
      </c>
      <c r="P456" s="149">
        <v>178.75281666666666</v>
      </c>
      <c r="Q456" s="152">
        <f t="shared" si="50"/>
        <v>1705838.1294499999</v>
      </c>
      <c r="R456" s="133">
        <f t="shared" si="52"/>
        <v>0.170583812945</v>
      </c>
      <c r="S456" s="23" t="s">
        <v>1494</v>
      </c>
      <c r="T456" s="24" t="s">
        <v>1478</v>
      </c>
      <c r="AA456"/>
    </row>
    <row r="457" spans="1:27" ht="12.75" x14ac:dyDescent="0.2">
      <c r="A457" s="24" t="s">
        <v>1502</v>
      </c>
      <c r="B457" s="174">
        <v>44652</v>
      </c>
      <c r="C457" s="23" t="s">
        <v>386</v>
      </c>
      <c r="D457" s="106">
        <v>5002552</v>
      </c>
      <c r="E457" s="24" t="s">
        <v>755</v>
      </c>
      <c r="F457" s="23" t="s">
        <v>424</v>
      </c>
      <c r="G457" s="47" t="s">
        <v>264</v>
      </c>
      <c r="H457" s="24" t="s">
        <v>937</v>
      </c>
      <c r="I457" s="23">
        <v>10</v>
      </c>
      <c r="J457" s="24" t="s">
        <v>3</v>
      </c>
      <c r="K457" s="103">
        <v>43335</v>
      </c>
      <c r="L457" s="35">
        <f t="shared" si="48"/>
        <v>433350</v>
      </c>
      <c r="M457" s="173">
        <f t="shared" si="51"/>
        <v>4.3334999999999999E-2</v>
      </c>
      <c r="N457" s="149">
        <v>0.34177083333333336</v>
      </c>
      <c r="O457" s="152">
        <f t="shared" si="49"/>
        <v>14810.6390625</v>
      </c>
      <c r="P457" s="149">
        <v>43.209999999999994</v>
      </c>
      <c r="Q457" s="152">
        <f t="shared" si="50"/>
        <v>1872505.3499999996</v>
      </c>
      <c r="R457" s="133">
        <f t="shared" si="52"/>
        <v>0.18725053499999997</v>
      </c>
      <c r="S457" s="23" t="s">
        <v>1494</v>
      </c>
      <c r="T457" s="24" t="s">
        <v>1478</v>
      </c>
      <c r="AA457"/>
    </row>
    <row r="458" spans="1:27" ht="12.75" x14ac:dyDescent="0.2">
      <c r="A458" s="24" t="s">
        <v>1502</v>
      </c>
      <c r="B458" s="174">
        <v>44652</v>
      </c>
      <c r="C458" s="23" t="s">
        <v>386</v>
      </c>
      <c r="D458" s="106">
        <v>5002661</v>
      </c>
      <c r="E458" s="24" t="s">
        <v>311</v>
      </c>
      <c r="F458" s="23" t="s">
        <v>424</v>
      </c>
      <c r="G458" s="47" t="s">
        <v>264</v>
      </c>
      <c r="H458" s="24" t="s">
        <v>938</v>
      </c>
      <c r="I458" s="23">
        <v>10</v>
      </c>
      <c r="J458" s="24" t="s">
        <v>3</v>
      </c>
      <c r="K458" s="103">
        <v>9732</v>
      </c>
      <c r="L458" s="35">
        <f t="shared" si="48"/>
        <v>97320</v>
      </c>
      <c r="M458" s="173">
        <f t="shared" si="51"/>
        <v>9.7319999999999993E-3</v>
      </c>
      <c r="N458" s="149">
        <v>0.34177083333333336</v>
      </c>
      <c r="O458" s="152">
        <f t="shared" si="49"/>
        <v>3326.1137500000004</v>
      </c>
      <c r="P458" s="149">
        <v>241.13166666666663</v>
      </c>
      <c r="Q458" s="152">
        <f t="shared" si="50"/>
        <v>2346693.38</v>
      </c>
      <c r="R458" s="133">
        <f t="shared" si="52"/>
        <v>0.23466933799999998</v>
      </c>
      <c r="S458" s="23" t="s">
        <v>1494</v>
      </c>
      <c r="T458" s="24" t="s">
        <v>1478</v>
      </c>
      <c r="AA458"/>
    </row>
    <row r="459" spans="1:27" ht="12.75" x14ac:dyDescent="0.2">
      <c r="A459" s="24" t="s">
        <v>1502</v>
      </c>
      <c r="B459" s="174">
        <v>44652</v>
      </c>
      <c r="C459" s="23" t="s">
        <v>386</v>
      </c>
      <c r="D459" s="106">
        <v>5006402</v>
      </c>
      <c r="E459" s="24" t="s">
        <v>750</v>
      </c>
      <c r="F459" s="23" t="s">
        <v>424</v>
      </c>
      <c r="G459" s="47" t="s">
        <v>264</v>
      </c>
      <c r="H459" s="24" t="s">
        <v>939</v>
      </c>
      <c r="I459" s="23">
        <v>10</v>
      </c>
      <c r="J459" s="24" t="s">
        <v>3</v>
      </c>
      <c r="K459" s="103">
        <v>22827</v>
      </c>
      <c r="L459" s="35">
        <f t="shared" si="48"/>
        <v>228270</v>
      </c>
      <c r="M459" s="173">
        <f t="shared" si="51"/>
        <v>2.2827E-2</v>
      </c>
      <c r="N459" s="149">
        <v>0.34177083333333336</v>
      </c>
      <c r="O459" s="152">
        <f t="shared" si="49"/>
        <v>7801.6028125000003</v>
      </c>
      <c r="P459" s="149">
        <v>464.38333333333333</v>
      </c>
      <c r="Q459" s="152">
        <f t="shared" si="50"/>
        <v>10600478.35</v>
      </c>
      <c r="R459" s="133">
        <f t="shared" si="52"/>
        <v>1.060047835</v>
      </c>
      <c r="S459" s="23" t="s">
        <v>1494</v>
      </c>
      <c r="T459" s="24" t="s">
        <v>1478</v>
      </c>
      <c r="AA459"/>
    </row>
    <row r="460" spans="1:27" ht="12.75" x14ac:dyDescent="0.2">
      <c r="A460" s="24" t="s">
        <v>1502</v>
      </c>
      <c r="B460" s="174">
        <v>44652</v>
      </c>
      <c r="C460" s="23" t="s">
        <v>386</v>
      </c>
      <c r="D460" s="106">
        <v>5500788</v>
      </c>
      <c r="E460" s="24" t="s">
        <v>244</v>
      </c>
      <c r="F460" s="23" t="s">
        <v>425</v>
      </c>
      <c r="G460" s="47" t="s">
        <v>264</v>
      </c>
      <c r="H460" s="24" t="s">
        <v>940</v>
      </c>
      <c r="I460" s="23">
        <v>15</v>
      </c>
      <c r="J460" s="24" t="s">
        <v>3</v>
      </c>
      <c r="K460" s="103">
        <v>8190</v>
      </c>
      <c r="L460" s="35">
        <f t="shared" si="48"/>
        <v>122850</v>
      </c>
      <c r="M460" s="173">
        <f t="shared" si="51"/>
        <v>1.2285000000000001E-2</v>
      </c>
      <c r="N460" s="149">
        <v>0.47619791666666672</v>
      </c>
      <c r="O460" s="152">
        <f t="shared" si="49"/>
        <v>3900.0609375000004</v>
      </c>
      <c r="P460" s="149">
        <v>137.57011989795939</v>
      </c>
      <c r="Q460" s="152">
        <f t="shared" si="50"/>
        <v>1126699.2819642874</v>
      </c>
      <c r="R460" s="133">
        <f t="shared" si="52"/>
        <v>0.11266992819642874</v>
      </c>
      <c r="S460" s="23" t="s">
        <v>1494</v>
      </c>
      <c r="T460" s="24" t="s">
        <v>1478</v>
      </c>
      <c r="AA460"/>
    </row>
    <row r="461" spans="1:27" ht="12.75" x14ac:dyDescent="0.2">
      <c r="A461" s="24" t="s">
        <v>1502</v>
      </c>
      <c r="B461" s="174">
        <v>44652</v>
      </c>
      <c r="C461" s="23" t="s">
        <v>386</v>
      </c>
      <c r="D461" s="106">
        <v>5002551</v>
      </c>
      <c r="E461" s="24" t="s">
        <v>763</v>
      </c>
      <c r="F461" s="23" t="s">
        <v>424</v>
      </c>
      <c r="G461" s="47" t="s">
        <v>264</v>
      </c>
      <c r="H461" s="24" t="s">
        <v>945</v>
      </c>
      <c r="I461" s="23">
        <v>10</v>
      </c>
      <c r="J461" s="24" t="s">
        <v>3</v>
      </c>
      <c r="K461" s="103">
        <v>44556</v>
      </c>
      <c r="L461" s="35">
        <f t="shared" si="48"/>
        <v>445560</v>
      </c>
      <c r="M461" s="173">
        <f t="shared" si="51"/>
        <v>4.4555999999999998E-2</v>
      </c>
      <c r="N461" s="149">
        <v>0.34177083333333336</v>
      </c>
      <c r="O461" s="152">
        <f t="shared" si="49"/>
        <v>15227.941250000002</v>
      </c>
      <c r="P461" s="149">
        <v>58.855000000000004</v>
      </c>
      <c r="Q461" s="152">
        <f t="shared" si="50"/>
        <v>2622343.3800000004</v>
      </c>
      <c r="R461" s="133">
        <f t="shared" si="52"/>
        <v>0.26223433800000001</v>
      </c>
      <c r="S461" s="23" t="s">
        <v>1494</v>
      </c>
      <c r="T461" s="24" t="s">
        <v>1478</v>
      </c>
      <c r="AA461"/>
    </row>
    <row r="462" spans="1:27" ht="12.75" x14ac:dyDescent="0.2">
      <c r="A462" s="24" t="s">
        <v>1502</v>
      </c>
      <c r="B462" s="174">
        <v>44652</v>
      </c>
      <c r="C462" s="23" t="s">
        <v>386</v>
      </c>
      <c r="D462" s="106">
        <v>5002660</v>
      </c>
      <c r="E462" s="24" t="s">
        <v>315</v>
      </c>
      <c r="F462" s="23" t="s">
        <v>424</v>
      </c>
      <c r="G462" s="47" t="s">
        <v>264</v>
      </c>
      <c r="H462" s="24" t="s">
        <v>946</v>
      </c>
      <c r="I462" s="23">
        <v>10</v>
      </c>
      <c r="J462" s="24" t="s">
        <v>3</v>
      </c>
      <c r="K462" s="103">
        <v>9672</v>
      </c>
      <c r="L462" s="35">
        <f t="shared" si="48"/>
        <v>96720</v>
      </c>
      <c r="M462" s="173">
        <f t="shared" si="51"/>
        <v>9.672E-3</v>
      </c>
      <c r="N462" s="149">
        <v>0.34177083333333336</v>
      </c>
      <c r="O462" s="152">
        <f t="shared" si="49"/>
        <v>3305.6075000000001</v>
      </c>
      <c r="P462" s="149">
        <v>197.17666666666668</v>
      </c>
      <c r="Q462" s="152">
        <f t="shared" si="50"/>
        <v>1907092.7200000002</v>
      </c>
      <c r="R462" s="133">
        <f t="shared" si="52"/>
        <v>0.19070927200000001</v>
      </c>
      <c r="S462" s="23" t="s">
        <v>1494</v>
      </c>
      <c r="T462" s="24" t="s">
        <v>1478</v>
      </c>
      <c r="AA462"/>
    </row>
    <row r="463" spans="1:27" ht="12.75" x14ac:dyDescent="0.2">
      <c r="A463" s="24" t="s">
        <v>1502</v>
      </c>
      <c r="B463" s="174">
        <v>44652</v>
      </c>
      <c r="C463" s="23" t="s">
        <v>386</v>
      </c>
      <c r="D463" s="106">
        <v>5002661</v>
      </c>
      <c r="E463" s="24" t="s">
        <v>311</v>
      </c>
      <c r="F463" s="23" t="s">
        <v>424</v>
      </c>
      <c r="G463" s="47" t="s">
        <v>264</v>
      </c>
      <c r="H463" s="24" t="s">
        <v>947</v>
      </c>
      <c r="I463" s="23">
        <v>10</v>
      </c>
      <c r="J463" s="24" t="s">
        <v>3</v>
      </c>
      <c r="K463" s="103">
        <v>9612</v>
      </c>
      <c r="L463" s="35">
        <f t="shared" si="48"/>
        <v>96120</v>
      </c>
      <c r="M463" s="173">
        <f t="shared" si="51"/>
        <v>9.6120000000000008E-3</v>
      </c>
      <c r="N463" s="149">
        <v>0.34177083333333336</v>
      </c>
      <c r="O463" s="152">
        <f t="shared" si="49"/>
        <v>3285.1012500000002</v>
      </c>
      <c r="P463" s="149">
        <v>241.13166666666663</v>
      </c>
      <c r="Q463" s="152">
        <f t="shared" si="50"/>
        <v>2317757.5799999996</v>
      </c>
      <c r="R463" s="133">
        <f t="shared" si="52"/>
        <v>0.23177575799999997</v>
      </c>
      <c r="S463" s="23" t="s">
        <v>1494</v>
      </c>
      <c r="T463" s="24" t="s">
        <v>1478</v>
      </c>
      <c r="AA463"/>
    </row>
    <row r="464" spans="1:27" ht="12.75" x14ac:dyDescent="0.2">
      <c r="A464" s="24" t="s">
        <v>1502</v>
      </c>
      <c r="B464" s="174">
        <v>44652</v>
      </c>
      <c r="C464" s="23" t="s">
        <v>386</v>
      </c>
      <c r="D464" s="106">
        <v>5003717</v>
      </c>
      <c r="E464" s="24" t="s">
        <v>764</v>
      </c>
      <c r="F464" s="23" t="s">
        <v>424</v>
      </c>
      <c r="G464" s="47" t="s">
        <v>264</v>
      </c>
      <c r="H464" s="24" t="s">
        <v>948</v>
      </c>
      <c r="I464" s="23">
        <v>10</v>
      </c>
      <c r="J464" s="24" t="s">
        <v>3</v>
      </c>
      <c r="K464" s="103">
        <v>9405</v>
      </c>
      <c r="L464" s="35">
        <f t="shared" si="48"/>
        <v>94050</v>
      </c>
      <c r="M464" s="173">
        <f t="shared" si="51"/>
        <v>9.4050000000000002E-3</v>
      </c>
      <c r="N464" s="149">
        <v>0.40052083333333333</v>
      </c>
      <c r="O464" s="152">
        <f t="shared" si="49"/>
        <v>3766.8984375</v>
      </c>
      <c r="P464" s="149">
        <v>167.87333333333333</v>
      </c>
      <c r="Q464" s="152">
        <f t="shared" si="50"/>
        <v>1578848.7</v>
      </c>
      <c r="R464" s="133">
        <f t="shared" si="52"/>
        <v>0.15788486999999998</v>
      </c>
      <c r="S464" s="23" t="s">
        <v>1494</v>
      </c>
      <c r="T464" s="24" t="s">
        <v>1478</v>
      </c>
      <c r="AA464"/>
    </row>
    <row r="465" spans="1:27" ht="12.75" x14ac:dyDescent="0.2">
      <c r="A465" s="24" t="s">
        <v>1502</v>
      </c>
      <c r="B465" s="174">
        <v>44652</v>
      </c>
      <c r="C465" s="23" t="s">
        <v>386</v>
      </c>
      <c r="D465" s="106">
        <v>5006402</v>
      </c>
      <c r="E465" s="24" t="s">
        <v>750</v>
      </c>
      <c r="F465" s="23" t="s">
        <v>424</v>
      </c>
      <c r="G465" s="47" t="s">
        <v>264</v>
      </c>
      <c r="H465" s="24" t="s">
        <v>949</v>
      </c>
      <c r="I465" s="23">
        <v>10</v>
      </c>
      <c r="J465" s="24" t="s">
        <v>3</v>
      </c>
      <c r="K465" s="103">
        <v>21414</v>
      </c>
      <c r="L465" s="35">
        <f t="shared" si="48"/>
        <v>214140</v>
      </c>
      <c r="M465" s="173">
        <f t="shared" si="51"/>
        <v>2.1413999999999999E-2</v>
      </c>
      <c r="N465" s="149">
        <v>0.34177083333333336</v>
      </c>
      <c r="O465" s="152">
        <f t="shared" si="49"/>
        <v>7318.6806250000009</v>
      </c>
      <c r="P465" s="149">
        <v>464.38333333333333</v>
      </c>
      <c r="Q465" s="152">
        <f t="shared" si="50"/>
        <v>9944304.6999999993</v>
      </c>
      <c r="R465" s="133">
        <f t="shared" si="52"/>
        <v>0.99443046999999996</v>
      </c>
      <c r="S465" s="23" t="s">
        <v>1494</v>
      </c>
      <c r="T465" s="24" t="s">
        <v>1478</v>
      </c>
      <c r="AA465"/>
    </row>
    <row r="466" spans="1:27" ht="12.75" x14ac:dyDescent="0.2">
      <c r="A466" s="24" t="s">
        <v>1502</v>
      </c>
      <c r="B466" s="174">
        <v>44652</v>
      </c>
      <c r="C466" s="23" t="s">
        <v>386</v>
      </c>
      <c r="D466" s="106">
        <v>5500782</v>
      </c>
      <c r="E466" s="24" t="s">
        <v>243</v>
      </c>
      <c r="F466" s="23" t="s">
        <v>425</v>
      </c>
      <c r="G466" s="47" t="s">
        <v>264</v>
      </c>
      <c r="H466" s="24" t="s">
        <v>951</v>
      </c>
      <c r="I466" s="23">
        <v>20</v>
      </c>
      <c r="J466" s="24" t="s">
        <v>3</v>
      </c>
      <c r="K466" s="103">
        <v>98298</v>
      </c>
      <c r="L466" s="35">
        <f t="shared" si="48"/>
        <v>1965960</v>
      </c>
      <c r="M466" s="173">
        <f t="shared" si="51"/>
        <v>0.19659599999999999</v>
      </c>
      <c r="N466" s="149">
        <v>0.44999999999999996</v>
      </c>
      <c r="O466" s="152">
        <f t="shared" si="49"/>
        <v>44234.1</v>
      </c>
      <c r="P466" s="149">
        <v>60.110011217288807</v>
      </c>
      <c r="Q466" s="152">
        <f t="shared" si="50"/>
        <v>5908693.8826370556</v>
      </c>
      <c r="R466" s="133">
        <f t="shared" si="52"/>
        <v>0.59086938826370561</v>
      </c>
      <c r="S466" s="23" t="s">
        <v>1494</v>
      </c>
      <c r="T466" s="24" t="s">
        <v>1478</v>
      </c>
      <c r="AA466"/>
    </row>
    <row r="467" spans="1:27" ht="12.75" x14ac:dyDescent="0.2">
      <c r="A467" s="24" t="s">
        <v>1502</v>
      </c>
      <c r="B467" s="174">
        <v>44652</v>
      </c>
      <c r="C467" s="23" t="s">
        <v>386</v>
      </c>
      <c r="D467" s="106">
        <v>5003854</v>
      </c>
      <c r="E467" s="24" t="s">
        <v>373</v>
      </c>
      <c r="F467" s="23" t="s">
        <v>424</v>
      </c>
      <c r="G467" s="47" t="s">
        <v>264</v>
      </c>
      <c r="H467" s="24" t="s">
        <v>385</v>
      </c>
      <c r="I467" s="23">
        <v>10</v>
      </c>
      <c r="J467" s="24" t="s">
        <v>3</v>
      </c>
      <c r="K467" s="103">
        <v>5230</v>
      </c>
      <c r="L467" s="35">
        <f t="shared" si="48"/>
        <v>52300</v>
      </c>
      <c r="M467" s="173">
        <f t="shared" si="51"/>
        <v>5.2300000000000003E-3</v>
      </c>
      <c r="N467" s="149">
        <v>0.29395833333333332</v>
      </c>
      <c r="O467" s="152">
        <f t="shared" si="49"/>
        <v>1537.4020833333332</v>
      </c>
      <c r="P467" s="149">
        <v>0</v>
      </c>
      <c r="Q467" s="152">
        <f t="shared" si="50"/>
        <v>0</v>
      </c>
      <c r="R467" s="133">
        <f t="shared" si="52"/>
        <v>0</v>
      </c>
      <c r="S467" s="23" t="s">
        <v>1494</v>
      </c>
      <c r="T467" s="24" t="s">
        <v>1478</v>
      </c>
      <c r="AA467"/>
    </row>
    <row r="468" spans="1:27" ht="12.75" x14ac:dyDescent="0.2">
      <c r="A468" s="24" t="s">
        <v>1502</v>
      </c>
      <c r="B468" s="174">
        <v>44652</v>
      </c>
      <c r="C468" s="23" t="s">
        <v>386</v>
      </c>
      <c r="D468" s="106">
        <v>5006401</v>
      </c>
      <c r="E468" s="24" t="s">
        <v>374</v>
      </c>
      <c r="F468" s="23" t="s">
        <v>424</v>
      </c>
      <c r="G468" s="47" t="s">
        <v>264</v>
      </c>
      <c r="H468" s="24" t="s">
        <v>954</v>
      </c>
      <c r="I468" s="23">
        <v>10</v>
      </c>
      <c r="J468" s="24" t="s">
        <v>3</v>
      </c>
      <c r="K468" s="103">
        <v>14823</v>
      </c>
      <c r="L468" s="35">
        <f t="shared" si="48"/>
        <v>148230</v>
      </c>
      <c r="M468" s="173">
        <f t="shared" si="51"/>
        <v>1.4822999999999999E-2</v>
      </c>
      <c r="N468" s="149">
        <v>0.34177083333333336</v>
      </c>
      <c r="O468" s="152">
        <f t="shared" si="49"/>
        <v>5066.0690625000007</v>
      </c>
      <c r="P468" s="149">
        <v>0</v>
      </c>
      <c r="Q468" s="152">
        <f t="shared" si="50"/>
        <v>0</v>
      </c>
      <c r="R468" s="133">
        <f t="shared" si="52"/>
        <v>0</v>
      </c>
      <c r="S468" s="23" t="s">
        <v>1494</v>
      </c>
      <c r="T468" s="24" t="s">
        <v>1478</v>
      </c>
      <c r="AA468"/>
    </row>
    <row r="469" spans="1:27" ht="12.75" x14ac:dyDescent="0.2">
      <c r="A469" s="24" t="s">
        <v>1502</v>
      </c>
      <c r="B469" s="174">
        <v>44652</v>
      </c>
      <c r="C469" s="24" t="s">
        <v>1009</v>
      </c>
      <c r="D469" s="106">
        <v>5001461</v>
      </c>
      <c r="E469" s="24" t="s">
        <v>1023</v>
      </c>
      <c r="F469" s="34" t="s">
        <v>424</v>
      </c>
      <c r="G469" s="29" t="s">
        <v>265</v>
      </c>
      <c r="H469" s="24" t="s">
        <v>1074</v>
      </c>
      <c r="I469" s="23">
        <v>14</v>
      </c>
      <c r="J469" s="24" t="s">
        <v>3</v>
      </c>
      <c r="K469" s="103">
        <v>34365</v>
      </c>
      <c r="L469" s="35">
        <f>K469*I469</f>
        <v>481110</v>
      </c>
      <c r="M469" s="173">
        <f t="shared" si="51"/>
        <v>4.8111000000000001E-2</v>
      </c>
      <c r="N469" s="149">
        <v>1.0134897959183673</v>
      </c>
      <c r="O469" s="152">
        <f>+K469*N469</f>
        <v>34828.57683673469</v>
      </c>
      <c r="P469" s="149">
        <v>102.735</v>
      </c>
      <c r="Q469" s="152">
        <f t="shared" si="50"/>
        <v>3530488.2749999999</v>
      </c>
      <c r="R469" s="133">
        <f t="shared" si="52"/>
        <v>0.3530488275</v>
      </c>
      <c r="S469" s="24" t="s">
        <v>1492</v>
      </c>
      <c r="T469" s="24" t="s">
        <v>1476</v>
      </c>
      <c r="AA469"/>
    </row>
    <row r="470" spans="1:27" ht="12.75" x14ac:dyDescent="0.2">
      <c r="A470" s="24" t="s">
        <v>1502</v>
      </c>
      <c r="B470" s="174">
        <v>44652</v>
      </c>
      <c r="C470" s="24" t="s">
        <v>1009</v>
      </c>
      <c r="D470" s="106">
        <v>5004370</v>
      </c>
      <c r="E470" s="24" t="s">
        <v>304</v>
      </c>
      <c r="F470" s="34" t="s">
        <v>424</v>
      </c>
      <c r="G470" s="47" t="s">
        <v>1506</v>
      </c>
      <c r="H470" s="24" t="s">
        <v>1043</v>
      </c>
      <c r="I470" s="23">
        <v>1</v>
      </c>
      <c r="J470" s="24" t="s">
        <v>1</v>
      </c>
      <c r="K470" s="103">
        <v>19600</v>
      </c>
      <c r="L470" s="35">
        <f t="shared" ref="L470:L479" si="53">K470*I470</f>
        <v>19600</v>
      </c>
      <c r="M470" s="173">
        <f t="shared" si="51"/>
        <v>1.9599999999999999E-3</v>
      </c>
      <c r="N470" s="149">
        <v>1.0682127150223146</v>
      </c>
      <c r="O470" s="152">
        <f t="shared" ref="O470:O479" si="54">+K470*N470</f>
        <v>20936.969214437366</v>
      </c>
      <c r="P470" s="149">
        <v>13.635399999999999</v>
      </c>
      <c r="Q470" s="152">
        <f t="shared" si="50"/>
        <v>267253.83999999997</v>
      </c>
      <c r="R470" s="133">
        <f t="shared" si="52"/>
        <v>2.6725383999999998E-2</v>
      </c>
      <c r="S470" s="24" t="s">
        <v>1492</v>
      </c>
      <c r="T470" s="24" t="s">
        <v>1476</v>
      </c>
      <c r="AA470"/>
    </row>
    <row r="471" spans="1:27" ht="12.75" x14ac:dyDescent="0.2">
      <c r="A471" s="24" t="s">
        <v>1502</v>
      </c>
      <c r="B471" s="174">
        <v>44652</v>
      </c>
      <c r="C471" s="24" t="s">
        <v>1009</v>
      </c>
      <c r="D471" s="106">
        <v>5004370</v>
      </c>
      <c r="E471" s="24" t="s">
        <v>304</v>
      </c>
      <c r="F471" s="34" t="s">
        <v>424</v>
      </c>
      <c r="G471" s="47" t="s">
        <v>1506</v>
      </c>
      <c r="H471" s="24" t="s">
        <v>1049</v>
      </c>
      <c r="I471" s="23">
        <v>1</v>
      </c>
      <c r="J471" s="24" t="s">
        <v>1</v>
      </c>
      <c r="K471" s="103">
        <v>19500</v>
      </c>
      <c r="L471" s="35">
        <f t="shared" si="53"/>
        <v>19500</v>
      </c>
      <c r="M471" s="173">
        <f t="shared" si="51"/>
        <v>1.9499999999999999E-3</v>
      </c>
      <c r="N471" s="149">
        <v>1.0682127150223146</v>
      </c>
      <c r="O471" s="152">
        <f t="shared" si="54"/>
        <v>20830.147942935135</v>
      </c>
      <c r="P471" s="149">
        <v>13.635399999999999</v>
      </c>
      <c r="Q471" s="152">
        <f t="shared" si="50"/>
        <v>265890.3</v>
      </c>
      <c r="R471" s="133">
        <f t="shared" si="52"/>
        <v>2.658903E-2</v>
      </c>
      <c r="S471" s="24" t="s">
        <v>1492</v>
      </c>
      <c r="T471" s="24" t="s">
        <v>1476</v>
      </c>
      <c r="AA471"/>
    </row>
    <row r="472" spans="1:27" ht="12.75" x14ac:dyDescent="0.2">
      <c r="A472" s="24" t="s">
        <v>1502</v>
      </c>
      <c r="B472" s="174">
        <v>44652</v>
      </c>
      <c r="C472" s="24" t="s">
        <v>1009</v>
      </c>
      <c r="D472" s="106">
        <v>5004370</v>
      </c>
      <c r="E472" s="24" t="s">
        <v>304</v>
      </c>
      <c r="F472" s="34" t="s">
        <v>424</v>
      </c>
      <c r="G472" s="47" t="s">
        <v>1506</v>
      </c>
      <c r="H472" s="24" t="s">
        <v>1056</v>
      </c>
      <c r="I472" s="23">
        <v>1</v>
      </c>
      <c r="J472" s="24" t="s">
        <v>1</v>
      </c>
      <c r="K472" s="103">
        <v>19600</v>
      </c>
      <c r="L472" s="35">
        <f t="shared" si="53"/>
        <v>19600</v>
      </c>
      <c r="M472" s="173">
        <f t="shared" si="51"/>
        <v>1.9599999999999999E-3</v>
      </c>
      <c r="N472" s="149">
        <v>1.0682127150223146</v>
      </c>
      <c r="O472" s="152">
        <f t="shared" si="54"/>
        <v>20936.969214437366</v>
      </c>
      <c r="P472" s="149">
        <v>13.635399999999999</v>
      </c>
      <c r="Q472" s="152">
        <f t="shared" si="50"/>
        <v>267253.83999999997</v>
      </c>
      <c r="R472" s="133">
        <f t="shared" si="52"/>
        <v>2.6725383999999998E-2</v>
      </c>
      <c r="S472" s="24" t="s">
        <v>1492</v>
      </c>
      <c r="T472" s="24" t="s">
        <v>1476</v>
      </c>
      <c r="AA472"/>
    </row>
    <row r="473" spans="1:27" ht="12.75" x14ac:dyDescent="0.2">
      <c r="A473" s="24" t="s">
        <v>1502</v>
      </c>
      <c r="B473" s="174">
        <v>44652</v>
      </c>
      <c r="C473" s="24" t="s">
        <v>1009</v>
      </c>
      <c r="D473" s="106">
        <v>5004370</v>
      </c>
      <c r="E473" s="24" t="s">
        <v>304</v>
      </c>
      <c r="F473" s="34" t="s">
        <v>424</v>
      </c>
      <c r="G473" s="47" t="s">
        <v>1506</v>
      </c>
      <c r="H473" s="24" t="s">
        <v>1062</v>
      </c>
      <c r="I473" s="23">
        <v>1</v>
      </c>
      <c r="J473" s="24" t="s">
        <v>1</v>
      </c>
      <c r="K473" s="103">
        <v>19650</v>
      </c>
      <c r="L473" s="35">
        <f t="shared" si="53"/>
        <v>19650</v>
      </c>
      <c r="M473" s="173">
        <f t="shared" si="51"/>
        <v>1.9650000000000002E-3</v>
      </c>
      <c r="N473" s="149">
        <v>1.0682127150223146</v>
      </c>
      <c r="O473" s="152">
        <f t="shared" si="54"/>
        <v>20990.379850188481</v>
      </c>
      <c r="P473" s="149">
        <v>13.635399999999999</v>
      </c>
      <c r="Q473" s="152">
        <f t="shared" si="50"/>
        <v>267935.61</v>
      </c>
      <c r="R473" s="133">
        <f t="shared" si="52"/>
        <v>2.6793560999999997E-2</v>
      </c>
      <c r="S473" s="24" t="s">
        <v>1492</v>
      </c>
      <c r="T473" s="24" t="s">
        <v>1476</v>
      </c>
      <c r="AA473"/>
    </row>
    <row r="474" spans="1:27" ht="12.75" x14ac:dyDescent="0.2">
      <c r="A474" s="24" t="s">
        <v>1502</v>
      </c>
      <c r="B474" s="174">
        <v>44652</v>
      </c>
      <c r="C474" s="24" t="s">
        <v>1009</v>
      </c>
      <c r="D474" s="106">
        <v>5004370</v>
      </c>
      <c r="E474" s="24" t="s">
        <v>304</v>
      </c>
      <c r="F474" s="34" t="s">
        <v>424</v>
      </c>
      <c r="G474" s="47" t="s">
        <v>1506</v>
      </c>
      <c r="H474" s="24" t="s">
        <v>1066</v>
      </c>
      <c r="I474" s="23">
        <v>1</v>
      </c>
      <c r="J474" s="24" t="s">
        <v>1</v>
      </c>
      <c r="K474" s="103">
        <v>19350</v>
      </c>
      <c r="L474" s="35">
        <f t="shared" si="53"/>
        <v>19350</v>
      </c>
      <c r="M474" s="173">
        <f t="shared" si="51"/>
        <v>1.9350000000000001E-3</v>
      </c>
      <c r="N474" s="149">
        <v>1.0682127150223146</v>
      </c>
      <c r="O474" s="152">
        <f t="shared" si="54"/>
        <v>20669.916035681788</v>
      </c>
      <c r="P474" s="149">
        <v>13.635399999999999</v>
      </c>
      <c r="Q474" s="152">
        <f t="shared" si="50"/>
        <v>263844.99</v>
      </c>
      <c r="R474" s="133">
        <f t="shared" si="52"/>
        <v>2.6384498999999999E-2</v>
      </c>
      <c r="S474" s="24" t="s">
        <v>1492</v>
      </c>
      <c r="T474" s="24" t="s">
        <v>1476</v>
      </c>
      <c r="AA474"/>
    </row>
    <row r="475" spans="1:27" ht="12.75" x14ac:dyDescent="0.2">
      <c r="A475" s="24" t="s">
        <v>1502</v>
      </c>
      <c r="B475" s="174">
        <v>44652</v>
      </c>
      <c r="C475" s="24" t="s">
        <v>1009</v>
      </c>
      <c r="D475" s="106">
        <v>5004370</v>
      </c>
      <c r="E475" s="24" t="s">
        <v>304</v>
      </c>
      <c r="F475" s="34" t="s">
        <v>424</v>
      </c>
      <c r="G475" s="47" t="s">
        <v>1506</v>
      </c>
      <c r="H475" s="24" t="s">
        <v>1080</v>
      </c>
      <c r="I475" s="23">
        <v>1</v>
      </c>
      <c r="J475" s="24" t="s">
        <v>1</v>
      </c>
      <c r="K475" s="103">
        <v>19600</v>
      </c>
      <c r="L475" s="35">
        <f t="shared" si="53"/>
        <v>19600</v>
      </c>
      <c r="M475" s="173">
        <f t="shared" si="51"/>
        <v>1.9599999999999999E-3</v>
      </c>
      <c r="N475" s="149">
        <v>1.0682127150223146</v>
      </c>
      <c r="O475" s="152">
        <f t="shared" si="54"/>
        <v>20936.969214437366</v>
      </c>
      <c r="P475" s="149">
        <v>13.635399999999999</v>
      </c>
      <c r="Q475" s="152">
        <f t="shared" si="50"/>
        <v>267253.83999999997</v>
      </c>
      <c r="R475" s="133">
        <f t="shared" si="52"/>
        <v>2.6725383999999998E-2</v>
      </c>
      <c r="S475" s="24" t="s">
        <v>1492</v>
      </c>
      <c r="T475" s="24" t="s">
        <v>1476</v>
      </c>
      <c r="AA475"/>
    </row>
    <row r="476" spans="1:27" ht="12.75" x14ac:dyDescent="0.2">
      <c r="A476" s="24" t="s">
        <v>1502</v>
      </c>
      <c r="B476" s="174">
        <v>44652</v>
      </c>
      <c r="C476" s="24" t="s">
        <v>1009</v>
      </c>
      <c r="D476" s="106">
        <v>5004370</v>
      </c>
      <c r="E476" s="24" t="s">
        <v>304</v>
      </c>
      <c r="F476" s="34" t="s">
        <v>424</v>
      </c>
      <c r="G476" s="47" t="s">
        <v>1506</v>
      </c>
      <c r="H476" s="24" t="s">
        <v>1082</v>
      </c>
      <c r="I476" s="23">
        <v>1</v>
      </c>
      <c r="J476" s="24" t="s">
        <v>1</v>
      </c>
      <c r="K476" s="103">
        <v>19550</v>
      </c>
      <c r="L476" s="35">
        <f t="shared" si="53"/>
        <v>19550</v>
      </c>
      <c r="M476" s="173">
        <f t="shared" si="51"/>
        <v>1.9550000000000001E-3</v>
      </c>
      <c r="N476" s="149">
        <v>1.0682127150223146</v>
      </c>
      <c r="O476" s="152">
        <f t="shared" si="54"/>
        <v>20883.55857868625</v>
      </c>
      <c r="P476" s="149">
        <v>13.635399999999999</v>
      </c>
      <c r="Q476" s="152">
        <f t="shared" si="50"/>
        <v>266572.06999999995</v>
      </c>
      <c r="R476" s="133">
        <f t="shared" si="52"/>
        <v>2.6657206999999995E-2</v>
      </c>
      <c r="S476" s="24" t="s">
        <v>1492</v>
      </c>
      <c r="T476" s="24" t="s">
        <v>1476</v>
      </c>
      <c r="AA476"/>
    </row>
    <row r="477" spans="1:27" ht="12.75" x14ac:dyDescent="0.2">
      <c r="A477" s="24" t="s">
        <v>1502</v>
      </c>
      <c r="B477" s="174">
        <v>44652</v>
      </c>
      <c r="C477" s="24" t="s">
        <v>1009</v>
      </c>
      <c r="D477" s="106">
        <v>5004370</v>
      </c>
      <c r="E477" s="24" t="s">
        <v>304</v>
      </c>
      <c r="F477" s="34" t="s">
        <v>424</v>
      </c>
      <c r="G477" s="47" t="s">
        <v>1506</v>
      </c>
      <c r="H477" s="24" t="s">
        <v>1098</v>
      </c>
      <c r="I477" s="23">
        <v>1</v>
      </c>
      <c r="J477" s="24" t="s">
        <v>1</v>
      </c>
      <c r="K477" s="103">
        <v>19300</v>
      </c>
      <c r="L477" s="35">
        <f t="shared" si="53"/>
        <v>19300</v>
      </c>
      <c r="M477" s="173">
        <f t="shared" si="51"/>
        <v>1.9300000000000001E-3</v>
      </c>
      <c r="N477" s="149">
        <v>1.0682127150223146</v>
      </c>
      <c r="O477" s="152">
        <f t="shared" si="54"/>
        <v>20616.505399930673</v>
      </c>
      <c r="P477" s="149">
        <v>13.635399999999999</v>
      </c>
      <c r="Q477" s="152">
        <f t="shared" si="50"/>
        <v>263163.21999999997</v>
      </c>
      <c r="R477" s="133">
        <f t="shared" si="52"/>
        <v>2.6316321999999996E-2</v>
      </c>
      <c r="S477" s="24" t="s">
        <v>1492</v>
      </c>
      <c r="T477" s="24" t="s">
        <v>1476</v>
      </c>
      <c r="AA477"/>
    </row>
    <row r="478" spans="1:27" ht="12.75" x14ac:dyDescent="0.2">
      <c r="A478" s="24" t="s">
        <v>1502</v>
      </c>
      <c r="B478" s="174">
        <v>44652</v>
      </c>
      <c r="C478" s="24" t="s">
        <v>1009</v>
      </c>
      <c r="D478" s="106">
        <v>5004370</v>
      </c>
      <c r="E478" s="24" t="s">
        <v>304</v>
      </c>
      <c r="F478" s="34" t="s">
        <v>424</v>
      </c>
      <c r="G478" s="47" t="s">
        <v>1506</v>
      </c>
      <c r="H478" s="24" t="s">
        <v>1105</v>
      </c>
      <c r="I478" s="23">
        <v>1</v>
      </c>
      <c r="J478" s="24" t="s">
        <v>1</v>
      </c>
      <c r="K478" s="103">
        <v>19600</v>
      </c>
      <c r="L478" s="35">
        <f t="shared" si="53"/>
        <v>19600</v>
      </c>
      <c r="M478" s="173">
        <f t="shared" si="51"/>
        <v>1.9599999999999999E-3</v>
      </c>
      <c r="N478" s="149">
        <v>1.0682127150223146</v>
      </c>
      <c r="O478" s="152">
        <f t="shared" si="54"/>
        <v>20936.969214437366</v>
      </c>
      <c r="P478" s="149">
        <v>13.635399999999999</v>
      </c>
      <c r="Q478" s="152">
        <f t="shared" si="50"/>
        <v>267253.83999999997</v>
      </c>
      <c r="R478" s="133">
        <f t="shared" si="52"/>
        <v>2.6725383999999998E-2</v>
      </c>
      <c r="S478" s="24" t="s">
        <v>1492</v>
      </c>
      <c r="T478" s="24" t="s">
        <v>1476</v>
      </c>
      <c r="AA478"/>
    </row>
    <row r="479" spans="1:27" ht="12.75" x14ac:dyDescent="0.2">
      <c r="A479" s="24" t="s">
        <v>1502</v>
      </c>
      <c r="B479" s="174">
        <v>44652</v>
      </c>
      <c r="C479" s="24" t="s">
        <v>1009</v>
      </c>
      <c r="D479" s="106">
        <v>5004370</v>
      </c>
      <c r="E479" s="24" t="s">
        <v>304</v>
      </c>
      <c r="F479" s="34" t="s">
        <v>424</v>
      </c>
      <c r="G479" s="47" t="s">
        <v>1506</v>
      </c>
      <c r="H479" s="24" t="s">
        <v>1109</v>
      </c>
      <c r="I479" s="23">
        <v>1</v>
      </c>
      <c r="J479" s="24" t="s">
        <v>1</v>
      </c>
      <c r="K479" s="103">
        <v>19700</v>
      </c>
      <c r="L479" s="35">
        <f t="shared" si="53"/>
        <v>19700</v>
      </c>
      <c r="M479" s="173">
        <f t="shared" si="51"/>
        <v>1.97E-3</v>
      </c>
      <c r="N479" s="149">
        <v>1.0682127150223146</v>
      </c>
      <c r="O479" s="152">
        <f t="shared" si="54"/>
        <v>21043.790485939597</v>
      </c>
      <c r="P479" s="149">
        <v>13.635399999999999</v>
      </c>
      <c r="Q479" s="152">
        <f t="shared" si="50"/>
        <v>268617.38</v>
      </c>
      <c r="R479" s="133">
        <f t="shared" si="52"/>
        <v>2.6861738E-2</v>
      </c>
      <c r="S479" s="24" t="s">
        <v>1492</v>
      </c>
      <c r="T479" s="24" t="s">
        <v>1476</v>
      </c>
      <c r="AA479"/>
    </row>
    <row r="480" spans="1:27" ht="12.75" x14ac:dyDescent="0.2">
      <c r="A480" s="24" t="s">
        <v>1502</v>
      </c>
      <c r="B480" s="174">
        <v>44652</v>
      </c>
      <c r="C480" s="24" t="s">
        <v>1009</v>
      </c>
      <c r="D480" s="106">
        <v>5000866</v>
      </c>
      <c r="E480" s="24" t="s">
        <v>1010</v>
      </c>
      <c r="F480" s="34" t="s">
        <v>424</v>
      </c>
      <c r="G480" s="100" t="s">
        <v>185</v>
      </c>
      <c r="H480" s="24" t="s">
        <v>1037</v>
      </c>
      <c r="I480" s="23">
        <v>1</v>
      </c>
      <c r="J480" s="24" t="s">
        <v>1</v>
      </c>
      <c r="K480" s="103">
        <v>259245</v>
      </c>
      <c r="L480" s="35">
        <f t="shared" ref="L480:L488" si="55">K480*I480</f>
        <v>259245</v>
      </c>
      <c r="M480" s="173">
        <f t="shared" si="51"/>
        <v>2.59245E-2</v>
      </c>
      <c r="N480" s="149">
        <v>0.633946132164109</v>
      </c>
      <c r="O480" s="152">
        <f t="shared" ref="O480:O488" si="56">+K480*N480</f>
        <v>164347.36503288444</v>
      </c>
      <c r="P480" s="149">
        <v>16.602857142857143</v>
      </c>
      <c r="Q480" s="152">
        <f t="shared" si="50"/>
        <v>4304207.7</v>
      </c>
      <c r="R480" s="133">
        <f t="shared" si="52"/>
        <v>0.43042077000000001</v>
      </c>
      <c r="S480" s="24" t="s">
        <v>1492</v>
      </c>
      <c r="T480" s="24" t="s">
        <v>1476</v>
      </c>
      <c r="AA480"/>
    </row>
    <row r="481" spans="1:27" ht="12.75" x14ac:dyDescent="0.2">
      <c r="A481" s="24" t="s">
        <v>1502</v>
      </c>
      <c r="B481" s="174">
        <v>44652</v>
      </c>
      <c r="C481" s="24" t="s">
        <v>1009</v>
      </c>
      <c r="D481" s="106">
        <v>5002910</v>
      </c>
      <c r="E481" s="24" t="s">
        <v>1011</v>
      </c>
      <c r="F481" s="34" t="s">
        <v>424</v>
      </c>
      <c r="G481" s="100" t="s">
        <v>185</v>
      </c>
      <c r="H481" s="24" t="s">
        <v>1038</v>
      </c>
      <c r="I481" s="23">
        <v>1</v>
      </c>
      <c r="J481" s="24" t="s">
        <v>1</v>
      </c>
      <c r="K481" s="103">
        <v>98460</v>
      </c>
      <c r="L481" s="35">
        <f t="shared" si="55"/>
        <v>98460</v>
      </c>
      <c r="M481" s="173">
        <f t="shared" si="51"/>
        <v>9.8460000000000006E-3</v>
      </c>
      <c r="N481" s="149">
        <v>0.62059989780275937</v>
      </c>
      <c r="O481" s="152">
        <f t="shared" si="56"/>
        <v>61104.265937659686</v>
      </c>
      <c r="P481" s="149">
        <v>11.92</v>
      </c>
      <c r="Q481" s="152">
        <f t="shared" si="50"/>
        <v>1173643.2</v>
      </c>
      <c r="R481" s="133">
        <f t="shared" si="52"/>
        <v>0.11736431999999999</v>
      </c>
      <c r="S481" s="24" t="s">
        <v>1492</v>
      </c>
      <c r="T481" s="24" t="s">
        <v>1476</v>
      </c>
      <c r="AA481"/>
    </row>
    <row r="482" spans="1:27" ht="12.75" x14ac:dyDescent="0.2">
      <c r="A482" s="24" t="s">
        <v>1502</v>
      </c>
      <c r="B482" s="174">
        <v>44652</v>
      </c>
      <c r="C482" s="24" t="s">
        <v>1009</v>
      </c>
      <c r="D482" s="106">
        <v>5002913</v>
      </c>
      <c r="E482" s="24" t="s">
        <v>1012</v>
      </c>
      <c r="F482" s="34" t="s">
        <v>424</v>
      </c>
      <c r="G482" s="100" t="s">
        <v>185</v>
      </c>
      <c r="H482" s="24" t="s">
        <v>1039</v>
      </c>
      <c r="I482" s="23">
        <v>1</v>
      </c>
      <c r="J482" s="24" t="s">
        <v>1</v>
      </c>
      <c r="K482" s="103">
        <v>98860</v>
      </c>
      <c r="L482" s="35">
        <f t="shared" si="55"/>
        <v>98860</v>
      </c>
      <c r="M482" s="173">
        <f t="shared" si="51"/>
        <v>9.8860000000000007E-3</v>
      </c>
      <c r="N482" s="149">
        <v>0.62059989780275937</v>
      </c>
      <c r="O482" s="152">
        <f t="shared" si="56"/>
        <v>61352.505896780793</v>
      </c>
      <c r="P482" s="149">
        <v>11.92</v>
      </c>
      <c r="Q482" s="152">
        <f t="shared" si="50"/>
        <v>1178411.2</v>
      </c>
      <c r="R482" s="133">
        <f t="shared" si="52"/>
        <v>0.11784111999999999</v>
      </c>
      <c r="S482" s="24" t="s">
        <v>1492</v>
      </c>
      <c r="T482" s="24" t="s">
        <v>1476</v>
      </c>
      <c r="AA482"/>
    </row>
    <row r="483" spans="1:27" ht="12.75" x14ac:dyDescent="0.2">
      <c r="A483" s="24" t="s">
        <v>1502</v>
      </c>
      <c r="B483" s="174">
        <v>44652</v>
      </c>
      <c r="C483" s="24" t="s">
        <v>1009</v>
      </c>
      <c r="D483" s="106">
        <v>5002913</v>
      </c>
      <c r="E483" s="24" t="s">
        <v>1012</v>
      </c>
      <c r="F483" s="34" t="s">
        <v>424</v>
      </c>
      <c r="G483" s="100" t="s">
        <v>185</v>
      </c>
      <c r="H483" s="24" t="s">
        <v>1053</v>
      </c>
      <c r="I483" s="23">
        <v>1</v>
      </c>
      <c r="J483" s="24" t="s">
        <v>1</v>
      </c>
      <c r="K483" s="103">
        <v>98860</v>
      </c>
      <c r="L483" s="35">
        <f t="shared" si="55"/>
        <v>98860</v>
      </c>
      <c r="M483" s="173">
        <f t="shared" si="51"/>
        <v>9.8860000000000007E-3</v>
      </c>
      <c r="N483" s="149">
        <v>0.62059989780275937</v>
      </c>
      <c r="O483" s="152">
        <f t="shared" si="56"/>
        <v>61352.505896780793</v>
      </c>
      <c r="P483" s="149">
        <v>11.92</v>
      </c>
      <c r="Q483" s="152">
        <f t="shared" si="50"/>
        <v>1178411.2</v>
      </c>
      <c r="R483" s="133">
        <f t="shared" si="52"/>
        <v>0.11784111999999999</v>
      </c>
      <c r="S483" s="24" t="s">
        <v>1492</v>
      </c>
      <c r="T483" s="24" t="s">
        <v>1476</v>
      </c>
      <c r="AA483"/>
    </row>
    <row r="484" spans="1:27" ht="12.75" x14ac:dyDescent="0.2">
      <c r="A484" s="24" t="s">
        <v>1502</v>
      </c>
      <c r="B484" s="174">
        <v>44652</v>
      </c>
      <c r="C484" s="24" t="s">
        <v>1009</v>
      </c>
      <c r="D484" s="106">
        <v>5002910</v>
      </c>
      <c r="E484" s="24" t="s">
        <v>1011</v>
      </c>
      <c r="F484" s="34" t="s">
        <v>424</v>
      </c>
      <c r="G484" s="100" t="s">
        <v>185</v>
      </c>
      <c r="H484" s="24" t="s">
        <v>1058</v>
      </c>
      <c r="I484" s="23">
        <v>1</v>
      </c>
      <c r="J484" s="24" t="s">
        <v>1</v>
      </c>
      <c r="K484" s="103">
        <v>98810</v>
      </c>
      <c r="L484" s="35">
        <f t="shared" si="55"/>
        <v>98810</v>
      </c>
      <c r="M484" s="173">
        <f t="shared" si="51"/>
        <v>9.8809999999999992E-3</v>
      </c>
      <c r="N484" s="149">
        <v>0.62059989780275937</v>
      </c>
      <c r="O484" s="152">
        <f t="shared" si="56"/>
        <v>61321.475901890655</v>
      </c>
      <c r="P484" s="149">
        <v>11.92</v>
      </c>
      <c r="Q484" s="152">
        <f t="shared" si="50"/>
        <v>1177815.2</v>
      </c>
      <c r="R484" s="133">
        <f t="shared" si="52"/>
        <v>0.11778152</v>
      </c>
      <c r="S484" s="24" t="s">
        <v>1492</v>
      </c>
      <c r="T484" s="24" t="s">
        <v>1476</v>
      </c>
      <c r="AA484"/>
    </row>
    <row r="485" spans="1:27" ht="12.75" x14ac:dyDescent="0.2">
      <c r="A485" s="24" t="s">
        <v>1502</v>
      </c>
      <c r="B485" s="174">
        <v>44652</v>
      </c>
      <c r="C485" s="24" t="s">
        <v>1009</v>
      </c>
      <c r="D485" s="106">
        <v>5001944</v>
      </c>
      <c r="E485" s="24" t="s">
        <v>1024</v>
      </c>
      <c r="F485" s="34" t="s">
        <v>424</v>
      </c>
      <c r="G485" s="100" t="s">
        <v>185</v>
      </c>
      <c r="H485" s="24" t="s">
        <v>1076</v>
      </c>
      <c r="I485" s="23">
        <v>1</v>
      </c>
      <c r="J485" s="24" t="s">
        <v>1</v>
      </c>
      <c r="K485" s="103">
        <v>112560</v>
      </c>
      <c r="L485" s="35">
        <f t="shared" si="55"/>
        <v>112560</v>
      </c>
      <c r="M485" s="173">
        <f t="shared" si="51"/>
        <v>1.1256E-2</v>
      </c>
      <c r="N485" s="149">
        <v>0.62059989780275926</v>
      </c>
      <c r="O485" s="152">
        <f t="shared" si="56"/>
        <v>69854.72449667858</v>
      </c>
      <c r="P485" s="149">
        <v>12.771428571428572</v>
      </c>
      <c r="Q485" s="152">
        <f t="shared" si="50"/>
        <v>1437552</v>
      </c>
      <c r="R485" s="133">
        <f t="shared" si="52"/>
        <v>0.1437552</v>
      </c>
      <c r="S485" s="24" t="s">
        <v>1492</v>
      </c>
      <c r="T485" s="24" t="s">
        <v>1476</v>
      </c>
      <c r="AA485"/>
    </row>
    <row r="486" spans="1:27" ht="12.75" x14ac:dyDescent="0.2">
      <c r="A486" s="24" t="s">
        <v>1502</v>
      </c>
      <c r="B486" s="174">
        <v>44652</v>
      </c>
      <c r="C486" s="24" t="s">
        <v>1009</v>
      </c>
      <c r="D486" s="106">
        <v>5002914</v>
      </c>
      <c r="E486" s="24" t="s">
        <v>1025</v>
      </c>
      <c r="F486" s="34" t="s">
        <v>424</v>
      </c>
      <c r="G486" s="100" t="s">
        <v>185</v>
      </c>
      <c r="H486" s="24" t="s">
        <v>1077</v>
      </c>
      <c r="I486" s="23">
        <v>1</v>
      </c>
      <c r="J486" s="24" t="s">
        <v>1</v>
      </c>
      <c r="K486" s="103">
        <v>99160</v>
      </c>
      <c r="L486" s="35">
        <f t="shared" si="55"/>
        <v>99160</v>
      </c>
      <c r="M486" s="173">
        <f t="shared" si="51"/>
        <v>9.9159999999999995E-3</v>
      </c>
      <c r="N486" s="149">
        <v>0.62059989780275937</v>
      </c>
      <c r="O486" s="152">
        <f t="shared" si="56"/>
        <v>61538.685866121617</v>
      </c>
      <c r="P486" s="149">
        <v>11.92</v>
      </c>
      <c r="Q486" s="152">
        <f t="shared" si="50"/>
        <v>1181987.2</v>
      </c>
      <c r="R486" s="133">
        <f t="shared" si="52"/>
        <v>0.11819871999999999</v>
      </c>
      <c r="S486" s="24" t="s">
        <v>1492</v>
      </c>
      <c r="T486" s="24" t="s">
        <v>1476</v>
      </c>
      <c r="AA486"/>
    </row>
    <row r="487" spans="1:27" ht="12.75" x14ac:dyDescent="0.2">
      <c r="A487" s="24" t="s">
        <v>1502</v>
      </c>
      <c r="B487" s="174">
        <v>44652</v>
      </c>
      <c r="C487" s="24" t="s">
        <v>1009</v>
      </c>
      <c r="D487" s="106">
        <v>5002914</v>
      </c>
      <c r="E487" s="24" t="s">
        <v>1025</v>
      </c>
      <c r="F487" s="34" t="s">
        <v>424</v>
      </c>
      <c r="G487" s="100" t="s">
        <v>185</v>
      </c>
      <c r="H487" s="24" t="s">
        <v>1087</v>
      </c>
      <c r="I487" s="23">
        <v>1</v>
      </c>
      <c r="J487" s="24" t="s">
        <v>1</v>
      </c>
      <c r="K487" s="103">
        <v>98060</v>
      </c>
      <c r="L487" s="35">
        <f t="shared" si="55"/>
        <v>98060</v>
      </c>
      <c r="M487" s="173">
        <f t="shared" si="51"/>
        <v>9.8060000000000005E-3</v>
      </c>
      <c r="N487" s="149">
        <v>0.62059989780275937</v>
      </c>
      <c r="O487" s="152">
        <f t="shared" si="56"/>
        <v>60856.025978538586</v>
      </c>
      <c r="P487" s="149">
        <v>11.92</v>
      </c>
      <c r="Q487" s="152">
        <f t="shared" si="50"/>
        <v>1168875.2</v>
      </c>
      <c r="R487" s="133">
        <f t="shared" si="52"/>
        <v>0.11688751999999999</v>
      </c>
      <c r="S487" s="24" t="s">
        <v>1492</v>
      </c>
      <c r="T487" s="24" t="s">
        <v>1476</v>
      </c>
      <c r="AA487"/>
    </row>
    <row r="488" spans="1:27" ht="12.75" x14ac:dyDescent="0.2">
      <c r="A488" s="24" t="s">
        <v>1502</v>
      </c>
      <c r="B488" s="174">
        <v>44652</v>
      </c>
      <c r="C488" s="24" t="s">
        <v>1009</v>
      </c>
      <c r="D488" s="106">
        <v>5002914</v>
      </c>
      <c r="E488" s="24" t="s">
        <v>1025</v>
      </c>
      <c r="F488" s="34" t="s">
        <v>424</v>
      </c>
      <c r="G488" s="100" t="s">
        <v>185</v>
      </c>
      <c r="H488" s="24" t="s">
        <v>1088</v>
      </c>
      <c r="I488" s="23">
        <v>1</v>
      </c>
      <c r="J488" s="24" t="s">
        <v>1</v>
      </c>
      <c r="K488" s="103">
        <v>98710</v>
      </c>
      <c r="L488" s="35">
        <f t="shared" si="55"/>
        <v>98710</v>
      </c>
      <c r="M488" s="173">
        <f t="shared" si="51"/>
        <v>9.8709999999999996E-3</v>
      </c>
      <c r="N488" s="149">
        <v>0.62059989780275937</v>
      </c>
      <c r="O488" s="152">
        <f t="shared" si="56"/>
        <v>61259.41591211038</v>
      </c>
      <c r="P488" s="149">
        <v>11.92</v>
      </c>
      <c r="Q488" s="152">
        <f t="shared" si="50"/>
        <v>1176623.2</v>
      </c>
      <c r="R488" s="133">
        <f t="shared" si="52"/>
        <v>0.11766232</v>
      </c>
      <c r="S488" s="24" t="s">
        <v>1492</v>
      </c>
      <c r="T488" s="24" t="s">
        <v>1476</v>
      </c>
      <c r="AA488"/>
    </row>
    <row r="489" spans="1:27" ht="12.75" x14ac:dyDescent="0.2">
      <c r="A489" s="24" t="s">
        <v>1502</v>
      </c>
      <c r="B489" s="174">
        <v>44652</v>
      </c>
      <c r="C489" s="24" t="s">
        <v>1009</v>
      </c>
      <c r="D489" s="106">
        <v>5000335</v>
      </c>
      <c r="E489" s="24" t="s">
        <v>369</v>
      </c>
      <c r="F489" s="34" t="s">
        <v>424</v>
      </c>
      <c r="G489" s="47" t="s">
        <v>264</v>
      </c>
      <c r="H489" s="24" t="s">
        <v>1036</v>
      </c>
      <c r="I489" s="23">
        <v>10</v>
      </c>
      <c r="J489" s="24" t="s">
        <v>3</v>
      </c>
      <c r="K489" s="103">
        <v>89669</v>
      </c>
      <c r="L489" s="35">
        <f t="shared" ref="L489:L544" si="57">K489*I489</f>
        <v>896690</v>
      </c>
      <c r="M489" s="173">
        <f t="shared" si="51"/>
        <v>8.9668999999999999E-2</v>
      </c>
      <c r="N489" s="149">
        <v>0.42295918367346941</v>
      </c>
      <c r="O489" s="152">
        <f t="shared" ref="O489:O544" si="58">+K489*N489</f>
        <v>37926.32704081633</v>
      </c>
      <c r="P489" s="149">
        <v>9.4809373534338341</v>
      </c>
      <c r="Q489" s="152">
        <f t="shared" si="50"/>
        <v>850146.17154505849</v>
      </c>
      <c r="R489" s="133">
        <f t="shared" si="52"/>
        <v>8.5014617154505853E-2</v>
      </c>
      <c r="S489" s="24" t="s">
        <v>1492</v>
      </c>
      <c r="T489" s="24" t="s">
        <v>1476</v>
      </c>
      <c r="AA489"/>
    </row>
    <row r="490" spans="1:27" ht="12.75" x14ac:dyDescent="0.2">
      <c r="A490" s="24" t="s">
        <v>1502</v>
      </c>
      <c r="B490" s="174">
        <v>44652</v>
      </c>
      <c r="C490" s="24" t="s">
        <v>1009</v>
      </c>
      <c r="D490" s="106">
        <v>5500520</v>
      </c>
      <c r="E490" s="24" t="s">
        <v>370</v>
      </c>
      <c r="F490" s="34" t="s">
        <v>425</v>
      </c>
      <c r="G490" s="47" t="s">
        <v>264</v>
      </c>
      <c r="H490" s="24" t="s">
        <v>1040</v>
      </c>
      <c r="I490" s="23">
        <v>15</v>
      </c>
      <c r="J490" s="24" t="s">
        <v>3</v>
      </c>
      <c r="K490" s="103">
        <v>19721</v>
      </c>
      <c r="L490" s="35">
        <f t="shared" si="57"/>
        <v>295815</v>
      </c>
      <c r="M490" s="173">
        <f t="shared" si="51"/>
        <v>2.95815E-2</v>
      </c>
      <c r="N490" s="149">
        <v>0.4746354166666667</v>
      </c>
      <c r="O490" s="152">
        <f t="shared" si="58"/>
        <v>9360.2850520833344</v>
      </c>
      <c r="P490" s="149">
        <v>136.93000252589064</v>
      </c>
      <c r="Q490" s="152">
        <f t="shared" si="50"/>
        <v>2700396.5798130892</v>
      </c>
      <c r="R490" s="133">
        <f t="shared" si="52"/>
        <v>0.27003965798130891</v>
      </c>
      <c r="S490" s="24" t="s">
        <v>1492</v>
      </c>
      <c r="T490" s="24" t="s">
        <v>1476</v>
      </c>
      <c r="AA490"/>
    </row>
    <row r="491" spans="1:27" ht="12.75" x14ac:dyDescent="0.2">
      <c r="A491" s="24" t="s">
        <v>1502</v>
      </c>
      <c r="B491" s="174">
        <v>44652</v>
      </c>
      <c r="C491" s="24" t="s">
        <v>1009</v>
      </c>
      <c r="D491" s="106">
        <v>5000335</v>
      </c>
      <c r="E491" s="24" t="s">
        <v>369</v>
      </c>
      <c r="F491" s="34" t="s">
        <v>424</v>
      </c>
      <c r="G491" s="47" t="s">
        <v>264</v>
      </c>
      <c r="H491" s="24" t="s">
        <v>1041</v>
      </c>
      <c r="I491" s="23">
        <v>10</v>
      </c>
      <c r="J491" s="24" t="s">
        <v>3</v>
      </c>
      <c r="K491" s="103">
        <v>89669</v>
      </c>
      <c r="L491" s="35">
        <f t="shared" si="57"/>
        <v>896690</v>
      </c>
      <c r="M491" s="173">
        <f t="shared" si="51"/>
        <v>8.9668999999999999E-2</v>
      </c>
      <c r="N491" s="149">
        <v>0.42295918367346941</v>
      </c>
      <c r="O491" s="152">
        <f t="shared" si="58"/>
        <v>37926.32704081633</v>
      </c>
      <c r="P491" s="149">
        <v>9.4809373534338341</v>
      </c>
      <c r="Q491" s="152">
        <f t="shared" si="50"/>
        <v>850146.17154505849</v>
      </c>
      <c r="R491" s="133">
        <f t="shared" si="52"/>
        <v>8.5014617154505853E-2</v>
      </c>
      <c r="S491" s="24" t="s">
        <v>1492</v>
      </c>
      <c r="T491" s="24" t="s">
        <v>1476</v>
      </c>
      <c r="AA491"/>
    </row>
    <row r="492" spans="1:27" ht="12.75" x14ac:dyDescent="0.2">
      <c r="A492" s="24" t="s">
        <v>1502</v>
      </c>
      <c r="B492" s="174">
        <v>44652</v>
      </c>
      <c r="C492" s="24" t="s">
        <v>1009</v>
      </c>
      <c r="D492" s="106">
        <v>5002007</v>
      </c>
      <c r="E492" s="24" t="s">
        <v>295</v>
      </c>
      <c r="F492" s="34" t="s">
        <v>424</v>
      </c>
      <c r="G492" s="47" t="s">
        <v>264</v>
      </c>
      <c r="H492" s="24" t="s">
        <v>1042</v>
      </c>
      <c r="I492" s="23">
        <v>8</v>
      </c>
      <c r="J492" s="24" t="s">
        <v>34</v>
      </c>
      <c r="K492" s="103">
        <v>9887</v>
      </c>
      <c r="L492" s="35">
        <f t="shared" si="57"/>
        <v>79096</v>
      </c>
      <c r="M492" s="173">
        <f t="shared" si="51"/>
        <v>7.9095999999999993E-3</v>
      </c>
      <c r="N492" s="149">
        <v>0.45118367346938776</v>
      </c>
      <c r="O492" s="152">
        <f t="shared" si="58"/>
        <v>4460.8529795918366</v>
      </c>
      <c r="P492" s="149">
        <v>68.177013513513515</v>
      </c>
      <c r="Q492" s="152">
        <f t="shared" si="50"/>
        <v>674066.13260810811</v>
      </c>
      <c r="R492" s="133">
        <f t="shared" si="52"/>
        <v>6.7406613260810808E-2</v>
      </c>
      <c r="S492" s="24" t="s">
        <v>1492</v>
      </c>
      <c r="T492" s="24" t="s">
        <v>1476</v>
      </c>
      <c r="AA492"/>
    </row>
    <row r="493" spans="1:27" ht="12.75" x14ac:dyDescent="0.2">
      <c r="A493" s="24" t="s">
        <v>1502</v>
      </c>
      <c r="B493" s="174">
        <v>44652</v>
      </c>
      <c r="C493" s="24" t="s">
        <v>1009</v>
      </c>
      <c r="D493" s="106">
        <v>5000776</v>
      </c>
      <c r="E493" s="24" t="s">
        <v>1013</v>
      </c>
      <c r="F493" s="34" t="s">
        <v>424</v>
      </c>
      <c r="G493" s="47" t="s">
        <v>264</v>
      </c>
      <c r="H493" s="24" t="s">
        <v>1044</v>
      </c>
      <c r="I493" s="23">
        <v>10</v>
      </c>
      <c r="J493" s="24" t="s">
        <v>3</v>
      </c>
      <c r="K493" s="103">
        <v>36729</v>
      </c>
      <c r="L493" s="35">
        <f t="shared" si="57"/>
        <v>367290</v>
      </c>
      <c r="M493" s="173">
        <f t="shared" si="51"/>
        <v>3.6728999999999998E-2</v>
      </c>
      <c r="N493" s="149">
        <v>0.2879591836734694</v>
      </c>
      <c r="O493" s="152">
        <f t="shared" si="58"/>
        <v>10576.452857142858</v>
      </c>
      <c r="P493" s="149">
        <v>109.26666666666668</v>
      </c>
      <c r="Q493" s="152">
        <f t="shared" si="50"/>
        <v>4013255.4000000004</v>
      </c>
      <c r="R493" s="133">
        <f t="shared" si="52"/>
        <v>0.40132554000000004</v>
      </c>
      <c r="S493" s="24" t="s">
        <v>1492</v>
      </c>
      <c r="T493" s="24" t="s">
        <v>1476</v>
      </c>
      <c r="AA493"/>
    </row>
    <row r="494" spans="1:27" ht="12.75" x14ac:dyDescent="0.2">
      <c r="A494" s="24" t="s">
        <v>1502</v>
      </c>
      <c r="B494" s="174">
        <v>44652</v>
      </c>
      <c r="C494" s="24" t="s">
        <v>1009</v>
      </c>
      <c r="D494" s="106">
        <v>5000987</v>
      </c>
      <c r="E494" s="24" t="s">
        <v>27</v>
      </c>
      <c r="F494" s="34" t="s">
        <v>424</v>
      </c>
      <c r="G494" s="47" t="s">
        <v>264</v>
      </c>
      <c r="H494" s="24" t="s">
        <v>1045</v>
      </c>
      <c r="I494" s="23">
        <v>10</v>
      </c>
      <c r="J494" s="24" t="s">
        <v>3</v>
      </c>
      <c r="K494" s="103">
        <v>19257</v>
      </c>
      <c r="L494" s="35">
        <f t="shared" si="57"/>
        <v>192570</v>
      </c>
      <c r="M494" s="173">
        <f t="shared" si="51"/>
        <v>1.9257E-2</v>
      </c>
      <c r="N494" s="149">
        <v>0.40052083333333333</v>
      </c>
      <c r="O494" s="152">
        <f t="shared" si="58"/>
        <v>7712.8296874999996</v>
      </c>
      <c r="P494" s="149">
        <v>149.24833333333333</v>
      </c>
      <c r="Q494" s="152">
        <f t="shared" si="50"/>
        <v>2874075.1550000003</v>
      </c>
      <c r="R494" s="133">
        <f t="shared" si="52"/>
        <v>0.28740751550000004</v>
      </c>
      <c r="S494" s="24" t="s">
        <v>1492</v>
      </c>
      <c r="T494" s="24" t="s">
        <v>1476</v>
      </c>
      <c r="AA494"/>
    </row>
    <row r="495" spans="1:27" ht="12.75" x14ac:dyDescent="0.2">
      <c r="A495" s="24" t="s">
        <v>1502</v>
      </c>
      <c r="B495" s="174">
        <v>44652</v>
      </c>
      <c r="C495" s="24" t="s">
        <v>1009</v>
      </c>
      <c r="D495" s="106">
        <v>5004170</v>
      </c>
      <c r="E495" s="24" t="s">
        <v>1014</v>
      </c>
      <c r="F495" s="34" t="s">
        <v>424</v>
      </c>
      <c r="G495" s="47" t="s">
        <v>264</v>
      </c>
      <c r="H495" s="24" t="s">
        <v>1046</v>
      </c>
      <c r="I495" s="23">
        <v>10</v>
      </c>
      <c r="J495" s="24" t="s">
        <v>3</v>
      </c>
      <c r="K495" s="103">
        <v>77619</v>
      </c>
      <c r="L495" s="35">
        <f t="shared" si="57"/>
        <v>776190</v>
      </c>
      <c r="M495" s="173">
        <f t="shared" si="51"/>
        <v>7.7618999999999994E-2</v>
      </c>
      <c r="N495" s="149">
        <v>0.30673913043478263</v>
      </c>
      <c r="O495" s="152">
        <f t="shared" si="58"/>
        <v>23808.784565217393</v>
      </c>
      <c r="P495" s="149">
        <v>22.349999999999998</v>
      </c>
      <c r="Q495" s="152">
        <f t="shared" si="50"/>
        <v>1734784.65</v>
      </c>
      <c r="R495" s="133">
        <f t="shared" si="52"/>
        <v>0.173478465</v>
      </c>
      <c r="S495" s="24" t="s">
        <v>1492</v>
      </c>
      <c r="T495" s="24" t="s">
        <v>1476</v>
      </c>
      <c r="AA495"/>
    </row>
    <row r="496" spans="1:27" ht="12.75" x14ac:dyDescent="0.2">
      <c r="A496" s="24" t="s">
        <v>1502</v>
      </c>
      <c r="B496" s="174">
        <v>44652</v>
      </c>
      <c r="C496" s="24" t="s">
        <v>1009</v>
      </c>
      <c r="D496" s="106">
        <v>5006390</v>
      </c>
      <c r="E496" s="24" t="s">
        <v>1015</v>
      </c>
      <c r="F496" s="34" t="s">
        <v>424</v>
      </c>
      <c r="G496" s="47" t="s">
        <v>264</v>
      </c>
      <c r="H496" s="24" t="s">
        <v>1047</v>
      </c>
      <c r="I496" s="23">
        <v>1</v>
      </c>
      <c r="J496" s="24" t="s">
        <v>305</v>
      </c>
      <c r="K496" s="103">
        <v>192720</v>
      </c>
      <c r="L496" s="35">
        <f t="shared" si="57"/>
        <v>192720</v>
      </c>
      <c r="M496" s="173">
        <f t="shared" si="51"/>
        <v>1.9272000000000001E-2</v>
      </c>
      <c r="N496" s="149">
        <v>0.24566666666666667</v>
      </c>
      <c r="O496" s="152">
        <f t="shared" si="58"/>
        <v>47344.880000000005</v>
      </c>
      <c r="P496" s="149">
        <v>29.8</v>
      </c>
      <c r="Q496" s="152">
        <f t="shared" si="50"/>
        <v>5743056</v>
      </c>
      <c r="R496" s="133">
        <f t="shared" si="52"/>
        <v>0.57430559999999997</v>
      </c>
      <c r="S496" s="24" t="s">
        <v>1492</v>
      </c>
      <c r="T496" s="24" t="s">
        <v>1476</v>
      </c>
      <c r="AA496"/>
    </row>
    <row r="497" spans="1:27" ht="12.75" x14ac:dyDescent="0.2">
      <c r="A497" s="24" t="s">
        <v>1502</v>
      </c>
      <c r="B497" s="174">
        <v>44652</v>
      </c>
      <c r="C497" s="24" t="s">
        <v>1009</v>
      </c>
      <c r="D497" s="106">
        <v>5000011</v>
      </c>
      <c r="E497" s="24" t="s">
        <v>1016</v>
      </c>
      <c r="F497" s="34" t="s">
        <v>424</v>
      </c>
      <c r="G497" s="47" t="s">
        <v>264</v>
      </c>
      <c r="H497" s="24" t="s">
        <v>1048</v>
      </c>
      <c r="I497" s="23">
        <v>6</v>
      </c>
      <c r="J497" s="24" t="s">
        <v>3</v>
      </c>
      <c r="K497" s="103">
        <v>65091</v>
      </c>
      <c r="L497" s="35">
        <f t="shared" si="57"/>
        <v>390546</v>
      </c>
      <c r="M497" s="173">
        <f t="shared" si="51"/>
        <v>3.9054600000000002E-2</v>
      </c>
      <c r="N497" s="149">
        <v>0.4230416666666667</v>
      </c>
      <c r="O497" s="152">
        <f t="shared" si="58"/>
        <v>27536.205125000004</v>
      </c>
      <c r="P497" s="149">
        <v>268.55014999999997</v>
      </c>
      <c r="Q497" s="152">
        <f t="shared" si="50"/>
        <v>17480197.813649997</v>
      </c>
      <c r="R497" s="133">
        <f t="shared" si="52"/>
        <v>1.7480197813649998</v>
      </c>
      <c r="S497" s="24" t="s">
        <v>1492</v>
      </c>
      <c r="T497" s="24" t="s">
        <v>1476</v>
      </c>
      <c r="AA497"/>
    </row>
    <row r="498" spans="1:27" ht="12.75" x14ac:dyDescent="0.2">
      <c r="A498" s="24" t="s">
        <v>1502</v>
      </c>
      <c r="B498" s="174">
        <v>44652</v>
      </c>
      <c r="C498" s="24" t="s">
        <v>1009</v>
      </c>
      <c r="D498" s="106">
        <v>5006390</v>
      </c>
      <c r="E498" s="24" t="s">
        <v>1015</v>
      </c>
      <c r="F498" s="34" t="s">
        <v>424</v>
      </c>
      <c r="G498" s="47" t="s">
        <v>264</v>
      </c>
      <c r="H498" s="24" t="s">
        <v>1050</v>
      </c>
      <c r="I498" s="23">
        <v>1</v>
      </c>
      <c r="J498" s="24" t="s">
        <v>305</v>
      </c>
      <c r="K498" s="103">
        <v>193220</v>
      </c>
      <c r="L498" s="35">
        <f t="shared" si="57"/>
        <v>193220</v>
      </c>
      <c r="M498" s="173">
        <f t="shared" si="51"/>
        <v>1.9321999999999999E-2</v>
      </c>
      <c r="N498" s="149">
        <v>0.24566666666666667</v>
      </c>
      <c r="O498" s="152">
        <f t="shared" si="58"/>
        <v>47467.713333333333</v>
      </c>
      <c r="P498" s="149">
        <v>29.8</v>
      </c>
      <c r="Q498" s="152">
        <f t="shared" si="50"/>
        <v>5757956</v>
      </c>
      <c r="R498" s="133">
        <f t="shared" si="52"/>
        <v>0.57579559999999996</v>
      </c>
      <c r="S498" s="24" t="s">
        <v>1492</v>
      </c>
      <c r="T498" s="24" t="s">
        <v>1476</v>
      </c>
      <c r="AA498"/>
    </row>
    <row r="499" spans="1:27" ht="12.75" x14ac:dyDescent="0.2">
      <c r="A499" s="24" t="s">
        <v>1502</v>
      </c>
      <c r="B499" s="174">
        <v>44652</v>
      </c>
      <c r="C499" s="24" t="s">
        <v>1009</v>
      </c>
      <c r="D499" s="106">
        <v>5001440</v>
      </c>
      <c r="E499" s="24" t="s">
        <v>364</v>
      </c>
      <c r="F499" s="34" t="s">
        <v>424</v>
      </c>
      <c r="G499" s="47" t="s">
        <v>264</v>
      </c>
      <c r="H499" s="24" t="s">
        <v>1051</v>
      </c>
      <c r="I499" s="23">
        <v>14</v>
      </c>
      <c r="J499" s="24" t="s">
        <v>3</v>
      </c>
      <c r="K499" s="103">
        <v>97900</v>
      </c>
      <c r="L499" s="35">
        <f t="shared" si="57"/>
        <v>1370600</v>
      </c>
      <c r="M499" s="173">
        <f t="shared" si="51"/>
        <v>0.13705999999999999</v>
      </c>
      <c r="N499" s="149">
        <v>0.37334693877551023</v>
      </c>
      <c r="O499" s="152">
        <f t="shared" si="58"/>
        <v>36550.66530612245</v>
      </c>
      <c r="P499" s="149">
        <v>13.0375</v>
      </c>
      <c r="Q499" s="152">
        <f t="shared" si="50"/>
        <v>1276371.25</v>
      </c>
      <c r="R499" s="133">
        <f t="shared" si="52"/>
        <v>0.12763712499999999</v>
      </c>
      <c r="S499" s="24" t="s">
        <v>1492</v>
      </c>
      <c r="T499" s="24" t="s">
        <v>1476</v>
      </c>
      <c r="AA499"/>
    </row>
    <row r="500" spans="1:27" ht="12.75" x14ac:dyDescent="0.2">
      <c r="A500" s="24" t="s">
        <v>1502</v>
      </c>
      <c r="B500" s="174">
        <v>44652</v>
      </c>
      <c r="C500" s="24" t="s">
        <v>1009</v>
      </c>
      <c r="D500" s="106">
        <v>5002555</v>
      </c>
      <c r="E500" s="24" t="s">
        <v>1017</v>
      </c>
      <c r="F500" s="34" t="s">
        <v>424</v>
      </c>
      <c r="G500" s="47" t="s">
        <v>264</v>
      </c>
      <c r="H500" s="24" t="s">
        <v>1052</v>
      </c>
      <c r="I500" s="23">
        <v>10</v>
      </c>
      <c r="J500" s="24" t="s">
        <v>3</v>
      </c>
      <c r="K500" s="103">
        <v>39615</v>
      </c>
      <c r="L500" s="35">
        <f t="shared" si="57"/>
        <v>396150</v>
      </c>
      <c r="M500" s="173">
        <f t="shared" si="51"/>
        <v>3.9614999999999997E-2</v>
      </c>
      <c r="N500" s="149">
        <v>0.34177083333333336</v>
      </c>
      <c r="O500" s="152">
        <f t="shared" si="58"/>
        <v>13539.251562500001</v>
      </c>
      <c r="P500" s="149">
        <v>123.42166666666665</v>
      </c>
      <c r="Q500" s="152">
        <f t="shared" si="50"/>
        <v>4889349.3249999993</v>
      </c>
      <c r="R500" s="133">
        <f t="shared" si="52"/>
        <v>0.48893493249999992</v>
      </c>
      <c r="S500" s="24" t="s">
        <v>1492</v>
      </c>
      <c r="T500" s="24" t="s">
        <v>1476</v>
      </c>
      <c r="AA500"/>
    </row>
    <row r="501" spans="1:27" ht="12.75" x14ac:dyDescent="0.2">
      <c r="A501" s="24" t="s">
        <v>1502</v>
      </c>
      <c r="B501" s="174">
        <v>44652</v>
      </c>
      <c r="C501" s="24" t="s">
        <v>1009</v>
      </c>
      <c r="D501" s="106">
        <v>5003880</v>
      </c>
      <c r="E501" s="24" t="s">
        <v>367</v>
      </c>
      <c r="F501" s="34" t="s">
        <v>424</v>
      </c>
      <c r="G501" s="47" t="s">
        <v>264</v>
      </c>
      <c r="H501" s="24" t="s">
        <v>1054</v>
      </c>
      <c r="I501" s="23">
        <v>10</v>
      </c>
      <c r="J501" s="24" t="s">
        <v>3</v>
      </c>
      <c r="K501" s="103">
        <v>19809</v>
      </c>
      <c r="L501" s="35">
        <f t="shared" si="57"/>
        <v>198090</v>
      </c>
      <c r="M501" s="173">
        <f t="shared" si="51"/>
        <v>1.9809E-2</v>
      </c>
      <c r="N501" s="149">
        <v>0.56430769230769229</v>
      </c>
      <c r="O501" s="152">
        <f t="shared" si="58"/>
        <v>11178.371076923077</v>
      </c>
      <c r="P501" s="149">
        <v>100.19833333333334</v>
      </c>
      <c r="Q501" s="152">
        <f t="shared" si="50"/>
        <v>1984828.7850000001</v>
      </c>
      <c r="R501" s="133">
        <f t="shared" si="52"/>
        <v>0.19848287850000002</v>
      </c>
      <c r="S501" s="24" t="s">
        <v>1492</v>
      </c>
      <c r="T501" s="24" t="s">
        <v>1476</v>
      </c>
      <c r="AA501"/>
    </row>
    <row r="502" spans="1:27" ht="12.75" x14ac:dyDescent="0.2">
      <c r="A502" s="24" t="s">
        <v>1502</v>
      </c>
      <c r="B502" s="174">
        <v>44652</v>
      </c>
      <c r="C502" s="24" t="s">
        <v>1009</v>
      </c>
      <c r="D502" s="106">
        <v>5004363</v>
      </c>
      <c r="E502" s="24" t="s">
        <v>1018</v>
      </c>
      <c r="F502" s="34" t="s">
        <v>424</v>
      </c>
      <c r="G502" s="47" t="s">
        <v>264</v>
      </c>
      <c r="H502" s="24" t="s">
        <v>1055</v>
      </c>
      <c r="I502" s="23">
        <v>10</v>
      </c>
      <c r="J502" s="24" t="s">
        <v>3</v>
      </c>
      <c r="K502" s="103">
        <v>29226</v>
      </c>
      <c r="L502" s="35">
        <f t="shared" si="57"/>
        <v>292260</v>
      </c>
      <c r="M502" s="173">
        <f t="shared" si="51"/>
        <v>2.9225999999999999E-2</v>
      </c>
      <c r="N502" s="149">
        <v>0.2879591836734694</v>
      </c>
      <c r="O502" s="152">
        <f t="shared" si="58"/>
        <v>8415.8951020408167</v>
      </c>
      <c r="P502" s="149">
        <v>12.416666666666666</v>
      </c>
      <c r="Q502" s="152">
        <f t="shared" si="50"/>
        <v>362889.5</v>
      </c>
      <c r="R502" s="133">
        <f t="shared" si="52"/>
        <v>3.628895E-2</v>
      </c>
      <c r="S502" s="24" t="s">
        <v>1492</v>
      </c>
      <c r="T502" s="24" t="s">
        <v>1476</v>
      </c>
      <c r="AA502"/>
    </row>
    <row r="503" spans="1:27" ht="12.75" x14ac:dyDescent="0.2">
      <c r="A503" s="24" t="s">
        <v>1502</v>
      </c>
      <c r="B503" s="174">
        <v>44652</v>
      </c>
      <c r="C503" s="24" t="s">
        <v>1009</v>
      </c>
      <c r="D503" s="106">
        <v>5002611</v>
      </c>
      <c r="E503" s="24" t="s">
        <v>1019</v>
      </c>
      <c r="F503" s="34" t="s">
        <v>424</v>
      </c>
      <c r="G503" s="47" t="s">
        <v>264</v>
      </c>
      <c r="H503" s="24" t="s">
        <v>1057</v>
      </c>
      <c r="I503" s="23">
        <v>10</v>
      </c>
      <c r="J503" s="24" t="s">
        <v>3</v>
      </c>
      <c r="K503" s="103">
        <v>19740</v>
      </c>
      <c r="L503" s="35">
        <f t="shared" si="57"/>
        <v>197400</v>
      </c>
      <c r="M503" s="173">
        <f t="shared" si="51"/>
        <v>1.9740000000000001E-2</v>
      </c>
      <c r="N503" s="149">
        <v>0.49450777202072538</v>
      </c>
      <c r="O503" s="152">
        <f t="shared" si="58"/>
        <v>9761.5834196891192</v>
      </c>
      <c r="P503" s="149">
        <v>99.364374999999995</v>
      </c>
      <c r="Q503" s="152">
        <f t="shared" si="50"/>
        <v>1961452.7625</v>
      </c>
      <c r="R503" s="133">
        <f t="shared" si="52"/>
        <v>0.19614527625</v>
      </c>
      <c r="S503" s="24" t="s">
        <v>1492</v>
      </c>
      <c r="T503" s="24" t="s">
        <v>1476</v>
      </c>
      <c r="AA503"/>
    </row>
    <row r="504" spans="1:27" ht="12.75" x14ac:dyDescent="0.2">
      <c r="A504" s="24" t="s">
        <v>1502</v>
      </c>
      <c r="B504" s="174">
        <v>44652</v>
      </c>
      <c r="C504" s="24" t="s">
        <v>1009</v>
      </c>
      <c r="D504" s="106">
        <v>5002611</v>
      </c>
      <c r="E504" s="24" t="s">
        <v>1019</v>
      </c>
      <c r="F504" s="34" t="s">
        <v>424</v>
      </c>
      <c r="G504" s="47" t="s">
        <v>264</v>
      </c>
      <c r="H504" s="24" t="s">
        <v>1059</v>
      </c>
      <c r="I504" s="23">
        <v>10</v>
      </c>
      <c r="J504" s="24" t="s">
        <v>3</v>
      </c>
      <c r="K504" s="103">
        <v>19500</v>
      </c>
      <c r="L504" s="35">
        <f t="shared" si="57"/>
        <v>195000</v>
      </c>
      <c r="M504" s="173">
        <f t="shared" si="51"/>
        <v>1.95E-2</v>
      </c>
      <c r="N504" s="149">
        <v>0.49450777202072538</v>
      </c>
      <c r="O504" s="152">
        <f t="shared" si="58"/>
        <v>9642.9015544041449</v>
      </c>
      <c r="P504" s="149">
        <v>99.364374999999995</v>
      </c>
      <c r="Q504" s="152">
        <f t="shared" si="50"/>
        <v>1937605.3125</v>
      </c>
      <c r="R504" s="133">
        <f t="shared" si="52"/>
        <v>0.19376053125000001</v>
      </c>
      <c r="S504" s="24" t="s">
        <v>1492</v>
      </c>
      <c r="T504" s="24" t="s">
        <v>1476</v>
      </c>
      <c r="AA504"/>
    </row>
    <row r="505" spans="1:27" ht="12.75" x14ac:dyDescent="0.2">
      <c r="A505" s="24" t="s">
        <v>1502</v>
      </c>
      <c r="B505" s="174">
        <v>44652</v>
      </c>
      <c r="C505" s="24" t="s">
        <v>1009</v>
      </c>
      <c r="D505" s="106">
        <v>5003880</v>
      </c>
      <c r="E505" s="24" t="s">
        <v>367</v>
      </c>
      <c r="F505" s="34" t="s">
        <v>424</v>
      </c>
      <c r="G505" s="47" t="s">
        <v>264</v>
      </c>
      <c r="H505" s="24" t="s">
        <v>1060</v>
      </c>
      <c r="I505" s="23">
        <v>10</v>
      </c>
      <c r="J505" s="24" t="s">
        <v>3</v>
      </c>
      <c r="K505" s="103">
        <v>19584</v>
      </c>
      <c r="L505" s="35">
        <f t="shared" si="57"/>
        <v>195840</v>
      </c>
      <c r="M505" s="173">
        <f t="shared" si="51"/>
        <v>1.9584000000000001E-2</v>
      </c>
      <c r="N505" s="149">
        <v>0.56430769230769229</v>
      </c>
      <c r="O505" s="152">
        <f t="shared" si="58"/>
        <v>11051.401846153845</v>
      </c>
      <c r="P505" s="149">
        <v>100.19833333333334</v>
      </c>
      <c r="Q505" s="152">
        <f t="shared" si="50"/>
        <v>1962284.1600000001</v>
      </c>
      <c r="R505" s="133">
        <f t="shared" si="52"/>
        <v>0.19622841600000002</v>
      </c>
      <c r="S505" s="24" t="s">
        <v>1492</v>
      </c>
      <c r="T505" s="24" t="s">
        <v>1476</v>
      </c>
      <c r="AA505"/>
    </row>
    <row r="506" spans="1:27" ht="12.75" x14ac:dyDescent="0.2">
      <c r="A506" s="24" t="s">
        <v>1502</v>
      </c>
      <c r="B506" s="174">
        <v>44652</v>
      </c>
      <c r="C506" s="24" t="s">
        <v>1009</v>
      </c>
      <c r="D506" s="106">
        <v>5004363</v>
      </c>
      <c r="E506" s="24" t="s">
        <v>1018</v>
      </c>
      <c r="F506" s="34" t="s">
        <v>424</v>
      </c>
      <c r="G506" s="47" t="s">
        <v>264</v>
      </c>
      <c r="H506" s="24" t="s">
        <v>1061</v>
      </c>
      <c r="I506" s="23">
        <v>10</v>
      </c>
      <c r="J506" s="24" t="s">
        <v>3</v>
      </c>
      <c r="K506" s="103">
        <v>29676</v>
      </c>
      <c r="L506" s="35">
        <f t="shared" si="57"/>
        <v>296760</v>
      </c>
      <c r="M506" s="173">
        <f t="shared" si="51"/>
        <v>2.9676000000000001E-2</v>
      </c>
      <c r="N506" s="149">
        <v>0.2879591836734694</v>
      </c>
      <c r="O506" s="152">
        <f t="shared" si="58"/>
        <v>8545.476734693877</v>
      </c>
      <c r="P506" s="149">
        <v>12.416666666666666</v>
      </c>
      <c r="Q506" s="152">
        <f t="shared" si="50"/>
        <v>368477</v>
      </c>
      <c r="R506" s="133">
        <f t="shared" si="52"/>
        <v>3.6847699999999997E-2</v>
      </c>
      <c r="S506" s="24" t="s">
        <v>1492</v>
      </c>
      <c r="T506" s="24" t="s">
        <v>1476</v>
      </c>
      <c r="AA506"/>
    </row>
    <row r="507" spans="1:27" ht="12.75" x14ac:dyDescent="0.2">
      <c r="A507" s="24" t="s">
        <v>1502</v>
      </c>
      <c r="B507" s="174">
        <v>44652</v>
      </c>
      <c r="C507" s="24" t="s">
        <v>1009</v>
      </c>
      <c r="D507" s="106">
        <v>5000003</v>
      </c>
      <c r="E507" s="24" t="s">
        <v>1020</v>
      </c>
      <c r="F507" s="34" t="s">
        <v>424</v>
      </c>
      <c r="G507" s="47" t="s">
        <v>264</v>
      </c>
      <c r="H507" s="24" t="s">
        <v>1063</v>
      </c>
      <c r="I507" s="23">
        <v>3</v>
      </c>
      <c r="J507" s="24" t="s">
        <v>3</v>
      </c>
      <c r="K507" s="103">
        <v>15941</v>
      </c>
      <c r="L507" s="35">
        <f t="shared" si="57"/>
        <v>47823</v>
      </c>
      <c r="M507" s="173">
        <f t="shared" si="51"/>
        <v>4.7822999999999997E-3</v>
      </c>
      <c r="N507" s="149">
        <v>0.34116666666666667</v>
      </c>
      <c r="O507" s="152">
        <f t="shared" si="58"/>
        <v>5438.5378333333338</v>
      </c>
      <c r="P507" s="149">
        <v>222.24839999999995</v>
      </c>
      <c r="Q507" s="152">
        <f t="shared" si="50"/>
        <v>3542861.7443999993</v>
      </c>
      <c r="R507" s="133">
        <f t="shared" si="52"/>
        <v>0.35428617443999993</v>
      </c>
      <c r="S507" s="24" t="s">
        <v>1492</v>
      </c>
      <c r="T507" s="24" t="s">
        <v>1476</v>
      </c>
      <c r="AA507"/>
    </row>
    <row r="508" spans="1:27" ht="12.75" x14ac:dyDescent="0.2">
      <c r="A508" s="24" t="s">
        <v>1502</v>
      </c>
      <c r="B508" s="174">
        <v>44652</v>
      </c>
      <c r="C508" s="24" t="s">
        <v>1009</v>
      </c>
      <c r="D508" s="106">
        <v>5002557</v>
      </c>
      <c r="E508" s="24" t="s">
        <v>302</v>
      </c>
      <c r="F508" s="34" t="s">
        <v>424</v>
      </c>
      <c r="G508" s="47" t="s">
        <v>264</v>
      </c>
      <c r="H508" s="24" t="s">
        <v>1064</v>
      </c>
      <c r="I508" s="23">
        <v>10</v>
      </c>
      <c r="J508" s="24" t="s">
        <v>3</v>
      </c>
      <c r="K508" s="103">
        <v>29361</v>
      </c>
      <c r="L508" s="35">
        <f t="shared" si="57"/>
        <v>293610</v>
      </c>
      <c r="M508" s="173">
        <f t="shared" si="51"/>
        <v>2.9361000000000002E-2</v>
      </c>
      <c r="N508" s="149">
        <v>0.67541666666666667</v>
      </c>
      <c r="O508" s="152">
        <f t="shared" si="58"/>
        <v>19830.908749999999</v>
      </c>
      <c r="P508" s="149">
        <v>95.255017206477746</v>
      </c>
      <c r="Q508" s="152">
        <f t="shared" si="50"/>
        <v>2796782.560199393</v>
      </c>
      <c r="R508" s="133">
        <f t="shared" si="52"/>
        <v>0.27967825601993929</v>
      </c>
      <c r="S508" s="24" t="s">
        <v>1492</v>
      </c>
      <c r="T508" s="24" t="s">
        <v>1476</v>
      </c>
      <c r="AA508"/>
    </row>
    <row r="509" spans="1:27" ht="12.75" x14ac:dyDescent="0.2">
      <c r="A509" s="24" t="s">
        <v>1502</v>
      </c>
      <c r="B509" s="174">
        <v>44652</v>
      </c>
      <c r="C509" s="24" t="s">
        <v>1009</v>
      </c>
      <c r="D509" s="106">
        <v>5004363</v>
      </c>
      <c r="E509" s="24" t="s">
        <v>1018</v>
      </c>
      <c r="F509" s="34" t="s">
        <v>424</v>
      </c>
      <c r="G509" s="47" t="s">
        <v>264</v>
      </c>
      <c r="H509" s="24" t="s">
        <v>1065</v>
      </c>
      <c r="I509" s="23">
        <v>10</v>
      </c>
      <c r="J509" s="24" t="s">
        <v>3</v>
      </c>
      <c r="K509" s="103">
        <v>29649</v>
      </c>
      <c r="L509" s="35">
        <f t="shared" si="57"/>
        <v>296490</v>
      </c>
      <c r="M509" s="173">
        <f t="shared" si="51"/>
        <v>2.9648999999999998E-2</v>
      </c>
      <c r="N509" s="149">
        <v>0.2879591836734694</v>
      </c>
      <c r="O509" s="152">
        <f t="shared" si="58"/>
        <v>8537.7018367346936</v>
      </c>
      <c r="P509" s="149">
        <v>12.416666666666666</v>
      </c>
      <c r="Q509" s="152">
        <f t="shared" si="50"/>
        <v>368141.75</v>
      </c>
      <c r="R509" s="133">
        <f t="shared" si="52"/>
        <v>3.6814174999999998E-2</v>
      </c>
      <c r="S509" s="24" t="s">
        <v>1492</v>
      </c>
      <c r="T509" s="24" t="s">
        <v>1476</v>
      </c>
      <c r="AA509"/>
    </row>
    <row r="510" spans="1:27" ht="12.75" x14ac:dyDescent="0.2">
      <c r="A510" s="24" t="s">
        <v>1502</v>
      </c>
      <c r="B510" s="174">
        <v>44652</v>
      </c>
      <c r="C510" s="24" t="s">
        <v>1009</v>
      </c>
      <c r="D510" s="106">
        <v>5003880</v>
      </c>
      <c r="E510" s="24" t="s">
        <v>367</v>
      </c>
      <c r="F510" s="34" t="s">
        <v>424</v>
      </c>
      <c r="G510" s="47" t="s">
        <v>264</v>
      </c>
      <c r="H510" s="24" t="s">
        <v>1067</v>
      </c>
      <c r="I510" s="23">
        <v>10</v>
      </c>
      <c r="J510" s="24" t="s">
        <v>3</v>
      </c>
      <c r="K510" s="103">
        <v>19584</v>
      </c>
      <c r="L510" s="35">
        <f t="shared" si="57"/>
        <v>195840</v>
      </c>
      <c r="M510" s="173">
        <f t="shared" si="51"/>
        <v>1.9584000000000001E-2</v>
      </c>
      <c r="N510" s="149">
        <v>0.56430769230769229</v>
      </c>
      <c r="O510" s="152">
        <f t="shared" si="58"/>
        <v>11051.401846153845</v>
      </c>
      <c r="P510" s="149">
        <v>100.19833333333334</v>
      </c>
      <c r="Q510" s="152">
        <f t="shared" si="50"/>
        <v>1962284.1600000001</v>
      </c>
      <c r="R510" s="133">
        <f t="shared" si="52"/>
        <v>0.19622841600000002</v>
      </c>
      <c r="S510" s="24" t="s">
        <v>1492</v>
      </c>
      <c r="T510" s="24" t="s">
        <v>1476</v>
      </c>
      <c r="AA510"/>
    </row>
    <row r="511" spans="1:27" ht="12.75" x14ac:dyDescent="0.2">
      <c r="A511" s="24" t="s">
        <v>1502</v>
      </c>
      <c r="B511" s="174">
        <v>44652</v>
      </c>
      <c r="C511" s="24" t="s">
        <v>1009</v>
      </c>
      <c r="D511" s="106">
        <v>5500521</v>
      </c>
      <c r="E511" s="24" t="s">
        <v>318</v>
      </c>
      <c r="F511" s="34" t="s">
        <v>425</v>
      </c>
      <c r="G511" s="47" t="s">
        <v>264</v>
      </c>
      <c r="H511" s="24" t="s">
        <v>1068</v>
      </c>
      <c r="I511" s="23">
        <v>15</v>
      </c>
      <c r="J511" s="24" t="s">
        <v>3</v>
      </c>
      <c r="K511" s="103">
        <v>39801</v>
      </c>
      <c r="L511" s="35">
        <f t="shared" si="57"/>
        <v>597015</v>
      </c>
      <c r="M511" s="173">
        <f t="shared" si="51"/>
        <v>5.9701499999999998E-2</v>
      </c>
      <c r="N511" s="149">
        <v>0.56276041666666665</v>
      </c>
      <c r="O511" s="152">
        <f t="shared" si="58"/>
        <v>22398.427343749998</v>
      </c>
      <c r="P511" s="149">
        <v>162.48002525935922</v>
      </c>
      <c r="Q511" s="152">
        <f t="shared" si="50"/>
        <v>6466867.4853477562</v>
      </c>
      <c r="R511" s="133">
        <f t="shared" si="52"/>
        <v>0.64668674853477559</v>
      </c>
      <c r="S511" s="24" t="s">
        <v>1492</v>
      </c>
      <c r="T511" s="24" t="s">
        <v>1476</v>
      </c>
      <c r="AA511"/>
    </row>
    <row r="512" spans="1:27" ht="12.75" x14ac:dyDescent="0.2">
      <c r="A512" s="24" t="s">
        <v>1502</v>
      </c>
      <c r="B512" s="174">
        <v>44652</v>
      </c>
      <c r="C512" s="24" t="s">
        <v>1009</v>
      </c>
      <c r="D512" s="106">
        <v>5000611</v>
      </c>
      <c r="E512" s="24" t="s">
        <v>365</v>
      </c>
      <c r="F512" s="34" t="s">
        <v>424</v>
      </c>
      <c r="G512" s="47" t="s">
        <v>264</v>
      </c>
      <c r="H512" s="24" t="s">
        <v>1069</v>
      </c>
      <c r="I512" s="23">
        <v>14</v>
      </c>
      <c r="J512" s="24" t="s">
        <v>3</v>
      </c>
      <c r="K512" s="103">
        <v>98842</v>
      </c>
      <c r="L512" s="35">
        <f t="shared" si="57"/>
        <v>1383788</v>
      </c>
      <c r="M512" s="173">
        <f t="shared" si="51"/>
        <v>0.1383788</v>
      </c>
      <c r="N512" s="149">
        <v>0.37334693877551023</v>
      </c>
      <c r="O512" s="152">
        <f t="shared" si="58"/>
        <v>36902.358122448983</v>
      </c>
      <c r="P512" s="149">
        <v>11.174999999999999</v>
      </c>
      <c r="Q512" s="152">
        <f t="shared" si="50"/>
        <v>1104559.3499999999</v>
      </c>
      <c r="R512" s="133">
        <f t="shared" si="52"/>
        <v>0.11045593499999999</v>
      </c>
      <c r="S512" s="24" t="s">
        <v>1492</v>
      </c>
      <c r="T512" s="24" t="s">
        <v>1476</v>
      </c>
      <c r="AA512"/>
    </row>
    <row r="513" spans="1:27" ht="12.75" x14ac:dyDescent="0.2">
      <c r="A513" s="24" t="s">
        <v>1502</v>
      </c>
      <c r="B513" s="174">
        <v>44652</v>
      </c>
      <c r="C513" s="24" t="s">
        <v>1009</v>
      </c>
      <c r="D513" s="106">
        <v>5001765</v>
      </c>
      <c r="E513" s="24" t="s">
        <v>284</v>
      </c>
      <c r="F513" s="34" t="s">
        <v>424</v>
      </c>
      <c r="G513" s="47" t="s">
        <v>264</v>
      </c>
      <c r="H513" s="24" t="s">
        <v>1070</v>
      </c>
      <c r="I513" s="23">
        <v>8</v>
      </c>
      <c r="J513" s="24" t="s">
        <v>34</v>
      </c>
      <c r="K513" s="103">
        <v>12358</v>
      </c>
      <c r="L513" s="35">
        <f t="shared" si="57"/>
        <v>98864</v>
      </c>
      <c r="M513" s="173">
        <f t="shared" si="51"/>
        <v>9.8864E-3</v>
      </c>
      <c r="N513" s="149">
        <v>0.37714285714285717</v>
      </c>
      <c r="O513" s="152">
        <f t="shared" si="58"/>
        <v>4660.7314285714292</v>
      </c>
      <c r="P513" s="149">
        <v>35.357700000000001</v>
      </c>
      <c r="Q513" s="152">
        <f t="shared" si="50"/>
        <v>436950.45660000003</v>
      </c>
      <c r="R513" s="133">
        <f t="shared" si="52"/>
        <v>4.3695045660000001E-2</v>
      </c>
      <c r="S513" s="24" t="s">
        <v>1492</v>
      </c>
      <c r="T513" s="24" t="s">
        <v>1476</v>
      </c>
      <c r="AA513"/>
    </row>
    <row r="514" spans="1:27" ht="12.75" x14ac:dyDescent="0.2">
      <c r="A514" s="24" t="s">
        <v>1502</v>
      </c>
      <c r="B514" s="174">
        <v>44652</v>
      </c>
      <c r="C514" s="24" t="s">
        <v>1009</v>
      </c>
      <c r="D514" s="106">
        <v>5001765</v>
      </c>
      <c r="E514" s="24" t="s">
        <v>284</v>
      </c>
      <c r="F514" s="34" t="s">
        <v>424</v>
      </c>
      <c r="G514" s="47" t="s">
        <v>264</v>
      </c>
      <c r="H514" s="24" t="s">
        <v>1071</v>
      </c>
      <c r="I514" s="23">
        <v>8</v>
      </c>
      <c r="J514" s="24" t="s">
        <v>34</v>
      </c>
      <c r="K514" s="103">
        <v>12360</v>
      </c>
      <c r="L514" s="35">
        <f t="shared" si="57"/>
        <v>98880</v>
      </c>
      <c r="M514" s="173">
        <f t="shared" si="51"/>
        <v>9.8879999999999992E-3</v>
      </c>
      <c r="N514" s="149">
        <v>0.37714285714285717</v>
      </c>
      <c r="O514" s="152">
        <f t="shared" si="58"/>
        <v>4661.4857142857145</v>
      </c>
      <c r="P514" s="149">
        <v>35.357700000000001</v>
      </c>
      <c r="Q514" s="152">
        <f t="shared" ref="Q514:Q577" si="59">+K514*P514</f>
        <v>437021.17200000002</v>
      </c>
      <c r="R514" s="133">
        <f t="shared" si="52"/>
        <v>4.3702117200000001E-2</v>
      </c>
      <c r="S514" s="24" t="s">
        <v>1492</v>
      </c>
      <c r="T514" s="24" t="s">
        <v>1476</v>
      </c>
      <c r="AA514"/>
    </row>
    <row r="515" spans="1:27" ht="12.75" x14ac:dyDescent="0.2">
      <c r="A515" s="24" t="s">
        <v>1502</v>
      </c>
      <c r="B515" s="174">
        <v>44652</v>
      </c>
      <c r="C515" s="24" t="s">
        <v>1009</v>
      </c>
      <c r="D515" s="106">
        <v>5000004</v>
      </c>
      <c r="E515" s="24" t="s">
        <v>1021</v>
      </c>
      <c r="F515" s="34" t="s">
        <v>424</v>
      </c>
      <c r="G515" s="47" t="s">
        <v>264</v>
      </c>
      <c r="H515" s="24" t="s">
        <v>1072</v>
      </c>
      <c r="I515" s="23">
        <v>3</v>
      </c>
      <c r="J515" s="24" t="s">
        <v>3</v>
      </c>
      <c r="K515" s="103">
        <v>24061</v>
      </c>
      <c r="L515" s="35">
        <f t="shared" si="57"/>
        <v>72183</v>
      </c>
      <c r="M515" s="173">
        <f t="shared" ref="M515:M578" si="60">L515/10^7</f>
        <v>7.2183000000000004E-3</v>
      </c>
      <c r="N515" s="149">
        <v>0.31047916666666669</v>
      </c>
      <c r="O515" s="152">
        <f t="shared" si="58"/>
        <v>7470.4392291666672</v>
      </c>
      <c r="P515" s="149">
        <v>161.02379807692307</v>
      </c>
      <c r="Q515" s="152">
        <f t="shared" si="59"/>
        <v>3874393.6055288459</v>
      </c>
      <c r="R515" s="133">
        <f t="shared" ref="R515:R578" si="61">Q515/10^7</f>
        <v>0.38743936055288458</v>
      </c>
      <c r="S515" s="24" t="s">
        <v>1492</v>
      </c>
      <c r="T515" s="24" t="s">
        <v>1476</v>
      </c>
      <c r="AA515"/>
    </row>
    <row r="516" spans="1:27" ht="12.75" x14ac:dyDescent="0.2">
      <c r="A516" s="24" t="s">
        <v>1502</v>
      </c>
      <c r="B516" s="174">
        <v>44652</v>
      </c>
      <c r="C516" s="24" t="s">
        <v>1009</v>
      </c>
      <c r="D516" s="106">
        <v>5000039</v>
      </c>
      <c r="E516" s="24" t="s">
        <v>1022</v>
      </c>
      <c r="F516" s="34" t="s">
        <v>424</v>
      </c>
      <c r="G516" s="47" t="s">
        <v>264</v>
      </c>
      <c r="H516" s="24" t="s">
        <v>1073</v>
      </c>
      <c r="I516" s="23">
        <v>10</v>
      </c>
      <c r="J516" s="24" t="s">
        <v>3</v>
      </c>
      <c r="K516" s="103">
        <v>24213</v>
      </c>
      <c r="L516" s="35">
        <f t="shared" si="57"/>
        <v>242130</v>
      </c>
      <c r="M516" s="173">
        <f t="shared" si="60"/>
        <v>2.4212999999999998E-2</v>
      </c>
      <c r="N516" s="149">
        <v>0.42295918367346941</v>
      </c>
      <c r="O516" s="152">
        <f t="shared" si="58"/>
        <v>10241.110714285714</v>
      </c>
      <c r="P516" s="149">
        <v>99.618916666666649</v>
      </c>
      <c r="Q516" s="152">
        <f t="shared" si="59"/>
        <v>2412072.8292499995</v>
      </c>
      <c r="R516" s="133">
        <f t="shared" si="61"/>
        <v>0.24120728292499996</v>
      </c>
      <c r="S516" s="24" t="s">
        <v>1492</v>
      </c>
      <c r="T516" s="24" t="s">
        <v>1476</v>
      </c>
      <c r="AA516"/>
    </row>
    <row r="517" spans="1:27" ht="12.75" x14ac:dyDescent="0.2">
      <c r="A517" s="24" t="s">
        <v>1502</v>
      </c>
      <c r="B517" s="174">
        <v>44652</v>
      </c>
      <c r="C517" s="24" t="s">
        <v>1009</v>
      </c>
      <c r="D517" s="106">
        <v>5001765</v>
      </c>
      <c r="E517" s="24" t="s">
        <v>284</v>
      </c>
      <c r="F517" s="34" t="s">
        <v>424</v>
      </c>
      <c r="G517" s="47" t="s">
        <v>264</v>
      </c>
      <c r="H517" s="24" t="s">
        <v>1075</v>
      </c>
      <c r="I517" s="23">
        <v>8</v>
      </c>
      <c r="J517" s="24" t="s">
        <v>34</v>
      </c>
      <c r="K517" s="103">
        <v>12310</v>
      </c>
      <c r="L517" s="35">
        <f t="shared" si="57"/>
        <v>98480</v>
      </c>
      <c r="M517" s="173">
        <f t="shared" si="60"/>
        <v>9.8480000000000009E-3</v>
      </c>
      <c r="N517" s="149">
        <v>0.37714285714285717</v>
      </c>
      <c r="O517" s="152">
        <f t="shared" si="58"/>
        <v>4642.6285714285714</v>
      </c>
      <c r="P517" s="149">
        <v>35.357700000000001</v>
      </c>
      <c r="Q517" s="152">
        <f t="shared" si="59"/>
        <v>435253.28700000001</v>
      </c>
      <c r="R517" s="133">
        <f t="shared" si="61"/>
        <v>4.3525328700000004E-2</v>
      </c>
      <c r="S517" s="24" t="s">
        <v>1492</v>
      </c>
      <c r="T517" s="24" t="s">
        <v>1476</v>
      </c>
      <c r="AA517"/>
    </row>
    <row r="518" spans="1:27" ht="12.75" x14ac:dyDescent="0.2">
      <c r="A518" s="24" t="s">
        <v>1502</v>
      </c>
      <c r="B518" s="174">
        <v>44652</v>
      </c>
      <c r="C518" s="24" t="s">
        <v>1009</v>
      </c>
      <c r="D518" s="106">
        <v>5004200</v>
      </c>
      <c r="E518" s="24" t="s">
        <v>1026</v>
      </c>
      <c r="F518" s="34" t="s">
        <v>424</v>
      </c>
      <c r="G518" s="47" t="s">
        <v>264</v>
      </c>
      <c r="H518" s="24" t="s">
        <v>1078</v>
      </c>
      <c r="I518" s="23">
        <v>10</v>
      </c>
      <c r="J518" s="24" t="s">
        <v>3</v>
      </c>
      <c r="K518" s="103">
        <v>19246</v>
      </c>
      <c r="L518" s="35">
        <f t="shared" si="57"/>
        <v>192460</v>
      </c>
      <c r="M518" s="173">
        <f t="shared" si="60"/>
        <v>1.9245999999999999E-2</v>
      </c>
      <c r="N518" s="149">
        <v>0.34177083333333336</v>
      </c>
      <c r="O518" s="152">
        <f t="shared" si="58"/>
        <v>6577.7214583333334</v>
      </c>
      <c r="P518" s="149">
        <v>82.640362086776861</v>
      </c>
      <c r="Q518" s="152">
        <f t="shared" si="59"/>
        <v>1590496.4087221075</v>
      </c>
      <c r="R518" s="133">
        <f t="shared" si="61"/>
        <v>0.15904964087221074</v>
      </c>
      <c r="S518" s="24" t="s">
        <v>1492</v>
      </c>
      <c r="T518" s="24" t="s">
        <v>1476</v>
      </c>
      <c r="AA518"/>
    </row>
    <row r="519" spans="1:27" ht="12.75" x14ac:dyDescent="0.2">
      <c r="A519" s="24" t="s">
        <v>1502</v>
      </c>
      <c r="B519" s="174">
        <v>44652</v>
      </c>
      <c r="C519" s="24" t="s">
        <v>1009</v>
      </c>
      <c r="D519" s="106">
        <v>5004200</v>
      </c>
      <c r="E519" s="24" t="s">
        <v>1026</v>
      </c>
      <c r="F519" s="34" t="s">
        <v>424</v>
      </c>
      <c r="G519" s="47" t="s">
        <v>264</v>
      </c>
      <c r="H519" s="24" t="s">
        <v>1079</v>
      </c>
      <c r="I519" s="23">
        <v>10</v>
      </c>
      <c r="J519" s="24" t="s">
        <v>3</v>
      </c>
      <c r="K519" s="103">
        <v>19806</v>
      </c>
      <c r="L519" s="35">
        <f t="shared" si="57"/>
        <v>198060</v>
      </c>
      <c r="M519" s="173">
        <f t="shared" si="60"/>
        <v>1.9806000000000001E-2</v>
      </c>
      <c r="N519" s="149">
        <v>0.34177083333333336</v>
      </c>
      <c r="O519" s="152">
        <f t="shared" si="58"/>
        <v>6769.1131250000008</v>
      </c>
      <c r="P519" s="149">
        <v>82.640362086776861</v>
      </c>
      <c r="Q519" s="152">
        <f t="shared" si="59"/>
        <v>1636775.0114907024</v>
      </c>
      <c r="R519" s="133">
        <f t="shared" si="61"/>
        <v>0.16367750114907023</v>
      </c>
      <c r="S519" s="24" t="s">
        <v>1492</v>
      </c>
      <c r="T519" s="24" t="s">
        <v>1476</v>
      </c>
      <c r="AA519"/>
    </row>
    <row r="520" spans="1:27" ht="12.75" x14ac:dyDescent="0.2">
      <c r="A520" s="24" t="s">
        <v>1502</v>
      </c>
      <c r="B520" s="174">
        <v>44652</v>
      </c>
      <c r="C520" s="24" t="s">
        <v>1009</v>
      </c>
      <c r="D520" s="106">
        <v>5001765</v>
      </c>
      <c r="E520" s="24" t="s">
        <v>284</v>
      </c>
      <c r="F520" s="34" t="s">
        <v>424</v>
      </c>
      <c r="G520" s="47" t="s">
        <v>264</v>
      </c>
      <c r="H520" s="24" t="s">
        <v>1081</v>
      </c>
      <c r="I520" s="23">
        <v>8</v>
      </c>
      <c r="J520" s="24" t="s">
        <v>34</v>
      </c>
      <c r="K520" s="103">
        <v>12358</v>
      </c>
      <c r="L520" s="35">
        <f t="shared" si="57"/>
        <v>98864</v>
      </c>
      <c r="M520" s="173">
        <f t="shared" si="60"/>
        <v>9.8864E-3</v>
      </c>
      <c r="N520" s="149">
        <v>0.37714285714285717</v>
      </c>
      <c r="O520" s="152">
        <f t="shared" si="58"/>
        <v>4660.7314285714292</v>
      </c>
      <c r="P520" s="149">
        <v>35.357700000000001</v>
      </c>
      <c r="Q520" s="152">
        <f t="shared" si="59"/>
        <v>436950.45660000003</v>
      </c>
      <c r="R520" s="133">
        <f t="shared" si="61"/>
        <v>4.3695045660000001E-2</v>
      </c>
      <c r="S520" s="24" t="s">
        <v>1492</v>
      </c>
      <c r="T520" s="24" t="s">
        <v>1476</v>
      </c>
      <c r="AA520"/>
    </row>
    <row r="521" spans="1:27" ht="12.75" x14ac:dyDescent="0.2">
      <c r="A521" s="24" t="s">
        <v>1502</v>
      </c>
      <c r="B521" s="174">
        <v>44652</v>
      </c>
      <c r="C521" s="24" t="s">
        <v>1009</v>
      </c>
      <c r="D521" s="106">
        <v>5500520</v>
      </c>
      <c r="E521" s="24" t="s">
        <v>370</v>
      </c>
      <c r="F521" s="34" t="s">
        <v>425</v>
      </c>
      <c r="G521" s="47" t="s">
        <v>264</v>
      </c>
      <c r="H521" s="24" t="s">
        <v>1083</v>
      </c>
      <c r="I521" s="23">
        <v>15</v>
      </c>
      <c r="J521" s="24" t="s">
        <v>3</v>
      </c>
      <c r="K521" s="103">
        <v>19871</v>
      </c>
      <c r="L521" s="35">
        <f t="shared" si="57"/>
        <v>298065</v>
      </c>
      <c r="M521" s="173">
        <f t="shared" si="60"/>
        <v>2.98065E-2</v>
      </c>
      <c r="N521" s="149">
        <v>0.4746354166666667</v>
      </c>
      <c r="O521" s="152">
        <f t="shared" si="58"/>
        <v>9431.4803645833344</v>
      </c>
      <c r="P521" s="149">
        <v>136.93000252589064</v>
      </c>
      <c r="Q521" s="152">
        <f t="shared" si="59"/>
        <v>2720936.0801919731</v>
      </c>
      <c r="R521" s="133">
        <f t="shared" si="61"/>
        <v>0.2720936080191973</v>
      </c>
      <c r="S521" s="24" t="s">
        <v>1492</v>
      </c>
      <c r="T521" s="24" t="s">
        <v>1476</v>
      </c>
      <c r="AA521"/>
    </row>
    <row r="522" spans="1:27" ht="12.75" x14ac:dyDescent="0.2">
      <c r="A522" s="24" t="s">
        <v>1502</v>
      </c>
      <c r="B522" s="174">
        <v>44652</v>
      </c>
      <c r="C522" s="24" t="s">
        <v>1009</v>
      </c>
      <c r="D522" s="106">
        <v>5001089</v>
      </c>
      <c r="E522" s="24" t="s">
        <v>1027</v>
      </c>
      <c r="F522" s="34" t="s">
        <v>424</v>
      </c>
      <c r="G522" s="47" t="s">
        <v>264</v>
      </c>
      <c r="H522" s="24" t="s">
        <v>1084</v>
      </c>
      <c r="I522" s="23">
        <v>7</v>
      </c>
      <c r="J522" s="24" t="s">
        <v>3</v>
      </c>
      <c r="K522" s="103">
        <v>55252</v>
      </c>
      <c r="L522" s="35">
        <f t="shared" si="57"/>
        <v>386764</v>
      </c>
      <c r="M522" s="173">
        <f t="shared" si="60"/>
        <v>3.86764E-2</v>
      </c>
      <c r="N522" s="149">
        <v>0.29861458333333335</v>
      </c>
      <c r="O522" s="152">
        <f t="shared" si="58"/>
        <v>16499.052958333334</v>
      </c>
      <c r="P522" s="149">
        <v>106.27570734126984</v>
      </c>
      <c r="Q522" s="152">
        <f t="shared" si="59"/>
        <v>5871945.3820198411</v>
      </c>
      <c r="R522" s="133">
        <f t="shared" si="61"/>
        <v>0.58719453820198408</v>
      </c>
      <c r="S522" s="24" t="s">
        <v>1492</v>
      </c>
      <c r="T522" s="24" t="s">
        <v>1476</v>
      </c>
      <c r="AA522"/>
    </row>
    <row r="523" spans="1:27" ht="12.75" x14ac:dyDescent="0.2">
      <c r="A523" s="24" t="s">
        <v>1502</v>
      </c>
      <c r="B523" s="174">
        <v>44652</v>
      </c>
      <c r="C523" s="24" t="s">
        <v>1009</v>
      </c>
      <c r="D523" s="106">
        <v>5001765</v>
      </c>
      <c r="E523" s="24" t="s">
        <v>284</v>
      </c>
      <c r="F523" s="34" t="s">
        <v>424</v>
      </c>
      <c r="G523" s="47" t="s">
        <v>264</v>
      </c>
      <c r="H523" s="24" t="s">
        <v>1085</v>
      </c>
      <c r="I523" s="23">
        <v>8</v>
      </c>
      <c r="J523" s="24" t="s">
        <v>34</v>
      </c>
      <c r="K523" s="103">
        <v>12382</v>
      </c>
      <c r="L523" s="35">
        <f t="shared" si="57"/>
        <v>99056</v>
      </c>
      <c r="M523" s="173">
        <f t="shared" si="60"/>
        <v>9.9056000000000005E-3</v>
      </c>
      <c r="N523" s="149">
        <v>0.37714285714285717</v>
      </c>
      <c r="O523" s="152">
        <f t="shared" si="58"/>
        <v>4669.7828571428572</v>
      </c>
      <c r="P523" s="149">
        <v>35.357700000000001</v>
      </c>
      <c r="Q523" s="152">
        <f t="shared" si="59"/>
        <v>437799.04139999999</v>
      </c>
      <c r="R523" s="133">
        <f t="shared" si="61"/>
        <v>4.3779904139999999E-2</v>
      </c>
      <c r="S523" s="24" t="s">
        <v>1492</v>
      </c>
      <c r="T523" s="24" t="s">
        <v>1476</v>
      </c>
      <c r="AA523"/>
    </row>
    <row r="524" spans="1:27" ht="12.75" x14ac:dyDescent="0.2">
      <c r="A524" s="24" t="s">
        <v>1502</v>
      </c>
      <c r="B524" s="174">
        <v>44652</v>
      </c>
      <c r="C524" s="24" t="s">
        <v>1009</v>
      </c>
      <c r="D524" s="106">
        <v>5001915</v>
      </c>
      <c r="E524" s="24" t="s">
        <v>1028</v>
      </c>
      <c r="F524" s="34" t="s">
        <v>424</v>
      </c>
      <c r="G524" s="47" t="s">
        <v>264</v>
      </c>
      <c r="H524" s="24" t="s">
        <v>1086</v>
      </c>
      <c r="I524" s="23">
        <v>10</v>
      </c>
      <c r="J524" s="24" t="s">
        <v>3</v>
      </c>
      <c r="K524" s="103">
        <v>4890</v>
      </c>
      <c r="L524" s="35">
        <f t="shared" si="57"/>
        <v>48900</v>
      </c>
      <c r="M524" s="173">
        <f t="shared" si="60"/>
        <v>4.8900000000000002E-3</v>
      </c>
      <c r="N524" s="149">
        <v>0.2879591836734694</v>
      </c>
      <c r="O524" s="152">
        <f t="shared" si="58"/>
        <v>1408.1204081632654</v>
      </c>
      <c r="P524" s="149">
        <v>51.259242931547618</v>
      </c>
      <c r="Q524" s="152">
        <f t="shared" si="59"/>
        <v>250657.69793526785</v>
      </c>
      <c r="R524" s="133">
        <f t="shared" si="61"/>
        <v>2.5065769793526784E-2</v>
      </c>
      <c r="S524" s="24" t="s">
        <v>1492</v>
      </c>
      <c r="T524" s="24" t="s">
        <v>1476</v>
      </c>
      <c r="AA524"/>
    </row>
    <row r="525" spans="1:27" ht="12.75" x14ac:dyDescent="0.2">
      <c r="A525" s="24" t="s">
        <v>1502</v>
      </c>
      <c r="B525" s="174">
        <v>44652</v>
      </c>
      <c r="C525" s="24" t="s">
        <v>1009</v>
      </c>
      <c r="D525" s="106">
        <v>5500520</v>
      </c>
      <c r="E525" s="24" t="s">
        <v>370</v>
      </c>
      <c r="F525" s="34" t="s">
        <v>425</v>
      </c>
      <c r="G525" s="47" t="s">
        <v>264</v>
      </c>
      <c r="H525" s="24" t="s">
        <v>1089</v>
      </c>
      <c r="I525" s="23">
        <v>15</v>
      </c>
      <c r="J525" s="24" t="s">
        <v>3</v>
      </c>
      <c r="K525" s="103">
        <v>19901</v>
      </c>
      <c r="L525" s="35">
        <f t="shared" si="57"/>
        <v>298515</v>
      </c>
      <c r="M525" s="173">
        <f t="shared" si="60"/>
        <v>2.98515E-2</v>
      </c>
      <c r="N525" s="149">
        <v>0.4746354166666667</v>
      </c>
      <c r="O525" s="152">
        <f t="shared" si="58"/>
        <v>9445.7194270833334</v>
      </c>
      <c r="P525" s="149">
        <v>136.93000252589064</v>
      </c>
      <c r="Q525" s="152">
        <f t="shared" si="59"/>
        <v>2725043.9802677496</v>
      </c>
      <c r="R525" s="133">
        <f t="shared" si="61"/>
        <v>0.27250439802677495</v>
      </c>
      <c r="S525" s="24" t="s">
        <v>1492</v>
      </c>
      <c r="T525" s="24" t="s">
        <v>1476</v>
      </c>
      <c r="AA525"/>
    </row>
    <row r="526" spans="1:27" ht="12.75" x14ac:dyDescent="0.2">
      <c r="A526" s="24" t="s">
        <v>1502</v>
      </c>
      <c r="B526" s="174">
        <v>44652</v>
      </c>
      <c r="C526" s="24" t="s">
        <v>1009</v>
      </c>
      <c r="D526" s="106">
        <v>5000864</v>
      </c>
      <c r="E526" s="24" t="s">
        <v>366</v>
      </c>
      <c r="F526" s="34" t="s">
        <v>424</v>
      </c>
      <c r="G526" s="47" t="s">
        <v>264</v>
      </c>
      <c r="H526" s="24" t="s">
        <v>1090</v>
      </c>
      <c r="I526" s="23">
        <v>4</v>
      </c>
      <c r="J526" s="24" t="s">
        <v>3</v>
      </c>
      <c r="K526" s="103">
        <v>98475</v>
      </c>
      <c r="L526" s="35">
        <f t="shared" si="57"/>
        <v>393900</v>
      </c>
      <c r="M526" s="173">
        <f t="shared" si="60"/>
        <v>3.9390000000000001E-2</v>
      </c>
      <c r="N526" s="149">
        <v>0.27895833333333331</v>
      </c>
      <c r="O526" s="152">
        <f t="shared" si="58"/>
        <v>27470.421874999996</v>
      </c>
      <c r="P526" s="149">
        <v>54.093647999999995</v>
      </c>
      <c r="Q526" s="152">
        <f t="shared" si="59"/>
        <v>5326871.9867999991</v>
      </c>
      <c r="R526" s="133">
        <f t="shared" si="61"/>
        <v>0.53268719867999992</v>
      </c>
      <c r="S526" s="24" t="s">
        <v>1492</v>
      </c>
      <c r="T526" s="24" t="s">
        <v>1476</v>
      </c>
      <c r="AA526"/>
    </row>
    <row r="527" spans="1:27" ht="12.75" x14ac:dyDescent="0.2">
      <c r="A527" s="24" t="s">
        <v>1502</v>
      </c>
      <c r="B527" s="174">
        <v>44652</v>
      </c>
      <c r="C527" s="24" t="s">
        <v>1009</v>
      </c>
      <c r="D527" s="106">
        <v>5001915</v>
      </c>
      <c r="E527" s="24" t="s">
        <v>1028</v>
      </c>
      <c r="F527" s="34" t="s">
        <v>424</v>
      </c>
      <c r="G527" s="47" t="s">
        <v>264</v>
      </c>
      <c r="H527" s="24" t="s">
        <v>1091</v>
      </c>
      <c r="I527" s="23">
        <v>10</v>
      </c>
      <c r="J527" s="24" t="s">
        <v>3</v>
      </c>
      <c r="K527" s="103">
        <v>4872</v>
      </c>
      <c r="L527" s="35">
        <f t="shared" si="57"/>
        <v>48720</v>
      </c>
      <c r="M527" s="173">
        <f t="shared" si="60"/>
        <v>4.8719999999999996E-3</v>
      </c>
      <c r="N527" s="149">
        <v>0.2879591836734694</v>
      </c>
      <c r="O527" s="152">
        <f t="shared" si="58"/>
        <v>1402.9371428571428</v>
      </c>
      <c r="P527" s="149">
        <v>51.259242931547618</v>
      </c>
      <c r="Q527" s="152">
        <f t="shared" si="59"/>
        <v>249735.03156249999</v>
      </c>
      <c r="R527" s="133">
        <f t="shared" si="61"/>
        <v>2.497350315625E-2</v>
      </c>
      <c r="S527" s="24" t="s">
        <v>1492</v>
      </c>
      <c r="T527" s="24" t="s">
        <v>1476</v>
      </c>
      <c r="AA527"/>
    </row>
    <row r="528" spans="1:27" ht="12.75" x14ac:dyDescent="0.2">
      <c r="A528" s="24" t="s">
        <v>1502</v>
      </c>
      <c r="B528" s="174">
        <v>44652</v>
      </c>
      <c r="C528" s="24" t="s">
        <v>1009</v>
      </c>
      <c r="D528" s="106">
        <v>5000335</v>
      </c>
      <c r="E528" s="24" t="s">
        <v>369</v>
      </c>
      <c r="F528" s="34" t="s">
        <v>424</v>
      </c>
      <c r="G528" s="47" t="s">
        <v>264</v>
      </c>
      <c r="H528" s="24" t="s">
        <v>1092</v>
      </c>
      <c r="I528" s="23">
        <v>10</v>
      </c>
      <c r="J528" s="24" t="s">
        <v>3</v>
      </c>
      <c r="K528" s="103">
        <v>89569</v>
      </c>
      <c r="L528" s="35">
        <f t="shared" si="57"/>
        <v>895690</v>
      </c>
      <c r="M528" s="173">
        <f t="shared" si="60"/>
        <v>8.9568999999999996E-2</v>
      </c>
      <c r="N528" s="149">
        <v>0.42295918367346941</v>
      </c>
      <c r="O528" s="152">
        <f t="shared" si="58"/>
        <v>37884.031122448978</v>
      </c>
      <c r="P528" s="149">
        <v>9.4809373534338341</v>
      </c>
      <c r="Q528" s="152">
        <f t="shared" si="59"/>
        <v>849198.07780971506</v>
      </c>
      <c r="R528" s="133">
        <f t="shared" si="61"/>
        <v>8.491980778097151E-2</v>
      </c>
      <c r="S528" s="24" t="s">
        <v>1492</v>
      </c>
      <c r="T528" s="24" t="s">
        <v>1476</v>
      </c>
      <c r="AA528"/>
    </row>
    <row r="529" spans="1:27" ht="12.75" x14ac:dyDescent="0.2">
      <c r="A529" s="24" t="s">
        <v>1502</v>
      </c>
      <c r="B529" s="174">
        <v>44652</v>
      </c>
      <c r="C529" s="24" t="s">
        <v>1009</v>
      </c>
      <c r="D529" s="106">
        <v>5000335</v>
      </c>
      <c r="E529" s="24" t="s">
        <v>369</v>
      </c>
      <c r="F529" s="34" t="s">
        <v>424</v>
      </c>
      <c r="G529" s="47" t="s">
        <v>264</v>
      </c>
      <c r="H529" s="24" t="s">
        <v>1093</v>
      </c>
      <c r="I529" s="23">
        <v>10</v>
      </c>
      <c r="J529" s="24" t="s">
        <v>3</v>
      </c>
      <c r="K529" s="103">
        <v>89569</v>
      </c>
      <c r="L529" s="35">
        <f t="shared" si="57"/>
        <v>895690</v>
      </c>
      <c r="M529" s="173">
        <f t="shared" si="60"/>
        <v>8.9568999999999996E-2</v>
      </c>
      <c r="N529" s="149">
        <v>0.42295918367346941</v>
      </c>
      <c r="O529" s="152">
        <f t="shared" si="58"/>
        <v>37884.031122448978</v>
      </c>
      <c r="P529" s="149">
        <v>9.4809373534338341</v>
      </c>
      <c r="Q529" s="152">
        <f t="shared" si="59"/>
        <v>849198.07780971506</v>
      </c>
      <c r="R529" s="133">
        <f t="shared" si="61"/>
        <v>8.491980778097151E-2</v>
      </c>
      <c r="S529" s="24" t="s">
        <v>1492</v>
      </c>
      <c r="T529" s="24" t="s">
        <v>1476</v>
      </c>
      <c r="AA529"/>
    </row>
    <row r="530" spans="1:27" ht="12.75" x14ac:dyDescent="0.2">
      <c r="A530" s="24" t="s">
        <v>1502</v>
      </c>
      <c r="B530" s="174">
        <v>44652</v>
      </c>
      <c r="C530" s="24" t="s">
        <v>1009</v>
      </c>
      <c r="D530" s="106">
        <v>5501291</v>
      </c>
      <c r="E530" s="24" t="s">
        <v>387</v>
      </c>
      <c r="F530" s="34" t="s">
        <v>425</v>
      </c>
      <c r="G530" s="47" t="s">
        <v>264</v>
      </c>
      <c r="H530" s="24" t="s">
        <v>1094</v>
      </c>
      <c r="I530" s="23">
        <v>10</v>
      </c>
      <c r="J530" s="24" t="s">
        <v>3</v>
      </c>
      <c r="K530" s="103">
        <v>38160</v>
      </c>
      <c r="L530" s="35">
        <f t="shared" si="57"/>
        <v>381600</v>
      </c>
      <c r="M530" s="173">
        <f t="shared" si="60"/>
        <v>3.8159999999999999E-2</v>
      </c>
      <c r="N530" s="149">
        <v>0.34177083333333336</v>
      </c>
      <c r="O530" s="152">
        <f t="shared" si="58"/>
        <v>13041.975</v>
      </c>
      <c r="P530" s="149">
        <v>89.360044503361095</v>
      </c>
      <c r="Q530" s="152">
        <f t="shared" si="59"/>
        <v>3409979.2982482594</v>
      </c>
      <c r="R530" s="133">
        <f t="shared" si="61"/>
        <v>0.34099792982482596</v>
      </c>
      <c r="S530" s="24" t="s">
        <v>1492</v>
      </c>
      <c r="T530" s="24" t="s">
        <v>1476</v>
      </c>
      <c r="AA530"/>
    </row>
    <row r="531" spans="1:27" ht="12.75" x14ac:dyDescent="0.2">
      <c r="A531" s="24" t="s">
        <v>1502</v>
      </c>
      <c r="B531" s="174">
        <v>44652</v>
      </c>
      <c r="C531" s="24" t="s">
        <v>1009</v>
      </c>
      <c r="D531" s="106">
        <v>5001507</v>
      </c>
      <c r="E531" s="24" t="s">
        <v>371</v>
      </c>
      <c r="F531" s="34" t="s">
        <v>424</v>
      </c>
      <c r="G531" s="47" t="s">
        <v>264</v>
      </c>
      <c r="H531" s="24" t="s">
        <v>1095</v>
      </c>
      <c r="I531" s="23">
        <v>10</v>
      </c>
      <c r="J531" s="24" t="s">
        <v>3</v>
      </c>
      <c r="K531" s="103">
        <v>29622</v>
      </c>
      <c r="L531" s="35">
        <f t="shared" si="57"/>
        <v>296220</v>
      </c>
      <c r="M531" s="173">
        <f t="shared" si="60"/>
        <v>2.9621999999999999E-2</v>
      </c>
      <c r="N531" s="149">
        <v>0.34177083333333336</v>
      </c>
      <c r="O531" s="152">
        <f t="shared" si="58"/>
        <v>10123.935625</v>
      </c>
      <c r="P531" s="149">
        <v>170.60176430976432</v>
      </c>
      <c r="Q531" s="152">
        <f t="shared" si="59"/>
        <v>5053565.4623838384</v>
      </c>
      <c r="R531" s="133">
        <f t="shared" si="61"/>
        <v>0.50535654623838389</v>
      </c>
      <c r="S531" s="24" t="s">
        <v>1492</v>
      </c>
      <c r="T531" s="24" t="s">
        <v>1476</v>
      </c>
      <c r="AA531"/>
    </row>
    <row r="532" spans="1:27" ht="12.75" x14ac:dyDescent="0.2">
      <c r="A532" s="24" t="s">
        <v>1502</v>
      </c>
      <c r="B532" s="174">
        <v>44652</v>
      </c>
      <c r="C532" s="24" t="s">
        <v>1009</v>
      </c>
      <c r="D532" s="106">
        <v>5001694</v>
      </c>
      <c r="E532" s="24" t="s">
        <v>1029</v>
      </c>
      <c r="F532" s="34" t="s">
        <v>424</v>
      </c>
      <c r="G532" s="47" t="s">
        <v>264</v>
      </c>
      <c r="H532" s="24" t="s">
        <v>1096</v>
      </c>
      <c r="I532" s="23">
        <v>10</v>
      </c>
      <c r="J532" s="24" t="s">
        <v>65</v>
      </c>
      <c r="K532" s="103">
        <v>29409</v>
      </c>
      <c r="L532" s="35">
        <f t="shared" si="57"/>
        <v>294090</v>
      </c>
      <c r="M532" s="173">
        <f t="shared" si="60"/>
        <v>2.9409000000000001E-2</v>
      </c>
      <c r="N532" s="149">
        <v>0.34177083333333336</v>
      </c>
      <c r="O532" s="152">
        <f t="shared" si="58"/>
        <v>10051.138437500002</v>
      </c>
      <c r="P532" s="149">
        <v>102.37541666666665</v>
      </c>
      <c r="Q532" s="152">
        <f t="shared" si="59"/>
        <v>3010758.6287499997</v>
      </c>
      <c r="R532" s="133">
        <f t="shared" si="61"/>
        <v>0.30107586287499999</v>
      </c>
      <c r="S532" s="24" t="s">
        <v>1492</v>
      </c>
      <c r="T532" s="24" t="s">
        <v>1476</v>
      </c>
      <c r="AA532"/>
    </row>
    <row r="533" spans="1:27" ht="12.75" x14ac:dyDescent="0.2">
      <c r="A533" s="24" t="s">
        <v>1502</v>
      </c>
      <c r="B533" s="174">
        <v>44652</v>
      </c>
      <c r="C533" s="24" t="s">
        <v>1009</v>
      </c>
      <c r="D533" s="106">
        <v>5003556</v>
      </c>
      <c r="E533" s="24" t="s">
        <v>1030</v>
      </c>
      <c r="F533" s="34" t="s">
        <v>424</v>
      </c>
      <c r="G533" s="47" t="s">
        <v>264</v>
      </c>
      <c r="H533" s="24" t="s">
        <v>1097</v>
      </c>
      <c r="I533" s="23">
        <v>14</v>
      </c>
      <c r="J533" s="24" t="s">
        <v>3</v>
      </c>
      <c r="K533" s="103">
        <v>48550</v>
      </c>
      <c r="L533" s="35">
        <f t="shared" si="57"/>
        <v>679700</v>
      </c>
      <c r="M533" s="173">
        <f t="shared" si="60"/>
        <v>6.7970000000000003E-2</v>
      </c>
      <c r="N533" s="149">
        <v>0.44806250000000003</v>
      </c>
      <c r="O533" s="152">
        <f t="shared" si="58"/>
        <v>21753.434375000001</v>
      </c>
      <c r="P533" s="149">
        <v>18.625</v>
      </c>
      <c r="Q533" s="152">
        <f t="shared" si="59"/>
        <v>904243.75</v>
      </c>
      <c r="R533" s="133">
        <f t="shared" si="61"/>
        <v>9.0424375000000001E-2</v>
      </c>
      <c r="S533" s="24" t="s">
        <v>1492</v>
      </c>
      <c r="T533" s="24" t="s">
        <v>1476</v>
      </c>
      <c r="AA533"/>
    </row>
    <row r="534" spans="1:27" ht="12.75" x14ac:dyDescent="0.2">
      <c r="A534" s="24" t="s">
        <v>1502</v>
      </c>
      <c r="B534" s="174">
        <v>44652</v>
      </c>
      <c r="C534" s="24" t="s">
        <v>1009</v>
      </c>
      <c r="D534" s="106">
        <v>5000004</v>
      </c>
      <c r="E534" s="24" t="s">
        <v>1021</v>
      </c>
      <c r="F534" s="34" t="s">
        <v>424</v>
      </c>
      <c r="G534" s="47" t="s">
        <v>264</v>
      </c>
      <c r="H534" s="24" t="s">
        <v>1099</v>
      </c>
      <c r="I534" s="23">
        <v>3</v>
      </c>
      <c r="J534" s="24" t="s">
        <v>3</v>
      </c>
      <c r="K534" s="103">
        <v>24151</v>
      </c>
      <c r="L534" s="35">
        <f t="shared" si="57"/>
        <v>72453</v>
      </c>
      <c r="M534" s="173">
        <f t="shared" si="60"/>
        <v>7.2452999999999997E-3</v>
      </c>
      <c r="N534" s="149">
        <v>0.31047916666666669</v>
      </c>
      <c r="O534" s="152">
        <f t="shared" si="58"/>
        <v>7498.382354166667</v>
      </c>
      <c r="P534" s="149">
        <v>161.02379807692307</v>
      </c>
      <c r="Q534" s="152">
        <f t="shared" si="59"/>
        <v>3888885.7473557689</v>
      </c>
      <c r="R534" s="133">
        <f t="shared" si="61"/>
        <v>0.38888857473557692</v>
      </c>
      <c r="S534" s="24" t="s">
        <v>1492</v>
      </c>
      <c r="T534" s="24" t="s">
        <v>1476</v>
      </c>
      <c r="AA534"/>
    </row>
    <row r="535" spans="1:27" ht="12.75" x14ac:dyDescent="0.2">
      <c r="A535" s="24" t="s">
        <v>1502</v>
      </c>
      <c r="B535" s="174">
        <v>44652</v>
      </c>
      <c r="C535" s="24" t="s">
        <v>1009</v>
      </c>
      <c r="D535" s="106">
        <v>5000335</v>
      </c>
      <c r="E535" s="24" t="s">
        <v>369</v>
      </c>
      <c r="F535" s="34" t="s">
        <v>424</v>
      </c>
      <c r="G535" s="47" t="s">
        <v>264</v>
      </c>
      <c r="H535" s="24" t="s">
        <v>1100</v>
      </c>
      <c r="I535" s="23">
        <v>10</v>
      </c>
      <c r="J535" s="24" t="s">
        <v>3</v>
      </c>
      <c r="K535" s="103">
        <v>89669</v>
      </c>
      <c r="L535" s="35">
        <f t="shared" si="57"/>
        <v>896690</v>
      </c>
      <c r="M535" s="173">
        <f t="shared" si="60"/>
        <v>8.9668999999999999E-2</v>
      </c>
      <c r="N535" s="149">
        <v>0.42295918367346941</v>
      </c>
      <c r="O535" s="152">
        <f t="shared" si="58"/>
        <v>37926.32704081633</v>
      </c>
      <c r="P535" s="149">
        <v>9.4809373534338341</v>
      </c>
      <c r="Q535" s="152">
        <f t="shared" si="59"/>
        <v>850146.17154505849</v>
      </c>
      <c r="R535" s="133">
        <f t="shared" si="61"/>
        <v>8.5014617154505853E-2</v>
      </c>
      <c r="S535" s="24" t="s">
        <v>1492</v>
      </c>
      <c r="T535" s="24" t="s">
        <v>1476</v>
      </c>
      <c r="AA535"/>
    </row>
    <row r="536" spans="1:27" ht="12.75" x14ac:dyDescent="0.2">
      <c r="A536" s="24" t="s">
        <v>1502</v>
      </c>
      <c r="B536" s="174">
        <v>44652</v>
      </c>
      <c r="C536" s="24" t="s">
        <v>1009</v>
      </c>
      <c r="D536" s="106">
        <v>5001765</v>
      </c>
      <c r="E536" s="24" t="s">
        <v>284</v>
      </c>
      <c r="F536" s="34" t="s">
        <v>424</v>
      </c>
      <c r="G536" s="47" t="s">
        <v>264</v>
      </c>
      <c r="H536" s="24" t="s">
        <v>1101</v>
      </c>
      <c r="I536" s="23">
        <v>8</v>
      </c>
      <c r="J536" s="24" t="s">
        <v>34</v>
      </c>
      <c r="K536" s="103">
        <v>12358</v>
      </c>
      <c r="L536" s="35">
        <f t="shared" si="57"/>
        <v>98864</v>
      </c>
      <c r="M536" s="173">
        <f t="shared" si="60"/>
        <v>9.8864E-3</v>
      </c>
      <c r="N536" s="149">
        <v>0.37714285714285717</v>
      </c>
      <c r="O536" s="152">
        <f t="shared" si="58"/>
        <v>4660.7314285714292</v>
      </c>
      <c r="P536" s="149">
        <v>35.357700000000001</v>
      </c>
      <c r="Q536" s="152">
        <f t="shared" si="59"/>
        <v>436950.45660000003</v>
      </c>
      <c r="R536" s="133">
        <f t="shared" si="61"/>
        <v>4.3695045660000001E-2</v>
      </c>
      <c r="S536" s="24" t="s">
        <v>1492</v>
      </c>
      <c r="T536" s="24" t="s">
        <v>1476</v>
      </c>
      <c r="AA536"/>
    </row>
    <row r="537" spans="1:27" ht="12.75" x14ac:dyDescent="0.2">
      <c r="A537" s="24" t="s">
        <v>1502</v>
      </c>
      <c r="B537" s="174">
        <v>44652</v>
      </c>
      <c r="C537" s="24" t="s">
        <v>1009</v>
      </c>
      <c r="D537" s="106">
        <v>5001765</v>
      </c>
      <c r="E537" s="24" t="s">
        <v>284</v>
      </c>
      <c r="F537" s="34" t="s">
        <v>424</v>
      </c>
      <c r="G537" s="47" t="s">
        <v>264</v>
      </c>
      <c r="H537" s="24" t="s">
        <v>1102</v>
      </c>
      <c r="I537" s="23">
        <v>8</v>
      </c>
      <c r="J537" s="24" t="s">
        <v>34</v>
      </c>
      <c r="K537" s="103">
        <v>12334</v>
      </c>
      <c r="L537" s="35">
        <f t="shared" si="57"/>
        <v>98672</v>
      </c>
      <c r="M537" s="173">
        <f t="shared" si="60"/>
        <v>9.8671999999999996E-3</v>
      </c>
      <c r="N537" s="149">
        <v>0.37714285714285717</v>
      </c>
      <c r="O537" s="152">
        <f t="shared" si="58"/>
        <v>4651.68</v>
      </c>
      <c r="P537" s="149">
        <v>35.357700000000001</v>
      </c>
      <c r="Q537" s="152">
        <f t="shared" si="59"/>
        <v>436101.87180000002</v>
      </c>
      <c r="R537" s="133">
        <f t="shared" si="61"/>
        <v>4.3610187180000003E-2</v>
      </c>
      <c r="S537" s="24" t="s">
        <v>1492</v>
      </c>
      <c r="T537" s="24" t="s">
        <v>1476</v>
      </c>
      <c r="AA537"/>
    </row>
    <row r="538" spans="1:27" ht="12.75" x14ac:dyDescent="0.2">
      <c r="A538" s="24" t="s">
        <v>1502</v>
      </c>
      <c r="B538" s="174">
        <v>44652</v>
      </c>
      <c r="C538" s="24" t="s">
        <v>1009</v>
      </c>
      <c r="D538" s="106">
        <v>5000929</v>
      </c>
      <c r="E538" s="24" t="s">
        <v>1031</v>
      </c>
      <c r="F538" s="34" t="s">
        <v>424</v>
      </c>
      <c r="G538" s="47" t="s">
        <v>264</v>
      </c>
      <c r="H538" s="24" t="s">
        <v>1103</v>
      </c>
      <c r="I538" s="23">
        <v>10</v>
      </c>
      <c r="J538" s="24" t="s">
        <v>3</v>
      </c>
      <c r="K538" s="103">
        <v>28452</v>
      </c>
      <c r="L538" s="35">
        <f t="shared" si="57"/>
        <v>284520</v>
      </c>
      <c r="M538" s="173">
        <f t="shared" si="60"/>
        <v>2.8452000000000002E-2</v>
      </c>
      <c r="N538" s="149">
        <v>0.573125</v>
      </c>
      <c r="O538" s="152">
        <f t="shared" si="58"/>
        <v>16306.5525</v>
      </c>
      <c r="P538" s="149">
        <v>138.81833333333333</v>
      </c>
      <c r="Q538" s="152">
        <f t="shared" si="59"/>
        <v>3949659.2199999997</v>
      </c>
      <c r="R538" s="133">
        <f t="shared" si="61"/>
        <v>0.39496592199999997</v>
      </c>
      <c r="S538" s="24" t="s">
        <v>1492</v>
      </c>
      <c r="T538" s="24" t="s">
        <v>1476</v>
      </c>
      <c r="AA538"/>
    </row>
    <row r="539" spans="1:27" ht="12.75" x14ac:dyDescent="0.2">
      <c r="A539" s="24" t="s">
        <v>1502</v>
      </c>
      <c r="B539" s="174">
        <v>44652</v>
      </c>
      <c r="C539" s="24" t="s">
        <v>1009</v>
      </c>
      <c r="D539" s="106">
        <v>5001046</v>
      </c>
      <c r="E539" s="24" t="s">
        <v>1032</v>
      </c>
      <c r="F539" s="34" t="s">
        <v>424</v>
      </c>
      <c r="G539" s="47" t="s">
        <v>264</v>
      </c>
      <c r="H539" s="24" t="s">
        <v>1104</v>
      </c>
      <c r="I539" s="23">
        <v>4</v>
      </c>
      <c r="J539" s="24" t="s">
        <v>3</v>
      </c>
      <c r="K539" s="103">
        <v>23573</v>
      </c>
      <c r="L539" s="35">
        <f t="shared" si="57"/>
        <v>94292</v>
      </c>
      <c r="M539" s="173">
        <f t="shared" si="60"/>
        <v>9.4292000000000004E-3</v>
      </c>
      <c r="N539" s="149">
        <v>0.25781818181818184</v>
      </c>
      <c r="O539" s="152">
        <f t="shared" si="58"/>
        <v>6077.5480000000007</v>
      </c>
      <c r="P539" s="149">
        <v>12.5</v>
      </c>
      <c r="Q539" s="152">
        <f t="shared" si="59"/>
        <v>294662.5</v>
      </c>
      <c r="R539" s="133">
        <f t="shared" si="61"/>
        <v>2.9466249999999999E-2</v>
      </c>
      <c r="S539" s="24" t="s">
        <v>1492</v>
      </c>
      <c r="T539" s="24" t="s">
        <v>1476</v>
      </c>
      <c r="AA539"/>
    </row>
    <row r="540" spans="1:27" ht="12.75" x14ac:dyDescent="0.2">
      <c r="A540" s="24" t="s">
        <v>1502</v>
      </c>
      <c r="B540" s="174">
        <v>44652</v>
      </c>
      <c r="C540" s="24" t="s">
        <v>1009</v>
      </c>
      <c r="D540" s="106">
        <v>5004548</v>
      </c>
      <c r="E540" s="24" t="s">
        <v>1033</v>
      </c>
      <c r="F540" s="34" t="s">
        <v>424</v>
      </c>
      <c r="G540" s="47" t="s">
        <v>264</v>
      </c>
      <c r="H540" s="24" t="s">
        <v>1106</v>
      </c>
      <c r="I540" s="23">
        <v>4</v>
      </c>
      <c r="J540" s="24" t="s">
        <v>3</v>
      </c>
      <c r="K540" s="103">
        <v>34326</v>
      </c>
      <c r="L540" s="35">
        <f t="shared" si="57"/>
        <v>137304</v>
      </c>
      <c r="M540" s="173">
        <f t="shared" si="60"/>
        <v>1.37304E-2</v>
      </c>
      <c r="N540" s="149">
        <v>0.25282474226804125</v>
      </c>
      <c r="O540" s="152">
        <f t="shared" si="58"/>
        <v>8678.4621030927847</v>
      </c>
      <c r="P540" s="149">
        <v>250.66799980293624</v>
      </c>
      <c r="Q540" s="152">
        <f t="shared" si="59"/>
        <v>8604429.7612355892</v>
      </c>
      <c r="R540" s="133">
        <f t="shared" si="61"/>
        <v>0.86044297612355891</v>
      </c>
      <c r="S540" s="24" t="s">
        <v>1492</v>
      </c>
      <c r="T540" s="24" t="s">
        <v>1476</v>
      </c>
      <c r="AA540"/>
    </row>
    <row r="541" spans="1:27" ht="12.75" x14ac:dyDescent="0.2">
      <c r="A541" s="24" t="s">
        <v>1502</v>
      </c>
      <c r="B541" s="174">
        <v>44652</v>
      </c>
      <c r="C541" s="24" t="s">
        <v>1009</v>
      </c>
      <c r="D541" s="106">
        <v>5001046</v>
      </c>
      <c r="E541" s="24" t="s">
        <v>1032</v>
      </c>
      <c r="F541" s="34" t="s">
        <v>424</v>
      </c>
      <c r="G541" s="47" t="s">
        <v>264</v>
      </c>
      <c r="H541" s="24" t="s">
        <v>1107</v>
      </c>
      <c r="I541" s="23">
        <v>4</v>
      </c>
      <c r="J541" s="24" t="s">
        <v>3</v>
      </c>
      <c r="K541" s="103">
        <v>23669</v>
      </c>
      <c r="L541" s="35">
        <f t="shared" si="57"/>
        <v>94676</v>
      </c>
      <c r="M541" s="173">
        <f t="shared" si="60"/>
        <v>9.4675999999999996E-3</v>
      </c>
      <c r="N541" s="149">
        <v>0.25781818181818184</v>
      </c>
      <c r="O541" s="152">
        <f t="shared" si="58"/>
        <v>6102.298545454546</v>
      </c>
      <c r="P541" s="149">
        <v>12.5</v>
      </c>
      <c r="Q541" s="152">
        <f t="shared" si="59"/>
        <v>295862.5</v>
      </c>
      <c r="R541" s="133">
        <f t="shared" si="61"/>
        <v>2.9586250000000001E-2</v>
      </c>
      <c r="S541" s="24" t="s">
        <v>1492</v>
      </c>
      <c r="T541" s="24" t="s">
        <v>1476</v>
      </c>
      <c r="AA541"/>
    </row>
    <row r="542" spans="1:27" ht="12.75" x14ac:dyDescent="0.2">
      <c r="A542" s="24" t="s">
        <v>1502</v>
      </c>
      <c r="B542" s="174">
        <v>44652</v>
      </c>
      <c r="C542" s="24" t="s">
        <v>1009</v>
      </c>
      <c r="D542" s="106">
        <v>5003048</v>
      </c>
      <c r="E542" s="24" t="s">
        <v>1034</v>
      </c>
      <c r="F542" s="34" t="s">
        <v>424</v>
      </c>
      <c r="G542" s="47" t="s">
        <v>264</v>
      </c>
      <c r="H542" s="24" t="s">
        <v>1108</v>
      </c>
      <c r="I542" s="23">
        <v>4</v>
      </c>
      <c r="J542" s="24" t="s">
        <v>3</v>
      </c>
      <c r="K542" s="103">
        <v>73400</v>
      </c>
      <c r="L542" s="35">
        <f t="shared" si="57"/>
        <v>293600</v>
      </c>
      <c r="M542" s="173">
        <f t="shared" si="60"/>
        <v>2.9360000000000001E-2</v>
      </c>
      <c r="N542" s="149">
        <v>0.63864583333333291</v>
      </c>
      <c r="O542" s="152">
        <f t="shared" si="58"/>
        <v>46876.604166666635</v>
      </c>
      <c r="P542" s="149">
        <v>15</v>
      </c>
      <c r="Q542" s="152">
        <f t="shared" si="59"/>
        <v>1101000</v>
      </c>
      <c r="R542" s="133">
        <f t="shared" si="61"/>
        <v>0.1101</v>
      </c>
      <c r="S542" s="24" t="s">
        <v>1492</v>
      </c>
      <c r="T542" s="24" t="s">
        <v>1476</v>
      </c>
      <c r="AA542"/>
    </row>
    <row r="543" spans="1:27" ht="12.75" x14ac:dyDescent="0.2">
      <c r="A543" s="24" t="s">
        <v>1502</v>
      </c>
      <c r="B543" s="174">
        <v>44652</v>
      </c>
      <c r="C543" s="24" t="s">
        <v>1009</v>
      </c>
      <c r="D543" s="106">
        <v>5004550</v>
      </c>
      <c r="E543" s="24" t="s">
        <v>1035</v>
      </c>
      <c r="F543" s="34" t="s">
        <v>424</v>
      </c>
      <c r="G543" s="47" t="s">
        <v>264</v>
      </c>
      <c r="H543" s="24" t="s">
        <v>1106</v>
      </c>
      <c r="I543" s="23">
        <v>4</v>
      </c>
      <c r="J543" s="24" t="s">
        <v>3</v>
      </c>
      <c r="K543" s="103">
        <v>39533</v>
      </c>
      <c r="L543" s="35">
        <f t="shared" si="57"/>
        <v>158132</v>
      </c>
      <c r="M543" s="173">
        <f t="shared" si="60"/>
        <v>1.5813199999999999E-2</v>
      </c>
      <c r="N543" s="149">
        <v>0.25282474226804125</v>
      </c>
      <c r="O543" s="152">
        <f t="shared" si="58"/>
        <v>9994.9205360824744</v>
      </c>
      <c r="P543" s="149">
        <v>115.62398287060988</v>
      </c>
      <c r="Q543" s="152">
        <f t="shared" si="59"/>
        <v>4570962.9148238208</v>
      </c>
      <c r="R543" s="133">
        <f t="shared" si="61"/>
        <v>0.45709629148238207</v>
      </c>
      <c r="S543" s="24" t="s">
        <v>1492</v>
      </c>
      <c r="T543" s="24" t="s">
        <v>1476</v>
      </c>
      <c r="AA543"/>
    </row>
    <row r="544" spans="1:27" ht="12.75" x14ac:dyDescent="0.2">
      <c r="A544" s="24" t="s">
        <v>1502</v>
      </c>
      <c r="B544" s="174">
        <v>44652</v>
      </c>
      <c r="C544" s="24" t="s">
        <v>1009</v>
      </c>
      <c r="D544" s="106">
        <v>5001045</v>
      </c>
      <c r="E544" s="24" t="s">
        <v>303</v>
      </c>
      <c r="F544" s="34" t="s">
        <v>424</v>
      </c>
      <c r="G544" s="47" t="s">
        <v>264</v>
      </c>
      <c r="H544" s="24" t="s">
        <v>1110</v>
      </c>
      <c r="I544" s="23">
        <v>4</v>
      </c>
      <c r="J544" s="24" t="s">
        <v>3</v>
      </c>
      <c r="K544" s="103">
        <v>23669</v>
      </c>
      <c r="L544" s="35">
        <f t="shared" si="57"/>
        <v>94676</v>
      </c>
      <c r="M544" s="173">
        <f t="shared" si="60"/>
        <v>9.4675999999999996E-3</v>
      </c>
      <c r="N544" s="149">
        <v>0.23882105263157893</v>
      </c>
      <c r="O544" s="152">
        <f t="shared" si="58"/>
        <v>5652.6554947368422</v>
      </c>
      <c r="P544" s="149">
        <v>12.499997957516339</v>
      </c>
      <c r="Q544" s="152">
        <f t="shared" si="59"/>
        <v>295862.45165645424</v>
      </c>
      <c r="R544" s="133">
        <f t="shared" si="61"/>
        <v>2.9586245165645425E-2</v>
      </c>
      <c r="S544" s="24" t="s">
        <v>1492</v>
      </c>
      <c r="T544" s="24" t="s">
        <v>1476</v>
      </c>
      <c r="AA544"/>
    </row>
    <row r="545" spans="1:27" ht="12.75" x14ac:dyDescent="0.2">
      <c r="A545" s="24" t="s">
        <v>1502</v>
      </c>
      <c r="B545" s="174">
        <v>44652</v>
      </c>
      <c r="C545" s="24" t="s">
        <v>958</v>
      </c>
      <c r="D545" s="106">
        <v>5001041</v>
      </c>
      <c r="E545" s="24" t="s">
        <v>437</v>
      </c>
      <c r="F545" s="23" t="s">
        <v>424</v>
      </c>
      <c r="G545" s="29" t="s">
        <v>265</v>
      </c>
      <c r="H545" s="24" t="s">
        <v>970</v>
      </c>
      <c r="I545" s="23">
        <v>10</v>
      </c>
      <c r="J545" s="24" t="s">
        <v>3</v>
      </c>
      <c r="K545" s="103">
        <v>44754</v>
      </c>
      <c r="L545" s="25">
        <f>K545*I545</f>
        <v>447540</v>
      </c>
      <c r="M545" s="173">
        <f t="shared" si="60"/>
        <v>4.4754000000000002E-2</v>
      </c>
      <c r="N545" s="133">
        <v>0.74520408163265306</v>
      </c>
      <c r="O545" s="139">
        <f>+K545*N545</f>
        <v>33350.863469387754</v>
      </c>
      <c r="P545" s="133">
        <v>47.143599999999985</v>
      </c>
      <c r="Q545" s="139">
        <f t="shared" si="59"/>
        <v>2109864.6743999994</v>
      </c>
      <c r="R545" s="133">
        <f t="shared" si="61"/>
        <v>0.21098646743999994</v>
      </c>
      <c r="S545" s="24" t="s">
        <v>1495</v>
      </c>
      <c r="T545" s="24" t="s">
        <v>1496</v>
      </c>
      <c r="AA545"/>
    </row>
    <row r="546" spans="1:27" ht="12.75" x14ac:dyDescent="0.2">
      <c r="A546" s="24" t="s">
        <v>1502</v>
      </c>
      <c r="B546" s="174">
        <v>44652</v>
      </c>
      <c r="C546" s="24" t="s">
        <v>958</v>
      </c>
      <c r="D546" s="106">
        <v>5001041</v>
      </c>
      <c r="E546" s="24" t="s">
        <v>437</v>
      </c>
      <c r="F546" s="23" t="s">
        <v>424</v>
      </c>
      <c r="G546" s="29" t="s">
        <v>265</v>
      </c>
      <c r="H546" s="24" t="s">
        <v>972</v>
      </c>
      <c r="I546" s="23">
        <v>10</v>
      </c>
      <c r="J546" s="24" t="s">
        <v>3</v>
      </c>
      <c r="K546" s="103">
        <v>44190</v>
      </c>
      <c r="L546" s="25">
        <f>K546*I546</f>
        <v>441900</v>
      </c>
      <c r="M546" s="173">
        <f t="shared" si="60"/>
        <v>4.419E-2</v>
      </c>
      <c r="N546" s="133">
        <v>0.74520408163265306</v>
      </c>
      <c r="O546" s="139">
        <f t="shared" ref="O546:O548" si="62">+K546*N546</f>
        <v>32930.568367346939</v>
      </c>
      <c r="P546" s="133">
        <v>47.143599999999985</v>
      </c>
      <c r="Q546" s="139">
        <f t="shared" si="59"/>
        <v>2083275.6839999994</v>
      </c>
      <c r="R546" s="133">
        <f t="shared" si="61"/>
        <v>0.20832756839999994</v>
      </c>
      <c r="S546" s="24" t="s">
        <v>1495</v>
      </c>
      <c r="T546" s="24" t="s">
        <v>1496</v>
      </c>
      <c r="AA546"/>
    </row>
    <row r="547" spans="1:27" ht="12.75" x14ac:dyDescent="0.2">
      <c r="A547" s="24" t="s">
        <v>1502</v>
      </c>
      <c r="B547" s="174">
        <v>44652</v>
      </c>
      <c r="C547" s="24" t="s">
        <v>958</v>
      </c>
      <c r="D547" s="106">
        <v>5001041</v>
      </c>
      <c r="E547" s="24" t="s">
        <v>437</v>
      </c>
      <c r="F547" s="23" t="s">
        <v>424</v>
      </c>
      <c r="G547" s="29" t="s">
        <v>265</v>
      </c>
      <c r="H547" s="24" t="s">
        <v>976</v>
      </c>
      <c r="I547" s="23">
        <v>10</v>
      </c>
      <c r="J547" s="24" t="s">
        <v>3</v>
      </c>
      <c r="K547" s="103">
        <v>44052</v>
      </c>
      <c r="L547" s="25">
        <f>K547*I547</f>
        <v>440520</v>
      </c>
      <c r="M547" s="173">
        <f t="shared" si="60"/>
        <v>4.4052000000000001E-2</v>
      </c>
      <c r="N547" s="133">
        <v>0.74520408163265306</v>
      </c>
      <c r="O547" s="139">
        <f t="shared" si="62"/>
        <v>32827.730204081636</v>
      </c>
      <c r="P547" s="133">
        <v>47.143599999999985</v>
      </c>
      <c r="Q547" s="139">
        <f t="shared" si="59"/>
        <v>2076769.8671999993</v>
      </c>
      <c r="R547" s="133">
        <f t="shared" si="61"/>
        <v>0.20767698671999993</v>
      </c>
      <c r="S547" s="24" t="s">
        <v>1495</v>
      </c>
      <c r="T547" s="24" t="s">
        <v>1496</v>
      </c>
      <c r="AA547"/>
    </row>
    <row r="548" spans="1:27" ht="12.75" x14ac:dyDescent="0.2">
      <c r="A548" s="24" t="s">
        <v>1502</v>
      </c>
      <c r="B548" s="174">
        <v>44652</v>
      </c>
      <c r="C548" s="24" t="s">
        <v>958</v>
      </c>
      <c r="D548" s="106">
        <v>5001508</v>
      </c>
      <c r="E548" s="24" t="s">
        <v>961</v>
      </c>
      <c r="F548" s="23" t="s">
        <v>424</v>
      </c>
      <c r="G548" s="29" t="s">
        <v>265</v>
      </c>
      <c r="H548" s="24" t="s">
        <v>977</v>
      </c>
      <c r="I548" s="23">
        <v>14</v>
      </c>
      <c r="J548" s="24" t="s">
        <v>3</v>
      </c>
      <c r="K548" s="103">
        <v>21111</v>
      </c>
      <c r="L548" s="25">
        <f>K548*I548</f>
        <v>295554</v>
      </c>
      <c r="M548" s="173">
        <f t="shared" si="60"/>
        <v>2.9555399999999999E-2</v>
      </c>
      <c r="N548" s="133">
        <v>1.0134897959183673</v>
      </c>
      <c r="O548" s="139">
        <f t="shared" si="62"/>
        <v>21395.783081632653</v>
      </c>
      <c r="P548" s="133">
        <v>165.84444999999997</v>
      </c>
      <c r="Q548" s="139">
        <f t="shared" si="59"/>
        <v>3501142.1839499995</v>
      </c>
      <c r="R548" s="133">
        <f t="shared" si="61"/>
        <v>0.35011421839499995</v>
      </c>
      <c r="S548" s="24" t="s">
        <v>1495</v>
      </c>
      <c r="T548" s="24" t="s">
        <v>1496</v>
      </c>
      <c r="AA548"/>
    </row>
    <row r="549" spans="1:27" ht="12.75" x14ac:dyDescent="0.2">
      <c r="A549" s="24" t="s">
        <v>1502</v>
      </c>
      <c r="B549" s="174">
        <v>44652</v>
      </c>
      <c r="C549" s="24" t="s">
        <v>958</v>
      </c>
      <c r="D549" s="106">
        <v>5005910</v>
      </c>
      <c r="E549" s="24" t="s">
        <v>372</v>
      </c>
      <c r="F549" s="23" t="s">
        <v>424</v>
      </c>
      <c r="G549" s="47" t="s">
        <v>264</v>
      </c>
      <c r="H549" s="24" t="s">
        <v>966</v>
      </c>
      <c r="I549" s="23">
        <v>10</v>
      </c>
      <c r="J549" s="24" t="s">
        <v>3</v>
      </c>
      <c r="K549" s="103">
        <v>47480</v>
      </c>
      <c r="L549" s="25">
        <f t="shared" ref="L549:L587" si="63">K549*I549</f>
        <v>474800</v>
      </c>
      <c r="M549" s="173">
        <f t="shared" si="60"/>
        <v>4.7480000000000001E-2</v>
      </c>
      <c r="N549" s="133">
        <v>0.34</v>
      </c>
      <c r="O549" s="139">
        <f t="shared" ref="O549:O587" si="64">+K549*N549</f>
        <v>16143.2</v>
      </c>
      <c r="P549" s="133">
        <v>35.387499999999996</v>
      </c>
      <c r="Q549" s="139">
        <f t="shared" si="59"/>
        <v>1680198.4999999998</v>
      </c>
      <c r="R549" s="133">
        <f t="shared" si="61"/>
        <v>0.16801984999999997</v>
      </c>
      <c r="S549" s="24" t="s">
        <v>1495</v>
      </c>
      <c r="T549" s="24" t="s">
        <v>1496</v>
      </c>
      <c r="AA549"/>
    </row>
    <row r="550" spans="1:27" ht="12.75" x14ac:dyDescent="0.2">
      <c r="A550" s="24" t="s">
        <v>1502</v>
      </c>
      <c r="B550" s="174">
        <v>44652</v>
      </c>
      <c r="C550" s="24" t="s">
        <v>958</v>
      </c>
      <c r="D550" s="106">
        <v>5001391</v>
      </c>
      <c r="E550" s="24" t="s">
        <v>959</v>
      </c>
      <c r="F550" s="23" t="s">
        <v>424</v>
      </c>
      <c r="G550" s="47" t="s">
        <v>264</v>
      </c>
      <c r="H550" s="24" t="s">
        <v>967</v>
      </c>
      <c r="I550" s="23">
        <v>10</v>
      </c>
      <c r="J550" s="24" t="s">
        <v>3</v>
      </c>
      <c r="K550" s="103">
        <v>42318</v>
      </c>
      <c r="L550" s="25">
        <f t="shared" si="63"/>
        <v>423180</v>
      </c>
      <c r="M550" s="173">
        <f t="shared" si="60"/>
        <v>4.2318000000000001E-2</v>
      </c>
      <c r="N550" s="133">
        <v>0.34177083333333336</v>
      </c>
      <c r="O550" s="139">
        <f t="shared" si="64"/>
        <v>14463.058125000001</v>
      </c>
      <c r="P550" s="133">
        <v>90.724561928530079</v>
      </c>
      <c r="Q550" s="139">
        <f t="shared" si="59"/>
        <v>3839282.0116915358</v>
      </c>
      <c r="R550" s="133">
        <f t="shared" si="61"/>
        <v>0.3839282011691536</v>
      </c>
      <c r="S550" s="24" t="s">
        <v>1495</v>
      </c>
      <c r="T550" s="24" t="s">
        <v>1496</v>
      </c>
      <c r="AA550"/>
    </row>
    <row r="551" spans="1:27" ht="12.75" x14ac:dyDescent="0.2">
      <c r="A551" s="24" t="s">
        <v>1502</v>
      </c>
      <c r="B551" s="174">
        <v>44652</v>
      </c>
      <c r="C551" s="24" t="s">
        <v>958</v>
      </c>
      <c r="D551" s="106">
        <v>5004853</v>
      </c>
      <c r="E551" s="24" t="s">
        <v>308</v>
      </c>
      <c r="F551" s="23" t="s">
        <v>424</v>
      </c>
      <c r="G551" s="47" t="s">
        <v>264</v>
      </c>
      <c r="H551" s="24" t="s">
        <v>968</v>
      </c>
      <c r="I551" s="23">
        <v>10</v>
      </c>
      <c r="J551" s="24" t="s">
        <v>3</v>
      </c>
      <c r="K551" s="103">
        <v>51898</v>
      </c>
      <c r="L551" s="25">
        <f t="shared" si="63"/>
        <v>518980</v>
      </c>
      <c r="M551" s="173">
        <f t="shared" si="60"/>
        <v>5.1898E-2</v>
      </c>
      <c r="N551" s="133">
        <v>0.49708333333333332</v>
      </c>
      <c r="O551" s="139">
        <f t="shared" si="64"/>
        <v>25797.630833333333</v>
      </c>
      <c r="P551" s="133">
        <v>43.34458439601206</v>
      </c>
      <c r="Q551" s="139">
        <f t="shared" si="59"/>
        <v>2249497.240984234</v>
      </c>
      <c r="R551" s="133">
        <f t="shared" si="61"/>
        <v>0.2249497240984234</v>
      </c>
      <c r="S551" s="24" t="s">
        <v>1495</v>
      </c>
      <c r="T551" s="24" t="s">
        <v>1496</v>
      </c>
      <c r="AA551"/>
    </row>
    <row r="552" spans="1:27" ht="12.75" x14ac:dyDescent="0.2">
      <c r="A552" s="24" t="s">
        <v>1502</v>
      </c>
      <c r="B552" s="174">
        <v>44652</v>
      </c>
      <c r="C552" s="24" t="s">
        <v>958</v>
      </c>
      <c r="D552" s="106">
        <v>5001391</v>
      </c>
      <c r="E552" s="24" t="s">
        <v>959</v>
      </c>
      <c r="F552" s="23" t="s">
        <v>424</v>
      </c>
      <c r="G552" s="47" t="s">
        <v>264</v>
      </c>
      <c r="H552" s="24" t="s">
        <v>969</v>
      </c>
      <c r="I552" s="23">
        <v>10</v>
      </c>
      <c r="J552" s="24" t="s">
        <v>3</v>
      </c>
      <c r="K552" s="103">
        <v>43236</v>
      </c>
      <c r="L552" s="25">
        <f t="shared" si="63"/>
        <v>432360</v>
      </c>
      <c r="M552" s="173">
        <f t="shared" si="60"/>
        <v>4.3235999999999997E-2</v>
      </c>
      <c r="N552" s="133">
        <v>0.34177083333333336</v>
      </c>
      <c r="O552" s="139">
        <f t="shared" si="64"/>
        <v>14776.803750000001</v>
      </c>
      <c r="P552" s="133">
        <v>90.724561928530079</v>
      </c>
      <c r="Q552" s="139">
        <f t="shared" si="59"/>
        <v>3922567.1595419263</v>
      </c>
      <c r="R552" s="133">
        <f t="shared" si="61"/>
        <v>0.39225671595419265</v>
      </c>
      <c r="S552" s="24" t="s">
        <v>1495</v>
      </c>
      <c r="T552" s="24" t="s">
        <v>1496</v>
      </c>
      <c r="AA552"/>
    </row>
    <row r="553" spans="1:27" ht="12.75" x14ac:dyDescent="0.2">
      <c r="A553" s="24" t="s">
        <v>1502</v>
      </c>
      <c r="B553" s="174">
        <v>44652</v>
      </c>
      <c r="C553" s="24" t="s">
        <v>958</v>
      </c>
      <c r="D553" s="106">
        <v>5004853</v>
      </c>
      <c r="E553" s="24" t="s">
        <v>308</v>
      </c>
      <c r="F553" s="23" t="s">
        <v>424</v>
      </c>
      <c r="G553" s="47" t="s">
        <v>264</v>
      </c>
      <c r="H553" s="24" t="s">
        <v>971</v>
      </c>
      <c r="I553" s="23">
        <v>10</v>
      </c>
      <c r="J553" s="24" t="s">
        <v>3</v>
      </c>
      <c r="K553" s="103">
        <v>51984</v>
      </c>
      <c r="L553" s="25">
        <f t="shared" si="63"/>
        <v>519840</v>
      </c>
      <c r="M553" s="173">
        <f t="shared" si="60"/>
        <v>5.1984000000000002E-2</v>
      </c>
      <c r="N553" s="133">
        <v>0.49708333333333332</v>
      </c>
      <c r="O553" s="139">
        <f t="shared" si="64"/>
        <v>25840.38</v>
      </c>
      <c r="P553" s="133">
        <v>43.34458439601206</v>
      </c>
      <c r="Q553" s="139">
        <f t="shared" si="59"/>
        <v>2253224.875242291</v>
      </c>
      <c r="R553" s="133">
        <f t="shared" si="61"/>
        <v>0.22532248752422909</v>
      </c>
      <c r="S553" s="24" t="s">
        <v>1495</v>
      </c>
      <c r="T553" s="24" t="s">
        <v>1496</v>
      </c>
      <c r="AA553"/>
    </row>
    <row r="554" spans="1:27" ht="12.75" x14ac:dyDescent="0.2">
      <c r="A554" s="24" t="s">
        <v>1502</v>
      </c>
      <c r="B554" s="174">
        <v>44652</v>
      </c>
      <c r="C554" s="24" t="s">
        <v>958</v>
      </c>
      <c r="D554" s="106">
        <v>5001391</v>
      </c>
      <c r="E554" s="24" t="s">
        <v>959</v>
      </c>
      <c r="F554" s="23" t="s">
        <v>424</v>
      </c>
      <c r="G554" s="47" t="s">
        <v>264</v>
      </c>
      <c r="H554" s="24" t="s">
        <v>973</v>
      </c>
      <c r="I554" s="23">
        <v>10</v>
      </c>
      <c r="J554" s="24" t="s">
        <v>3</v>
      </c>
      <c r="K554" s="103">
        <v>42774</v>
      </c>
      <c r="L554" s="25">
        <f t="shared" si="63"/>
        <v>427740</v>
      </c>
      <c r="M554" s="173">
        <f t="shared" si="60"/>
        <v>4.2774E-2</v>
      </c>
      <c r="N554" s="133">
        <v>0.34177083333333336</v>
      </c>
      <c r="O554" s="139">
        <f t="shared" si="64"/>
        <v>14618.905625000001</v>
      </c>
      <c r="P554" s="133">
        <v>90.724561928530079</v>
      </c>
      <c r="Q554" s="139">
        <f t="shared" si="59"/>
        <v>3880652.4119309457</v>
      </c>
      <c r="R554" s="133">
        <f t="shared" si="61"/>
        <v>0.38806524119309455</v>
      </c>
      <c r="S554" s="24" t="s">
        <v>1495</v>
      </c>
      <c r="T554" s="24" t="s">
        <v>1496</v>
      </c>
      <c r="AA554"/>
    </row>
    <row r="555" spans="1:27" ht="12.75" x14ac:dyDescent="0.2">
      <c r="A555" s="24" t="s">
        <v>1502</v>
      </c>
      <c r="B555" s="174">
        <v>44652</v>
      </c>
      <c r="C555" s="24" t="s">
        <v>958</v>
      </c>
      <c r="D555" s="106">
        <v>5004853</v>
      </c>
      <c r="E555" s="24" t="s">
        <v>308</v>
      </c>
      <c r="F555" s="23" t="s">
        <v>424</v>
      </c>
      <c r="G555" s="47" t="s">
        <v>264</v>
      </c>
      <c r="H555" s="24" t="s">
        <v>974</v>
      </c>
      <c r="I555" s="23">
        <v>10</v>
      </c>
      <c r="J555" s="24" t="s">
        <v>3</v>
      </c>
      <c r="K555" s="103">
        <v>51662</v>
      </c>
      <c r="L555" s="25">
        <f t="shared" si="63"/>
        <v>516620</v>
      </c>
      <c r="M555" s="173">
        <f t="shared" si="60"/>
        <v>5.1662E-2</v>
      </c>
      <c r="N555" s="133">
        <v>0.49708333333333332</v>
      </c>
      <c r="O555" s="139">
        <f t="shared" si="64"/>
        <v>25680.319166666664</v>
      </c>
      <c r="P555" s="133">
        <v>43.34458439601206</v>
      </c>
      <c r="Q555" s="139">
        <f t="shared" si="59"/>
        <v>2239267.9190667751</v>
      </c>
      <c r="R555" s="133">
        <f t="shared" si="61"/>
        <v>0.22392679190667752</v>
      </c>
      <c r="S555" s="24" t="s">
        <v>1495</v>
      </c>
      <c r="T555" s="24" t="s">
        <v>1496</v>
      </c>
      <c r="AA555"/>
    </row>
    <row r="556" spans="1:27" ht="12.75" x14ac:dyDescent="0.2">
      <c r="A556" s="24" t="s">
        <v>1502</v>
      </c>
      <c r="B556" s="174">
        <v>44652</v>
      </c>
      <c r="C556" s="24" t="s">
        <v>958</v>
      </c>
      <c r="D556" s="106">
        <v>5004872</v>
      </c>
      <c r="E556" s="24" t="s">
        <v>960</v>
      </c>
      <c r="F556" s="23" t="s">
        <v>424</v>
      </c>
      <c r="G556" s="47" t="s">
        <v>264</v>
      </c>
      <c r="H556" s="24" t="s">
        <v>975</v>
      </c>
      <c r="I556" s="23">
        <v>10</v>
      </c>
      <c r="J556" s="24" t="s">
        <v>3</v>
      </c>
      <c r="K556" s="103">
        <v>7782</v>
      </c>
      <c r="L556" s="25">
        <f t="shared" si="63"/>
        <v>77820</v>
      </c>
      <c r="M556" s="173">
        <f t="shared" si="60"/>
        <v>7.7819999999999999E-3</v>
      </c>
      <c r="N556" s="133">
        <v>0.29395833333333332</v>
      </c>
      <c r="O556" s="139">
        <f t="shared" si="64"/>
        <v>2287.5837499999998</v>
      </c>
      <c r="P556" s="133">
        <v>0</v>
      </c>
      <c r="Q556" s="139">
        <f t="shared" si="59"/>
        <v>0</v>
      </c>
      <c r="R556" s="133">
        <f t="shared" si="61"/>
        <v>0</v>
      </c>
      <c r="S556" s="24" t="s">
        <v>1495</v>
      </c>
      <c r="T556" s="24" t="s">
        <v>1496</v>
      </c>
      <c r="AA556"/>
    </row>
    <row r="557" spans="1:27" ht="12.75" x14ac:dyDescent="0.2">
      <c r="A557" s="24" t="s">
        <v>1502</v>
      </c>
      <c r="B557" s="174">
        <v>44652</v>
      </c>
      <c r="C557" s="24" t="s">
        <v>958</v>
      </c>
      <c r="D557" s="106">
        <v>5004853</v>
      </c>
      <c r="E557" s="24" t="s">
        <v>308</v>
      </c>
      <c r="F557" s="23" t="s">
        <v>424</v>
      </c>
      <c r="G557" s="47" t="s">
        <v>264</v>
      </c>
      <c r="H557" s="24" t="s">
        <v>978</v>
      </c>
      <c r="I557" s="23">
        <v>10</v>
      </c>
      <c r="J557" s="24" t="s">
        <v>3</v>
      </c>
      <c r="K557" s="103">
        <v>52066</v>
      </c>
      <c r="L557" s="25">
        <f t="shared" si="63"/>
        <v>520660</v>
      </c>
      <c r="M557" s="173">
        <f t="shared" si="60"/>
        <v>5.2066000000000001E-2</v>
      </c>
      <c r="N557" s="133">
        <v>0.49708333333333332</v>
      </c>
      <c r="O557" s="139">
        <f t="shared" si="64"/>
        <v>25881.140833333331</v>
      </c>
      <c r="P557" s="133">
        <v>43.34458439601206</v>
      </c>
      <c r="Q557" s="139">
        <f t="shared" si="59"/>
        <v>2256779.131162764</v>
      </c>
      <c r="R557" s="133">
        <f t="shared" si="61"/>
        <v>0.22567791311627641</v>
      </c>
      <c r="S557" s="24" t="s">
        <v>1495</v>
      </c>
      <c r="T557" s="24" t="s">
        <v>1496</v>
      </c>
      <c r="AA557"/>
    </row>
    <row r="558" spans="1:27" ht="12.75" x14ac:dyDescent="0.2">
      <c r="A558" s="24" t="s">
        <v>1502</v>
      </c>
      <c r="B558" s="174">
        <v>44652</v>
      </c>
      <c r="C558" s="24" t="s">
        <v>958</v>
      </c>
      <c r="D558" s="106">
        <v>5001764</v>
      </c>
      <c r="E558" s="24" t="s">
        <v>307</v>
      </c>
      <c r="F558" s="23" t="s">
        <v>424</v>
      </c>
      <c r="G558" s="47" t="s">
        <v>264</v>
      </c>
      <c r="H558" s="24" t="s">
        <v>979</v>
      </c>
      <c r="I558" s="23">
        <v>6</v>
      </c>
      <c r="J558" s="24" t="s">
        <v>3</v>
      </c>
      <c r="K558" s="103">
        <v>57448</v>
      </c>
      <c r="L558" s="25">
        <f t="shared" si="63"/>
        <v>344688</v>
      </c>
      <c r="M558" s="173">
        <f t="shared" si="60"/>
        <v>3.4468800000000001E-2</v>
      </c>
      <c r="N558" s="133">
        <v>0.33132653061224493</v>
      </c>
      <c r="O558" s="139">
        <f t="shared" si="64"/>
        <v>19034.046530612246</v>
      </c>
      <c r="P558" s="133">
        <v>78.073539902998235</v>
      </c>
      <c r="Q558" s="139">
        <f t="shared" si="59"/>
        <v>4485168.7203474427</v>
      </c>
      <c r="R558" s="133">
        <f t="shared" si="61"/>
        <v>0.44851687203474427</v>
      </c>
      <c r="S558" s="24" t="s">
        <v>1495</v>
      </c>
      <c r="T558" s="24" t="s">
        <v>1496</v>
      </c>
      <c r="AA558"/>
    </row>
    <row r="559" spans="1:27" ht="12.75" x14ac:dyDescent="0.2">
      <c r="A559" s="24" t="s">
        <v>1502</v>
      </c>
      <c r="B559" s="174">
        <v>44652</v>
      </c>
      <c r="C559" s="24" t="s">
        <v>958</v>
      </c>
      <c r="D559" s="106">
        <v>5001153</v>
      </c>
      <c r="E559" s="24" t="s">
        <v>350</v>
      </c>
      <c r="F559" s="23" t="s">
        <v>424</v>
      </c>
      <c r="G559" s="47" t="s">
        <v>264</v>
      </c>
      <c r="H559" s="24" t="s">
        <v>980</v>
      </c>
      <c r="I559" s="23">
        <v>15</v>
      </c>
      <c r="J559" s="24" t="s">
        <v>3</v>
      </c>
      <c r="K559" s="103">
        <v>15580</v>
      </c>
      <c r="L559" s="25">
        <f t="shared" si="63"/>
        <v>233700</v>
      </c>
      <c r="M559" s="173">
        <f t="shared" si="60"/>
        <v>2.3369999999999998E-2</v>
      </c>
      <c r="N559" s="133">
        <v>0.4746354166666667</v>
      </c>
      <c r="O559" s="139">
        <f t="shared" si="64"/>
        <v>7394.8197916666668</v>
      </c>
      <c r="P559" s="133">
        <v>204.53103787878786</v>
      </c>
      <c r="Q559" s="139">
        <f t="shared" si="59"/>
        <v>3186593.5701515148</v>
      </c>
      <c r="R559" s="133">
        <f t="shared" si="61"/>
        <v>0.31865935701515147</v>
      </c>
      <c r="S559" s="24" t="s">
        <v>1495</v>
      </c>
      <c r="T559" s="24" t="s">
        <v>1496</v>
      </c>
      <c r="AA559"/>
    </row>
    <row r="560" spans="1:27" ht="12.75" x14ac:dyDescent="0.2">
      <c r="A560" s="24" t="s">
        <v>1502</v>
      </c>
      <c r="B560" s="174">
        <v>44652</v>
      </c>
      <c r="C560" s="24" t="s">
        <v>958</v>
      </c>
      <c r="D560" s="106">
        <v>5004853</v>
      </c>
      <c r="E560" s="24" t="s">
        <v>308</v>
      </c>
      <c r="F560" s="23" t="s">
        <v>424</v>
      </c>
      <c r="G560" s="47" t="s">
        <v>264</v>
      </c>
      <c r="H560" s="24" t="s">
        <v>981</v>
      </c>
      <c r="I560" s="23">
        <v>10</v>
      </c>
      <c r="J560" s="24" t="s">
        <v>3</v>
      </c>
      <c r="K560" s="103">
        <v>52006</v>
      </c>
      <c r="L560" s="25">
        <f t="shared" si="63"/>
        <v>520060</v>
      </c>
      <c r="M560" s="173">
        <f t="shared" si="60"/>
        <v>5.2005999999999997E-2</v>
      </c>
      <c r="N560" s="133">
        <v>0.49708333333333332</v>
      </c>
      <c r="O560" s="139">
        <f t="shared" si="64"/>
        <v>25851.315833333334</v>
      </c>
      <c r="P560" s="133">
        <v>43.34458439601206</v>
      </c>
      <c r="Q560" s="139">
        <f t="shared" si="59"/>
        <v>2254178.4560990031</v>
      </c>
      <c r="R560" s="133">
        <f t="shared" si="61"/>
        <v>0.2254178456099003</v>
      </c>
      <c r="S560" s="24" t="s">
        <v>1495</v>
      </c>
      <c r="T560" s="24" t="s">
        <v>1496</v>
      </c>
      <c r="AA560"/>
    </row>
    <row r="561" spans="1:27" ht="12.75" x14ac:dyDescent="0.2">
      <c r="A561" s="24" t="s">
        <v>1502</v>
      </c>
      <c r="B561" s="174">
        <v>44652</v>
      </c>
      <c r="C561" s="24" t="s">
        <v>958</v>
      </c>
      <c r="D561" s="106">
        <v>5000473</v>
      </c>
      <c r="E561" s="24" t="s">
        <v>227</v>
      </c>
      <c r="F561" s="23" t="s">
        <v>424</v>
      </c>
      <c r="G561" s="47" t="s">
        <v>264</v>
      </c>
      <c r="H561" s="24" t="s">
        <v>982</v>
      </c>
      <c r="I561" s="23">
        <v>6</v>
      </c>
      <c r="J561" s="24" t="s">
        <v>3</v>
      </c>
      <c r="K561" s="103">
        <v>115365</v>
      </c>
      <c r="L561" s="25">
        <f t="shared" si="63"/>
        <v>692190</v>
      </c>
      <c r="M561" s="173">
        <f t="shared" si="60"/>
        <v>6.9219000000000003E-2</v>
      </c>
      <c r="N561" s="133">
        <v>0.27212244897959181</v>
      </c>
      <c r="O561" s="139">
        <f t="shared" si="64"/>
        <v>31393.40632653061</v>
      </c>
      <c r="P561" s="133">
        <v>105.59122883597882</v>
      </c>
      <c r="Q561" s="139">
        <f t="shared" si="59"/>
        <v>12181532.114662698</v>
      </c>
      <c r="R561" s="133">
        <f t="shared" si="61"/>
        <v>1.2181532114662696</v>
      </c>
      <c r="S561" s="24" t="s">
        <v>1495</v>
      </c>
      <c r="T561" s="24" t="s">
        <v>1496</v>
      </c>
      <c r="AA561"/>
    </row>
    <row r="562" spans="1:27" ht="12.75" x14ac:dyDescent="0.2">
      <c r="A562" s="24" t="s">
        <v>1502</v>
      </c>
      <c r="B562" s="174">
        <v>44652</v>
      </c>
      <c r="C562" s="24" t="s">
        <v>958</v>
      </c>
      <c r="D562" s="106">
        <v>5000586</v>
      </c>
      <c r="E562" s="24" t="s">
        <v>962</v>
      </c>
      <c r="F562" s="23" t="s">
        <v>424</v>
      </c>
      <c r="G562" s="47" t="s">
        <v>264</v>
      </c>
      <c r="H562" s="24" t="s">
        <v>983</v>
      </c>
      <c r="I562" s="23">
        <v>10</v>
      </c>
      <c r="J562" s="24" t="s">
        <v>3</v>
      </c>
      <c r="K562" s="103">
        <v>43344</v>
      </c>
      <c r="L562" s="25">
        <f t="shared" si="63"/>
        <v>433440</v>
      </c>
      <c r="M562" s="173">
        <f t="shared" si="60"/>
        <v>4.3344000000000001E-2</v>
      </c>
      <c r="N562" s="133">
        <v>0.2879591836734694</v>
      </c>
      <c r="O562" s="139">
        <f t="shared" si="64"/>
        <v>12481.302857142857</v>
      </c>
      <c r="P562" s="133">
        <v>134.13476666666665</v>
      </c>
      <c r="Q562" s="139">
        <f t="shared" si="59"/>
        <v>5813937.3263999997</v>
      </c>
      <c r="R562" s="133">
        <f t="shared" si="61"/>
        <v>0.58139373263999994</v>
      </c>
      <c r="S562" s="24" t="s">
        <v>1495</v>
      </c>
      <c r="T562" s="24" t="s">
        <v>1496</v>
      </c>
      <c r="AA562"/>
    </row>
    <row r="563" spans="1:27" ht="12.75" x14ac:dyDescent="0.2">
      <c r="A563" s="24" t="s">
        <v>1502</v>
      </c>
      <c r="B563" s="174">
        <v>44652</v>
      </c>
      <c r="C563" s="24" t="s">
        <v>958</v>
      </c>
      <c r="D563" s="106">
        <v>5001764</v>
      </c>
      <c r="E563" s="24" t="s">
        <v>307</v>
      </c>
      <c r="F563" s="23" t="s">
        <v>424</v>
      </c>
      <c r="G563" s="47" t="s">
        <v>264</v>
      </c>
      <c r="H563" s="24" t="s">
        <v>984</v>
      </c>
      <c r="I563" s="23">
        <v>6</v>
      </c>
      <c r="J563" s="24" t="s">
        <v>3</v>
      </c>
      <c r="K563" s="103">
        <v>57174</v>
      </c>
      <c r="L563" s="25">
        <f t="shared" si="63"/>
        <v>343044</v>
      </c>
      <c r="M563" s="173">
        <f t="shared" si="60"/>
        <v>3.4304399999999999E-2</v>
      </c>
      <c r="N563" s="133">
        <v>0.33132653061224493</v>
      </c>
      <c r="O563" s="139">
        <f t="shared" si="64"/>
        <v>18943.26306122449</v>
      </c>
      <c r="P563" s="133">
        <v>78.073539902998235</v>
      </c>
      <c r="Q563" s="139">
        <f t="shared" si="59"/>
        <v>4463776.5704140207</v>
      </c>
      <c r="R563" s="133">
        <f t="shared" si="61"/>
        <v>0.44637765704140209</v>
      </c>
      <c r="S563" s="24" t="s">
        <v>1495</v>
      </c>
      <c r="T563" s="24" t="s">
        <v>1496</v>
      </c>
      <c r="AA563"/>
    </row>
    <row r="564" spans="1:27" ht="12.75" x14ac:dyDescent="0.2">
      <c r="A564" s="24" t="s">
        <v>1502</v>
      </c>
      <c r="B564" s="174">
        <v>44652</v>
      </c>
      <c r="C564" s="24" t="s">
        <v>958</v>
      </c>
      <c r="D564" s="106">
        <v>5001951</v>
      </c>
      <c r="E564" s="24" t="s">
        <v>963</v>
      </c>
      <c r="F564" s="23" t="s">
        <v>424</v>
      </c>
      <c r="G564" s="47" t="s">
        <v>264</v>
      </c>
      <c r="H564" s="24" t="s">
        <v>985</v>
      </c>
      <c r="I564" s="23">
        <v>6</v>
      </c>
      <c r="J564" s="24" t="s">
        <v>3</v>
      </c>
      <c r="K564" s="103">
        <v>114516</v>
      </c>
      <c r="L564" s="25">
        <f t="shared" si="63"/>
        <v>687096</v>
      </c>
      <c r="M564" s="173">
        <f t="shared" si="60"/>
        <v>6.8709599999999996E-2</v>
      </c>
      <c r="N564" s="133">
        <v>0.27212244897959181</v>
      </c>
      <c r="O564" s="139">
        <f t="shared" si="64"/>
        <v>31162.374367346936</v>
      </c>
      <c r="P564" s="133">
        <v>82.501299999999986</v>
      </c>
      <c r="Q564" s="139">
        <f t="shared" si="59"/>
        <v>9447718.8707999978</v>
      </c>
      <c r="R564" s="133">
        <f t="shared" si="61"/>
        <v>0.94477188707999982</v>
      </c>
      <c r="S564" s="24" t="s">
        <v>1495</v>
      </c>
      <c r="T564" s="24" t="s">
        <v>1496</v>
      </c>
      <c r="AA564"/>
    </row>
    <row r="565" spans="1:27" ht="12.75" x14ac:dyDescent="0.2">
      <c r="A565" s="24" t="s">
        <v>1502</v>
      </c>
      <c r="B565" s="174">
        <v>44652</v>
      </c>
      <c r="C565" s="24" t="s">
        <v>958</v>
      </c>
      <c r="D565" s="106">
        <v>5004853</v>
      </c>
      <c r="E565" s="24" t="s">
        <v>308</v>
      </c>
      <c r="F565" s="23" t="s">
        <v>424</v>
      </c>
      <c r="G565" s="47" t="s">
        <v>264</v>
      </c>
      <c r="H565" s="24" t="s">
        <v>986</v>
      </c>
      <c r="I565" s="23">
        <v>10</v>
      </c>
      <c r="J565" s="24" t="s">
        <v>3</v>
      </c>
      <c r="K565" s="103">
        <v>51946</v>
      </c>
      <c r="L565" s="25">
        <f t="shared" si="63"/>
        <v>519460</v>
      </c>
      <c r="M565" s="173">
        <f t="shared" si="60"/>
        <v>5.1945999999999999E-2</v>
      </c>
      <c r="N565" s="133">
        <v>0.49708333333333332</v>
      </c>
      <c r="O565" s="139">
        <f t="shared" si="64"/>
        <v>25821.490833333333</v>
      </c>
      <c r="P565" s="133">
        <v>43.34458439601206</v>
      </c>
      <c r="Q565" s="139">
        <f t="shared" si="59"/>
        <v>2251577.7810352426</v>
      </c>
      <c r="R565" s="133">
        <f t="shared" si="61"/>
        <v>0.22515777810352425</v>
      </c>
      <c r="S565" s="24" t="s">
        <v>1495</v>
      </c>
      <c r="T565" s="24" t="s">
        <v>1496</v>
      </c>
      <c r="AA565"/>
    </row>
    <row r="566" spans="1:27" ht="12.75" x14ac:dyDescent="0.2">
      <c r="A566" s="24" t="s">
        <v>1502</v>
      </c>
      <c r="B566" s="174">
        <v>44652</v>
      </c>
      <c r="C566" s="24" t="s">
        <v>958</v>
      </c>
      <c r="D566" s="106">
        <v>5002089</v>
      </c>
      <c r="E566" s="24" t="s">
        <v>964</v>
      </c>
      <c r="F566" s="23" t="s">
        <v>424</v>
      </c>
      <c r="G566" s="47" t="s">
        <v>264</v>
      </c>
      <c r="H566" s="24" t="s">
        <v>987</v>
      </c>
      <c r="I566" s="23">
        <v>6</v>
      </c>
      <c r="J566" s="24" t="s">
        <v>3</v>
      </c>
      <c r="K566" s="103">
        <v>40576</v>
      </c>
      <c r="L566" s="25">
        <f t="shared" si="63"/>
        <v>243456</v>
      </c>
      <c r="M566" s="173">
        <f t="shared" si="60"/>
        <v>2.4345599999999998E-2</v>
      </c>
      <c r="N566" s="133">
        <v>0.28966666666666668</v>
      </c>
      <c r="O566" s="139">
        <f t="shared" si="64"/>
        <v>11753.514666666668</v>
      </c>
      <c r="P566" s="133">
        <v>95.970899999999972</v>
      </c>
      <c r="Q566" s="139">
        <f t="shared" si="59"/>
        <v>3894115.2383999988</v>
      </c>
      <c r="R566" s="133">
        <f t="shared" si="61"/>
        <v>0.38941152383999988</v>
      </c>
      <c r="S566" s="24" t="s">
        <v>1495</v>
      </c>
      <c r="T566" s="24" t="s">
        <v>1496</v>
      </c>
      <c r="AA566"/>
    </row>
    <row r="567" spans="1:27" ht="12.75" x14ac:dyDescent="0.2">
      <c r="A567" s="24" t="s">
        <v>1502</v>
      </c>
      <c r="B567" s="174">
        <v>44652</v>
      </c>
      <c r="C567" s="24" t="s">
        <v>958</v>
      </c>
      <c r="D567" s="106">
        <v>5004853</v>
      </c>
      <c r="E567" s="24" t="s">
        <v>308</v>
      </c>
      <c r="F567" s="23" t="s">
        <v>424</v>
      </c>
      <c r="G567" s="47" t="s">
        <v>264</v>
      </c>
      <c r="H567" s="24" t="s">
        <v>988</v>
      </c>
      <c r="I567" s="23">
        <v>10</v>
      </c>
      <c r="J567" s="24" t="s">
        <v>3</v>
      </c>
      <c r="K567" s="103">
        <v>51730</v>
      </c>
      <c r="L567" s="25">
        <f t="shared" si="63"/>
        <v>517300</v>
      </c>
      <c r="M567" s="173">
        <f t="shared" si="60"/>
        <v>5.1729999999999998E-2</v>
      </c>
      <c r="N567" s="133">
        <v>0.49708333333333332</v>
      </c>
      <c r="O567" s="139">
        <f t="shared" si="64"/>
        <v>25714.120833333334</v>
      </c>
      <c r="P567" s="133">
        <v>43.34458439601206</v>
      </c>
      <c r="Q567" s="139">
        <f t="shared" si="59"/>
        <v>2242215.350805704</v>
      </c>
      <c r="R567" s="133">
        <f t="shared" si="61"/>
        <v>0.22422153508057041</v>
      </c>
      <c r="S567" s="24" t="s">
        <v>1495</v>
      </c>
      <c r="T567" s="24" t="s">
        <v>1496</v>
      </c>
      <c r="AA567"/>
    </row>
    <row r="568" spans="1:27" ht="12.75" x14ac:dyDescent="0.2">
      <c r="A568" s="24" t="s">
        <v>1502</v>
      </c>
      <c r="B568" s="174">
        <v>44652</v>
      </c>
      <c r="C568" s="24" t="s">
        <v>958</v>
      </c>
      <c r="D568" s="106">
        <v>5001764</v>
      </c>
      <c r="E568" s="24" t="s">
        <v>307</v>
      </c>
      <c r="F568" s="23" t="s">
        <v>424</v>
      </c>
      <c r="G568" s="47" t="s">
        <v>264</v>
      </c>
      <c r="H568" s="24" t="s">
        <v>989</v>
      </c>
      <c r="I568" s="23">
        <v>6</v>
      </c>
      <c r="J568" s="24" t="s">
        <v>3</v>
      </c>
      <c r="K568" s="103">
        <v>57451</v>
      </c>
      <c r="L568" s="25">
        <f t="shared" si="63"/>
        <v>344706</v>
      </c>
      <c r="M568" s="173">
        <f t="shared" si="60"/>
        <v>3.4470599999999997E-2</v>
      </c>
      <c r="N568" s="133">
        <v>0.33132653061224493</v>
      </c>
      <c r="O568" s="139">
        <f t="shared" si="64"/>
        <v>19035.040510204082</v>
      </c>
      <c r="P568" s="133">
        <v>78.073539902998235</v>
      </c>
      <c r="Q568" s="139">
        <f t="shared" si="59"/>
        <v>4485402.9409671519</v>
      </c>
      <c r="R568" s="133">
        <f t="shared" si="61"/>
        <v>0.4485402940967152</v>
      </c>
      <c r="S568" s="24" t="s">
        <v>1495</v>
      </c>
      <c r="T568" s="24" t="s">
        <v>1496</v>
      </c>
      <c r="AA568"/>
    </row>
    <row r="569" spans="1:27" ht="12.75" x14ac:dyDescent="0.2">
      <c r="A569" s="24" t="s">
        <v>1502</v>
      </c>
      <c r="B569" s="174">
        <v>44652</v>
      </c>
      <c r="C569" s="24" t="s">
        <v>958</v>
      </c>
      <c r="D569" s="106">
        <v>5000586</v>
      </c>
      <c r="E569" s="24" t="s">
        <v>962</v>
      </c>
      <c r="F569" s="23" t="s">
        <v>424</v>
      </c>
      <c r="G569" s="47" t="s">
        <v>264</v>
      </c>
      <c r="H569" s="24" t="s">
        <v>990</v>
      </c>
      <c r="I569" s="23">
        <v>10</v>
      </c>
      <c r="J569" s="24" t="s">
        <v>3</v>
      </c>
      <c r="K569" s="103">
        <v>42663</v>
      </c>
      <c r="L569" s="25">
        <f t="shared" si="63"/>
        <v>426630</v>
      </c>
      <c r="M569" s="173">
        <f t="shared" si="60"/>
        <v>4.2663E-2</v>
      </c>
      <c r="N569" s="133">
        <v>0.2879591836734694</v>
      </c>
      <c r="O569" s="139">
        <f t="shared" si="64"/>
        <v>12285.202653061226</v>
      </c>
      <c r="P569" s="133">
        <v>134.13476666666665</v>
      </c>
      <c r="Q569" s="139">
        <f t="shared" si="59"/>
        <v>5722591.5502999993</v>
      </c>
      <c r="R569" s="133">
        <f t="shared" si="61"/>
        <v>0.57225915502999991</v>
      </c>
      <c r="S569" s="24" t="s">
        <v>1495</v>
      </c>
      <c r="T569" s="24" t="s">
        <v>1496</v>
      </c>
      <c r="AA569"/>
    </row>
    <row r="570" spans="1:27" ht="12.75" x14ac:dyDescent="0.2">
      <c r="A570" s="24" t="s">
        <v>1502</v>
      </c>
      <c r="B570" s="174">
        <v>44652</v>
      </c>
      <c r="C570" s="24" t="s">
        <v>958</v>
      </c>
      <c r="D570" s="106">
        <v>5004853</v>
      </c>
      <c r="E570" s="24" t="s">
        <v>308</v>
      </c>
      <c r="F570" s="23" t="s">
        <v>424</v>
      </c>
      <c r="G570" s="47" t="s">
        <v>264</v>
      </c>
      <c r="H570" s="24" t="s">
        <v>991</v>
      </c>
      <c r="I570" s="23">
        <v>10</v>
      </c>
      <c r="J570" s="24" t="s">
        <v>3</v>
      </c>
      <c r="K570" s="103">
        <v>51736</v>
      </c>
      <c r="L570" s="25">
        <f t="shared" si="63"/>
        <v>517360</v>
      </c>
      <c r="M570" s="173">
        <f t="shared" si="60"/>
        <v>5.1735999999999997E-2</v>
      </c>
      <c r="N570" s="133">
        <v>0.49708333333333332</v>
      </c>
      <c r="O570" s="139">
        <f t="shared" si="64"/>
        <v>25717.103333333333</v>
      </c>
      <c r="P570" s="133">
        <v>43.34458439601206</v>
      </c>
      <c r="Q570" s="139">
        <f t="shared" si="59"/>
        <v>2242475.4183120797</v>
      </c>
      <c r="R570" s="133">
        <f t="shared" si="61"/>
        <v>0.22424754183120799</v>
      </c>
      <c r="S570" s="24" t="s">
        <v>1495</v>
      </c>
      <c r="T570" s="24" t="s">
        <v>1496</v>
      </c>
      <c r="AA570"/>
    </row>
    <row r="571" spans="1:27" ht="12.75" x14ac:dyDescent="0.2">
      <c r="A571" s="24" t="s">
        <v>1502</v>
      </c>
      <c r="B571" s="174">
        <v>44652</v>
      </c>
      <c r="C571" s="24" t="s">
        <v>958</v>
      </c>
      <c r="D571" s="106">
        <v>5000474</v>
      </c>
      <c r="E571" s="24" t="s">
        <v>965</v>
      </c>
      <c r="F571" s="23" t="s">
        <v>424</v>
      </c>
      <c r="G571" s="47" t="s">
        <v>264</v>
      </c>
      <c r="H571" s="24" t="s">
        <v>992</v>
      </c>
      <c r="I571" s="23">
        <v>6</v>
      </c>
      <c r="J571" s="24" t="s">
        <v>3</v>
      </c>
      <c r="K571" s="103">
        <v>76595</v>
      </c>
      <c r="L571" s="25">
        <f t="shared" si="63"/>
        <v>459570</v>
      </c>
      <c r="M571" s="173">
        <f t="shared" si="60"/>
        <v>4.5956999999999998E-2</v>
      </c>
      <c r="N571" s="133">
        <v>0.33132653061224493</v>
      </c>
      <c r="O571" s="139">
        <f t="shared" si="64"/>
        <v>25377.955612244899</v>
      </c>
      <c r="P571" s="133">
        <v>88.886442724867706</v>
      </c>
      <c r="Q571" s="139">
        <f t="shared" si="59"/>
        <v>6808257.0805112422</v>
      </c>
      <c r="R571" s="133">
        <f t="shared" si="61"/>
        <v>0.68082570805112419</v>
      </c>
      <c r="S571" s="24" t="s">
        <v>1495</v>
      </c>
      <c r="T571" s="24" t="s">
        <v>1496</v>
      </c>
      <c r="AA571"/>
    </row>
    <row r="572" spans="1:27" ht="12.75" x14ac:dyDescent="0.2">
      <c r="A572" s="24" t="s">
        <v>1502</v>
      </c>
      <c r="B572" s="174">
        <v>44652</v>
      </c>
      <c r="C572" s="24" t="s">
        <v>958</v>
      </c>
      <c r="D572" s="106">
        <v>5001764</v>
      </c>
      <c r="E572" s="24" t="s">
        <v>307</v>
      </c>
      <c r="F572" s="23" t="s">
        <v>424</v>
      </c>
      <c r="G572" s="47" t="s">
        <v>264</v>
      </c>
      <c r="H572" s="24" t="s">
        <v>993</v>
      </c>
      <c r="I572" s="23">
        <v>6</v>
      </c>
      <c r="J572" s="24" t="s">
        <v>3</v>
      </c>
      <c r="K572" s="103">
        <v>32528</v>
      </c>
      <c r="L572" s="25">
        <f t="shared" si="63"/>
        <v>195168</v>
      </c>
      <c r="M572" s="173">
        <f t="shared" si="60"/>
        <v>1.9516800000000001E-2</v>
      </c>
      <c r="N572" s="133">
        <v>0.33132653061224493</v>
      </c>
      <c r="O572" s="139">
        <f t="shared" si="64"/>
        <v>10777.389387755104</v>
      </c>
      <c r="P572" s="133">
        <v>78.073539902998235</v>
      </c>
      <c r="Q572" s="139">
        <f t="shared" si="59"/>
        <v>2539576.1059647268</v>
      </c>
      <c r="R572" s="133">
        <f t="shared" si="61"/>
        <v>0.25395761059647265</v>
      </c>
      <c r="S572" s="24" t="s">
        <v>1495</v>
      </c>
      <c r="T572" s="24" t="s">
        <v>1496</v>
      </c>
      <c r="AA572"/>
    </row>
    <row r="573" spans="1:27" ht="12.75" x14ac:dyDescent="0.2">
      <c r="A573" s="24" t="s">
        <v>1502</v>
      </c>
      <c r="B573" s="174">
        <v>44652</v>
      </c>
      <c r="C573" s="24" t="s">
        <v>958</v>
      </c>
      <c r="D573" s="106">
        <v>5001153</v>
      </c>
      <c r="E573" s="24" t="s">
        <v>350</v>
      </c>
      <c r="F573" s="23" t="s">
        <v>424</v>
      </c>
      <c r="G573" s="47" t="s">
        <v>264</v>
      </c>
      <c r="H573" s="24" t="s">
        <v>994</v>
      </c>
      <c r="I573" s="23">
        <v>15</v>
      </c>
      <c r="J573" s="24" t="s">
        <v>3</v>
      </c>
      <c r="K573" s="103">
        <v>15381</v>
      </c>
      <c r="L573" s="25">
        <f t="shared" si="63"/>
        <v>230715</v>
      </c>
      <c r="M573" s="173">
        <f t="shared" si="60"/>
        <v>2.3071500000000002E-2</v>
      </c>
      <c r="N573" s="133">
        <v>0.4746354166666667</v>
      </c>
      <c r="O573" s="139">
        <f t="shared" si="64"/>
        <v>7300.3673437500001</v>
      </c>
      <c r="P573" s="133">
        <v>204.53103787878786</v>
      </c>
      <c r="Q573" s="139">
        <f t="shared" si="59"/>
        <v>3145891.893613636</v>
      </c>
      <c r="R573" s="133">
        <f t="shared" si="61"/>
        <v>0.3145891893613636</v>
      </c>
      <c r="S573" s="24" t="s">
        <v>1495</v>
      </c>
      <c r="T573" s="24" t="s">
        <v>1496</v>
      </c>
      <c r="AA573"/>
    </row>
    <row r="574" spans="1:27" ht="12.75" x14ac:dyDescent="0.2">
      <c r="A574" s="24" t="s">
        <v>1502</v>
      </c>
      <c r="B574" s="174">
        <v>44652</v>
      </c>
      <c r="C574" s="24" t="s">
        <v>958</v>
      </c>
      <c r="D574" s="106">
        <v>5001270</v>
      </c>
      <c r="E574" s="24" t="s">
        <v>309</v>
      </c>
      <c r="F574" s="23" t="s">
        <v>424</v>
      </c>
      <c r="G574" s="47" t="s">
        <v>264</v>
      </c>
      <c r="H574" s="24" t="s">
        <v>995</v>
      </c>
      <c r="I574" s="23">
        <v>10</v>
      </c>
      <c r="J574" s="24" t="s">
        <v>3</v>
      </c>
      <c r="K574" s="103">
        <v>9645</v>
      </c>
      <c r="L574" s="25">
        <f t="shared" si="63"/>
        <v>96450</v>
      </c>
      <c r="M574" s="173">
        <f t="shared" si="60"/>
        <v>9.6450000000000008E-3</v>
      </c>
      <c r="N574" s="133">
        <v>0.34177083333333336</v>
      </c>
      <c r="O574" s="139">
        <f t="shared" si="64"/>
        <v>3296.3796875000003</v>
      </c>
      <c r="P574" s="133">
        <v>171.83335763888888</v>
      </c>
      <c r="Q574" s="139">
        <f t="shared" si="59"/>
        <v>1657332.7344270833</v>
      </c>
      <c r="R574" s="133">
        <f t="shared" si="61"/>
        <v>0.16573327344270833</v>
      </c>
      <c r="S574" s="24" t="s">
        <v>1495</v>
      </c>
      <c r="T574" s="24" t="s">
        <v>1496</v>
      </c>
      <c r="AA574"/>
    </row>
    <row r="575" spans="1:27" ht="12.75" x14ac:dyDescent="0.2">
      <c r="A575" s="24" t="s">
        <v>1502</v>
      </c>
      <c r="B575" s="174">
        <v>44652</v>
      </c>
      <c r="C575" s="24" t="s">
        <v>958</v>
      </c>
      <c r="D575" s="106">
        <v>5001764</v>
      </c>
      <c r="E575" s="24" t="s">
        <v>307</v>
      </c>
      <c r="F575" s="23" t="s">
        <v>424</v>
      </c>
      <c r="G575" s="47" t="s">
        <v>264</v>
      </c>
      <c r="H575" s="24" t="s">
        <v>996</v>
      </c>
      <c r="I575" s="23">
        <v>6</v>
      </c>
      <c r="J575" s="24" t="s">
        <v>3</v>
      </c>
      <c r="K575" s="103">
        <v>57384</v>
      </c>
      <c r="L575" s="25">
        <f t="shared" si="63"/>
        <v>344304</v>
      </c>
      <c r="M575" s="173">
        <f t="shared" si="60"/>
        <v>3.44304E-2</v>
      </c>
      <c r="N575" s="133">
        <v>0.33132653061224493</v>
      </c>
      <c r="O575" s="139">
        <f t="shared" si="64"/>
        <v>19012.841632653064</v>
      </c>
      <c r="P575" s="133">
        <v>78.073539902998235</v>
      </c>
      <c r="Q575" s="139">
        <f t="shared" si="59"/>
        <v>4480172.013793651</v>
      </c>
      <c r="R575" s="133">
        <f t="shared" si="61"/>
        <v>0.44801720137936513</v>
      </c>
      <c r="S575" s="24" t="s">
        <v>1495</v>
      </c>
      <c r="T575" s="24" t="s">
        <v>1496</v>
      </c>
      <c r="AA575"/>
    </row>
    <row r="576" spans="1:27" ht="12.75" x14ac:dyDescent="0.2">
      <c r="A576" s="24" t="s">
        <v>1502</v>
      </c>
      <c r="B576" s="174">
        <v>44652</v>
      </c>
      <c r="C576" s="24" t="s">
        <v>958</v>
      </c>
      <c r="D576" s="106">
        <v>5004853</v>
      </c>
      <c r="E576" s="24" t="s">
        <v>308</v>
      </c>
      <c r="F576" s="23" t="s">
        <v>424</v>
      </c>
      <c r="G576" s="47" t="s">
        <v>264</v>
      </c>
      <c r="H576" s="24" t="s">
        <v>997</v>
      </c>
      <c r="I576" s="23">
        <v>10</v>
      </c>
      <c r="J576" s="24" t="s">
        <v>3</v>
      </c>
      <c r="K576" s="103">
        <v>51826</v>
      </c>
      <c r="L576" s="25">
        <f t="shared" si="63"/>
        <v>518260</v>
      </c>
      <c r="M576" s="173">
        <f t="shared" si="60"/>
        <v>5.1825999999999997E-2</v>
      </c>
      <c r="N576" s="133">
        <v>0.49708333333333332</v>
      </c>
      <c r="O576" s="139">
        <f t="shared" si="64"/>
        <v>25761.840833333332</v>
      </c>
      <c r="P576" s="133">
        <v>43.34458439601206</v>
      </c>
      <c r="Q576" s="139">
        <f t="shared" si="59"/>
        <v>2246376.4309077212</v>
      </c>
      <c r="R576" s="133">
        <f t="shared" si="61"/>
        <v>0.22463764309077211</v>
      </c>
      <c r="S576" s="24" t="s">
        <v>1495</v>
      </c>
      <c r="T576" s="24" t="s">
        <v>1496</v>
      </c>
      <c r="AA576"/>
    </row>
    <row r="577" spans="1:27" ht="12.75" x14ac:dyDescent="0.2">
      <c r="A577" s="24" t="s">
        <v>1502</v>
      </c>
      <c r="B577" s="174">
        <v>44652</v>
      </c>
      <c r="C577" s="24" t="s">
        <v>958</v>
      </c>
      <c r="D577" s="106">
        <v>5000474</v>
      </c>
      <c r="E577" s="24" t="s">
        <v>965</v>
      </c>
      <c r="F577" s="23" t="s">
        <v>424</v>
      </c>
      <c r="G577" s="47" t="s">
        <v>264</v>
      </c>
      <c r="H577" s="24" t="s">
        <v>998</v>
      </c>
      <c r="I577" s="23">
        <v>6</v>
      </c>
      <c r="J577" s="24" t="s">
        <v>3</v>
      </c>
      <c r="K577" s="103">
        <v>76415</v>
      </c>
      <c r="L577" s="25">
        <f t="shared" si="63"/>
        <v>458490</v>
      </c>
      <c r="M577" s="173">
        <f t="shared" si="60"/>
        <v>4.5849000000000001E-2</v>
      </c>
      <c r="N577" s="133">
        <v>0.33132653061224493</v>
      </c>
      <c r="O577" s="139">
        <f t="shared" si="64"/>
        <v>25318.316836734695</v>
      </c>
      <c r="P577" s="133">
        <v>88.886442724867706</v>
      </c>
      <c r="Q577" s="139">
        <f t="shared" si="59"/>
        <v>6792257.5208207658</v>
      </c>
      <c r="R577" s="133">
        <f t="shared" si="61"/>
        <v>0.67922575208207658</v>
      </c>
      <c r="S577" s="24" t="s">
        <v>1495</v>
      </c>
      <c r="T577" s="24" t="s">
        <v>1496</v>
      </c>
      <c r="AA577"/>
    </row>
    <row r="578" spans="1:27" ht="12.75" x14ac:dyDescent="0.2">
      <c r="A578" s="24" t="s">
        <v>1502</v>
      </c>
      <c r="B578" s="174">
        <v>44652</v>
      </c>
      <c r="C578" s="24" t="s">
        <v>958</v>
      </c>
      <c r="D578" s="106">
        <v>5000269</v>
      </c>
      <c r="E578" s="24" t="s">
        <v>306</v>
      </c>
      <c r="F578" s="23" t="s">
        <v>424</v>
      </c>
      <c r="G578" s="47" t="s">
        <v>264</v>
      </c>
      <c r="H578" s="24" t="s">
        <v>999</v>
      </c>
      <c r="I578" s="23">
        <v>6</v>
      </c>
      <c r="J578" s="24" t="s">
        <v>3</v>
      </c>
      <c r="K578" s="103">
        <v>31477</v>
      </c>
      <c r="L578" s="25">
        <f t="shared" si="63"/>
        <v>188862</v>
      </c>
      <c r="M578" s="173">
        <f t="shared" si="60"/>
        <v>1.8886199999999999E-2</v>
      </c>
      <c r="N578" s="133">
        <v>0.27212244897959181</v>
      </c>
      <c r="O578" s="139">
        <f t="shared" si="64"/>
        <v>8565.5983265306113</v>
      </c>
      <c r="P578" s="133">
        <v>55.562099999999987</v>
      </c>
      <c r="Q578" s="139">
        <f t="shared" ref="Q578:Q641" si="65">+K578*P578</f>
        <v>1748928.2216999996</v>
      </c>
      <c r="R578" s="133">
        <f t="shared" si="61"/>
        <v>0.17489282216999996</v>
      </c>
      <c r="S578" s="24" t="s">
        <v>1495</v>
      </c>
      <c r="T578" s="24" t="s">
        <v>1496</v>
      </c>
      <c r="AA578"/>
    </row>
    <row r="579" spans="1:27" ht="12.75" x14ac:dyDescent="0.2">
      <c r="A579" s="24" t="s">
        <v>1502</v>
      </c>
      <c r="B579" s="174">
        <v>44652</v>
      </c>
      <c r="C579" s="24" t="s">
        <v>958</v>
      </c>
      <c r="D579" s="106">
        <v>5001764</v>
      </c>
      <c r="E579" s="24" t="s">
        <v>307</v>
      </c>
      <c r="F579" s="23" t="s">
        <v>424</v>
      </c>
      <c r="G579" s="47" t="s">
        <v>264</v>
      </c>
      <c r="H579" s="24" t="s">
        <v>1000</v>
      </c>
      <c r="I579" s="23">
        <v>6</v>
      </c>
      <c r="J579" s="24" t="s">
        <v>3</v>
      </c>
      <c r="K579" s="103">
        <v>57186</v>
      </c>
      <c r="L579" s="25">
        <f t="shared" si="63"/>
        <v>343116</v>
      </c>
      <c r="M579" s="173">
        <f t="shared" ref="M579:M642" si="66">L579/10^7</f>
        <v>3.4311599999999998E-2</v>
      </c>
      <c r="N579" s="133">
        <v>0.33132653061224493</v>
      </c>
      <c r="O579" s="139">
        <f t="shared" si="64"/>
        <v>18947.238979591839</v>
      </c>
      <c r="P579" s="133">
        <v>78.073539902998235</v>
      </c>
      <c r="Q579" s="139">
        <f t="shared" si="65"/>
        <v>4464713.4528928567</v>
      </c>
      <c r="R579" s="133">
        <f t="shared" ref="R579:R642" si="67">Q579/10^7</f>
        <v>0.44647134528928567</v>
      </c>
      <c r="S579" s="24" t="s">
        <v>1495</v>
      </c>
      <c r="T579" s="24" t="s">
        <v>1496</v>
      </c>
      <c r="AA579"/>
    </row>
    <row r="580" spans="1:27" ht="12.75" x14ac:dyDescent="0.2">
      <c r="A580" s="24" t="s">
        <v>1502</v>
      </c>
      <c r="B580" s="174">
        <v>44652</v>
      </c>
      <c r="C580" s="24" t="s">
        <v>958</v>
      </c>
      <c r="D580" s="106">
        <v>5004853</v>
      </c>
      <c r="E580" s="24" t="s">
        <v>308</v>
      </c>
      <c r="F580" s="23" t="s">
        <v>424</v>
      </c>
      <c r="G580" s="47" t="s">
        <v>264</v>
      </c>
      <c r="H580" s="24" t="s">
        <v>1001</v>
      </c>
      <c r="I580" s="23">
        <v>10</v>
      </c>
      <c r="J580" s="24" t="s">
        <v>3</v>
      </c>
      <c r="K580" s="103">
        <v>51848</v>
      </c>
      <c r="L580" s="25">
        <f t="shared" si="63"/>
        <v>518480</v>
      </c>
      <c r="M580" s="173">
        <f t="shared" si="66"/>
        <v>5.1847999999999998E-2</v>
      </c>
      <c r="N580" s="133">
        <v>0.49708333333333332</v>
      </c>
      <c r="O580" s="139">
        <f t="shared" si="64"/>
        <v>25772.776666666665</v>
      </c>
      <c r="P580" s="133">
        <v>43.34458439601206</v>
      </c>
      <c r="Q580" s="139">
        <f t="shared" si="65"/>
        <v>2247330.0117644332</v>
      </c>
      <c r="R580" s="133">
        <f t="shared" si="67"/>
        <v>0.22473300117644332</v>
      </c>
      <c r="S580" s="24" t="s">
        <v>1495</v>
      </c>
      <c r="T580" s="24" t="s">
        <v>1496</v>
      </c>
      <c r="AA580"/>
    </row>
    <row r="581" spans="1:27" ht="12.75" x14ac:dyDescent="0.2">
      <c r="A581" s="24" t="s">
        <v>1502</v>
      </c>
      <c r="B581" s="174">
        <v>44652</v>
      </c>
      <c r="C581" s="24" t="s">
        <v>958</v>
      </c>
      <c r="D581" s="106">
        <v>5001764</v>
      </c>
      <c r="E581" s="24" t="s">
        <v>307</v>
      </c>
      <c r="F581" s="23" t="s">
        <v>424</v>
      </c>
      <c r="G581" s="47" t="s">
        <v>264</v>
      </c>
      <c r="H581" s="24" t="s">
        <v>1002</v>
      </c>
      <c r="I581" s="23">
        <v>6</v>
      </c>
      <c r="J581" s="24" t="s">
        <v>3</v>
      </c>
      <c r="K581" s="103">
        <v>57351</v>
      </c>
      <c r="L581" s="25">
        <f t="shared" si="63"/>
        <v>344106</v>
      </c>
      <c r="M581" s="173">
        <f t="shared" si="66"/>
        <v>3.44106E-2</v>
      </c>
      <c r="N581" s="133">
        <v>0.33132653061224493</v>
      </c>
      <c r="O581" s="139">
        <f t="shared" si="64"/>
        <v>19001.907857142858</v>
      </c>
      <c r="P581" s="133">
        <v>78.073539902998235</v>
      </c>
      <c r="Q581" s="139">
        <f t="shared" si="65"/>
        <v>4477595.5869768513</v>
      </c>
      <c r="R581" s="133">
        <f t="shared" si="67"/>
        <v>0.44775955869768513</v>
      </c>
      <c r="S581" s="24" t="s">
        <v>1495</v>
      </c>
      <c r="T581" s="24" t="s">
        <v>1496</v>
      </c>
      <c r="AA581"/>
    </row>
    <row r="582" spans="1:27" ht="12.75" x14ac:dyDescent="0.2">
      <c r="A582" s="24" t="s">
        <v>1502</v>
      </c>
      <c r="B582" s="174">
        <v>44652</v>
      </c>
      <c r="C582" s="24" t="s">
        <v>958</v>
      </c>
      <c r="D582" s="106">
        <v>5004853</v>
      </c>
      <c r="E582" s="24" t="s">
        <v>308</v>
      </c>
      <c r="F582" s="23" t="s">
        <v>424</v>
      </c>
      <c r="G582" s="47" t="s">
        <v>264</v>
      </c>
      <c r="H582" s="24" t="s">
        <v>1003</v>
      </c>
      <c r="I582" s="23">
        <v>10</v>
      </c>
      <c r="J582" s="24" t="s">
        <v>3</v>
      </c>
      <c r="K582" s="103">
        <v>51746</v>
      </c>
      <c r="L582" s="25">
        <f t="shared" si="63"/>
        <v>517460</v>
      </c>
      <c r="M582" s="173">
        <f t="shared" si="66"/>
        <v>5.1746E-2</v>
      </c>
      <c r="N582" s="133">
        <v>0.49708333333333332</v>
      </c>
      <c r="O582" s="139">
        <f t="shared" si="64"/>
        <v>25722.074166666665</v>
      </c>
      <c r="P582" s="133">
        <v>43.34458439601206</v>
      </c>
      <c r="Q582" s="139">
        <f t="shared" si="65"/>
        <v>2242908.8641560399</v>
      </c>
      <c r="R582" s="133">
        <f t="shared" si="67"/>
        <v>0.22429088641560399</v>
      </c>
      <c r="S582" s="24" t="s">
        <v>1495</v>
      </c>
      <c r="T582" s="24" t="s">
        <v>1496</v>
      </c>
      <c r="AA582"/>
    </row>
    <row r="583" spans="1:27" ht="12.75" x14ac:dyDescent="0.2">
      <c r="A583" s="24" t="s">
        <v>1502</v>
      </c>
      <c r="B583" s="174">
        <v>44652</v>
      </c>
      <c r="C583" s="24" t="s">
        <v>958</v>
      </c>
      <c r="D583" s="106">
        <v>5004872</v>
      </c>
      <c r="E583" s="24" t="s">
        <v>960</v>
      </c>
      <c r="F583" s="23" t="s">
        <v>424</v>
      </c>
      <c r="G583" s="47" t="s">
        <v>264</v>
      </c>
      <c r="H583" s="24" t="s">
        <v>1004</v>
      </c>
      <c r="I583" s="23">
        <v>10</v>
      </c>
      <c r="J583" s="24" t="s">
        <v>3</v>
      </c>
      <c r="K583" s="103">
        <v>9146</v>
      </c>
      <c r="L583" s="25">
        <f t="shared" si="63"/>
        <v>91460</v>
      </c>
      <c r="M583" s="173">
        <f t="shared" si="66"/>
        <v>9.1459999999999996E-3</v>
      </c>
      <c r="N583" s="133">
        <v>0.29395833333333332</v>
      </c>
      <c r="O583" s="139">
        <f t="shared" si="64"/>
        <v>2688.5429166666668</v>
      </c>
      <c r="P583" s="133">
        <v>0</v>
      </c>
      <c r="Q583" s="139">
        <f t="shared" si="65"/>
        <v>0</v>
      </c>
      <c r="R583" s="133">
        <f t="shared" si="67"/>
        <v>0</v>
      </c>
      <c r="S583" s="24" t="s">
        <v>1495</v>
      </c>
      <c r="T583" s="24" t="s">
        <v>1496</v>
      </c>
      <c r="AA583"/>
    </row>
    <row r="584" spans="1:27" ht="12.75" x14ac:dyDescent="0.2">
      <c r="A584" s="24" t="s">
        <v>1502</v>
      </c>
      <c r="B584" s="174">
        <v>44652</v>
      </c>
      <c r="C584" s="24" t="s">
        <v>958</v>
      </c>
      <c r="D584" s="106">
        <v>5005910</v>
      </c>
      <c r="E584" s="24" t="s">
        <v>372</v>
      </c>
      <c r="F584" s="23" t="s">
        <v>424</v>
      </c>
      <c r="G584" s="47" t="s">
        <v>264</v>
      </c>
      <c r="H584" s="24" t="s">
        <v>1005</v>
      </c>
      <c r="I584" s="23">
        <v>10</v>
      </c>
      <c r="J584" s="24" t="s">
        <v>3</v>
      </c>
      <c r="K584" s="103">
        <v>52084</v>
      </c>
      <c r="L584" s="25">
        <f t="shared" si="63"/>
        <v>520840</v>
      </c>
      <c r="M584" s="173">
        <f t="shared" si="66"/>
        <v>5.2083999999999998E-2</v>
      </c>
      <c r="N584" s="133">
        <v>0.34</v>
      </c>
      <c r="O584" s="139">
        <f t="shared" si="64"/>
        <v>17708.560000000001</v>
      </c>
      <c r="P584" s="133">
        <v>35.387499999999996</v>
      </c>
      <c r="Q584" s="139">
        <f t="shared" si="65"/>
        <v>1843122.5499999998</v>
      </c>
      <c r="R584" s="133">
        <f t="shared" si="67"/>
        <v>0.18431225499999998</v>
      </c>
      <c r="S584" s="24" t="s">
        <v>1495</v>
      </c>
      <c r="T584" s="24" t="s">
        <v>1496</v>
      </c>
      <c r="AA584"/>
    </row>
    <row r="585" spans="1:27" ht="12.75" x14ac:dyDescent="0.2">
      <c r="A585" s="24" t="s">
        <v>1502</v>
      </c>
      <c r="B585" s="174">
        <v>44652</v>
      </c>
      <c r="C585" s="24" t="s">
        <v>958</v>
      </c>
      <c r="D585" s="106">
        <v>5001764</v>
      </c>
      <c r="E585" s="24" t="s">
        <v>307</v>
      </c>
      <c r="F585" s="23" t="s">
        <v>424</v>
      </c>
      <c r="G585" s="47" t="s">
        <v>264</v>
      </c>
      <c r="H585" s="24" t="s">
        <v>1006</v>
      </c>
      <c r="I585" s="23">
        <v>6</v>
      </c>
      <c r="J585" s="24" t="s">
        <v>3</v>
      </c>
      <c r="K585" s="103">
        <v>57411</v>
      </c>
      <c r="L585" s="25">
        <f t="shared" si="63"/>
        <v>344466</v>
      </c>
      <c r="M585" s="173">
        <f t="shared" si="66"/>
        <v>3.4446600000000001E-2</v>
      </c>
      <c r="N585" s="133">
        <v>0.33132653061224493</v>
      </c>
      <c r="O585" s="139">
        <f t="shared" si="64"/>
        <v>19021.787448979594</v>
      </c>
      <c r="P585" s="133">
        <v>78.073539902998235</v>
      </c>
      <c r="Q585" s="139">
        <f t="shared" si="65"/>
        <v>4482279.9993710313</v>
      </c>
      <c r="R585" s="133">
        <f t="shared" si="67"/>
        <v>0.44822799993710311</v>
      </c>
      <c r="S585" s="24" t="s">
        <v>1495</v>
      </c>
      <c r="T585" s="24" t="s">
        <v>1496</v>
      </c>
      <c r="AA585"/>
    </row>
    <row r="586" spans="1:27" ht="12.75" x14ac:dyDescent="0.2">
      <c r="A586" s="24" t="s">
        <v>1502</v>
      </c>
      <c r="B586" s="174">
        <v>44652</v>
      </c>
      <c r="C586" s="24" t="s">
        <v>958</v>
      </c>
      <c r="D586" s="106">
        <v>5001764</v>
      </c>
      <c r="E586" s="24" t="s">
        <v>307</v>
      </c>
      <c r="F586" s="23" t="s">
        <v>424</v>
      </c>
      <c r="G586" s="47" t="s">
        <v>264</v>
      </c>
      <c r="H586" s="24" t="s">
        <v>1007</v>
      </c>
      <c r="I586" s="23">
        <v>6</v>
      </c>
      <c r="J586" s="24" t="s">
        <v>3</v>
      </c>
      <c r="K586" s="103">
        <v>56922</v>
      </c>
      <c r="L586" s="25">
        <f t="shared" si="63"/>
        <v>341532</v>
      </c>
      <c r="M586" s="173">
        <f t="shared" si="66"/>
        <v>3.4153200000000002E-2</v>
      </c>
      <c r="N586" s="133">
        <v>0.33132653061224493</v>
      </c>
      <c r="O586" s="139">
        <f t="shared" si="64"/>
        <v>18859.768775510205</v>
      </c>
      <c r="P586" s="133">
        <v>78.073539902998235</v>
      </c>
      <c r="Q586" s="139">
        <f t="shared" si="65"/>
        <v>4444102.0383584658</v>
      </c>
      <c r="R586" s="133">
        <f t="shared" si="67"/>
        <v>0.44441020383584656</v>
      </c>
      <c r="S586" s="24" t="s">
        <v>1495</v>
      </c>
      <c r="T586" s="24" t="s">
        <v>1496</v>
      </c>
      <c r="AA586"/>
    </row>
    <row r="587" spans="1:27" ht="12.75" x14ac:dyDescent="0.2">
      <c r="A587" s="24" t="s">
        <v>1502</v>
      </c>
      <c r="B587" s="174">
        <v>44652</v>
      </c>
      <c r="C587" s="24" t="s">
        <v>958</v>
      </c>
      <c r="D587" s="106">
        <v>5004853</v>
      </c>
      <c r="E587" s="24" t="s">
        <v>308</v>
      </c>
      <c r="F587" s="23" t="s">
        <v>424</v>
      </c>
      <c r="G587" s="47" t="s">
        <v>264</v>
      </c>
      <c r="H587" s="24" t="s">
        <v>1008</v>
      </c>
      <c r="I587" s="23">
        <v>10</v>
      </c>
      <c r="J587" s="24" t="s">
        <v>3</v>
      </c>
      <c r="K587" s="103">
        <v>51572</v>
      </c>
      <c r="L587" s="25">
        <f t="shared" si="63"/>
        <v>515720</v>
      </c>
      <c r="M587" s="173">
        <f t="shared" si="66"/>
        <v>5.1572E-2</v>
      </c>
      <c r="N587" s="133">
        <v>0.49708333333333332</v>
      </c>
      <c r="O587" s="139">
        <f t="shared" si="64"/>
        <v>25635.581666666665</v>
      </c>
      <c r="P587" s="133">
        <v>43.34458439601206</v>
      </c>
      <c r="Q587" s="139">
        <f t="shared" si="65"/>
        <v>2235366.9064711342</v>
      </c>
      <c r="R587" s="133">
        <f t="shared" si="67"/>
        <v>0.22353669064711343</v>
      </c>
      <c r="S587" s="24" t="s">
        <v>1495</v>
      </c>
      <c r="T587" s="24" t="s">
        <v>1496</v>
      </c>
      <c r="AA587"/>
    </row>
    <row r="588" spans="1:27" s="48" customFormat="1" ht="12.75" x14ac:dyDescent="0.2">
      <c r="A588" s="24" t="s">
        <v>1502</v>
      </c>
      <c r="B588" s="174">
        <v>44652</v>
      </c>
      <c r="C588" s="28">
        <v>1030</v>
      </c>
      <c r="D588" s="28">
        <v>5002418</v>
      </c>
      <c r="E588" s="48" t="s">
        <v>1111</v>
      </c>
      <c r="F588" s="29" t="s">
        <v>424</v>
      </c>
      <c r="G588" s="29" t="s">
        <v>265</v>
      </c>
      <c r="H588" s="48" t="s">
        <v>1120</v>
      </c>
      <c r="I588" s="28">
        <v>100</v>
      </c>
      <c r="J588" s="28" t="s">
        <v>7</v>
      </c>
      <c r="K588" s="91">
        <v>4926</v>
      </c>
      <c r="L588" s="94">
        <f>K588*I588</f>
        <v>492600</v>
      </c>
      <c r="M588" s="173">
        <f t="shared" si="66"/>
        <v>4.9259999999999998E-2</v>
      </c>
      <c r="N588" s="155">
        <v>6</v>
      </c>
      <c r="O588" s="158">
        <f>+K588*N588</f>
        <v>29556</v>
      </c>
      <c r="P588" s="155">
        <v>155.01382000000001</v>
      </c>
      <c r="Q588" s="158">
        <f t="shared" si="65"/>
        <v>763598.07732000004</v>
      </c>
      <c r="R588" s="133">
        <f t="shared" si="67"/>
        <v>7.6359807732000004E-2</v>
      </c>
      <c r="S588" s="28" t="s">
        <v>1497</v>
      </c>
      <c r="T588" s="48" t="s">
        <v>1475</v>
      </c>
      <c r="AA588"/>
    </row>
    <row r="589" spans="1:27" s="48" customFormat="1" ht="12.75" x14ac:dyDescent="0.2">
      <c r="A589" s="24" t="s">
        <v>1502</v>
      </c>
      <c r="B589" s="174">
        <v>44652</v>
      </c>
      <c r="C589" s="28">
        <v>1030</v>
      </c>
      <c r="D589" s="28">
        <v>5002418</v>
      </c>
      <c r="E589" s="48" t="s">
        <v>1111</v>
      </c>
      <c r="F589" s="29" t="s">
        <v>424</v>
      </c>
      <c r="G589" s="29" t="s">
        <v>265</v>
      </c>
      <c r="H589" s="48" t="s">
        <v>1123</v>
      </c>
      <c r="I589" s="28">
        <v>100</v>
      </c>
      <c r="J589" s="28" t="s">
        <v>7</v>
      </c>
      <c r="K589" s="91">
        <v>6901</v>
      </c>
      <c r="L589" s="94">
        <f t="shared" ref="L589:L616" si="68">K589*I589</f>
        <v>690100</v>
      </c>
      <c r="M589" s="173">
        <f t="shared" si="66"/>
        <v>6.9010000000000002E-2</v>
      </c>
      <c r="N589" s="155">
        <v>6</v>
      </c>
      <c r="O589" s="158">
        <f t="shared" ref="O589:O591" si="69">+K589*N589</f>
        <v>41406</v>
      </c>
      <c r="P589" s="155">
        <v>155.01382000000001</v>
      </c>
      <c r="Q589" s="158">
        <f t="shared" si="65"/>
        <v>1069750.37182</v>
      </c>
      <c r="R589" s="133">
        <f t="shared" si="67"/>
        <v>0.10697503718199999</v>
      </c>
      <c r="S589" s="28" t="s">
        <v>1497</v>
      </c>
      <c r="T589" s="48" t="s">
        <v>1475</v>
      </c>
      <c r="AA589"/>
    </row>
    <row r="590" spans="1:27" s="48" customFormat="1" ht="12.75" x14ac:dyDescent="0.2">
      <c r="A590" s="24" t="s">
        <v>1502</v>
      </c>
      <c r="B590" s="174">
        <v>44652</v>
      </c>
      <c r="C590" s="28">
        <v>1030</v>
      </c>
      <c r="D590" s="28">
        <v>5002418</v>
      </c>
      <c r="E590" s="48" t="s">
        <v>1111</v>
      </c>
      <c r="F590" s="29" t="s">
        <v>424</v>
      </c>
      <c r="G590" s="29" t="s">
        <v>265</v>
      </c>
      <c r="H590" s="48" t="s">
        <v>1125</v>
      </c>
      <c r="I590" s="28">
        <v>100</v>
      </c>
      <c r="J590" s="28" t="s">
        <v>7</v>
      </c>
      <c r="K590" s="91">
        <v>6891</v>
      </c>
      <c r="L590" s="94">
        <f t="shared" si="68"/>
        <v>689100</v>
      </c>
      <c r="M590" s="173">
        <f t="shared" si="66"/>
        <v>6.8909999999999999E-2</v>
      </c>
      <c r="N590" s="155">
        <v>6</v>
      </c>
      <c r="O590" s="158">
        <f t="shared" si="69"/>
        <v>41346</v>
      </c>
      <c r="P590" s="155">
        <v>155.01382000000001</v>
      </c>
      <c r="Q590" s="158">
        <f t="shared" si="65"/>
        <v>1068200.2336200001</v>
      </c>
      <c r="R590" s="133">
        <f t="shared" si="67"/>
        <v>0.10682002336200001</v>
      </c>
      <c r="S590" s="28" t="s">
        <v>1497</v>
      </c>
      <c r="T590" s="48" t="s">
        <v>1475</v>
      </c>
      <c r="AA590"/>
    </row>
    <row r="591" spans="1:27" s="48" customFormat="1" ht="12.75" x14ac:dyDescent="0.2">
      <c r="A591" s="24" t="s">
        <v>1502</v>
      </c>
      <c r="B591" s="174">
        <v>44652</v>
      </c>
      <c r="C591" s="28">
        <v>1030</v>
      </c>
      <c r="D591" s="28">
        <v>5002418</v>
      </c>
      <c r="E591" s="48" t="s">
        <v>1111</v>
      </c>
      <c r="F591" s="29" t="s">
        <v>424</v>
      </c>
      <c r="G591" s="29" t="s">
        <v>265</v>
      </c>
      <c r="H591" s="48" t="s">
        <v>1128</v>
      </c>
      <c r="I591" s="28">
        <v>100</v>
      </c>
      <c r="J591" s="28" t="s">
        <v>7</v>
      </c>
      <c r="K591" s="91">
        <v>6909</v>
      </c>
      <c r="L591" s="94">
        <f t="shared" si="68"/>
        <v>690900</v>
      </c>
      <c r="M591" s="173">
        <f t="shared" si="66"/>
        <v>6.9089999999999999E-2</v>
      </c>
      <c r="N591" s="155">
        <v>6</v>
      </c>
      <c r="O591" s="158">
        <f t="shared" si="69"/>
        <v>41454</v>
      </c>
      <c r="P591" s="155">
        <v>155.01382000000001</v>
      </c>
      <c r="Q591" s="158">
        <f t="shared" si="65"/>
        <v>1070990.4823800002</v>
      </c>
      <c r="R591" s="133">
        <f t="shared" si="67"/>
        <v>0.10709904823800001</v>
      </c>
      <c r="S591" s="28" t="s">
        <v>1497</v>
      </c>
      <c r="T591" s="48" t="s">
        <v>1475</v>
      </c>
      <c r="AA591"/>
    </row>
    <row r="592" spans="1:27" s="48" customFormat="1" ht="12.75" x14ac:dyDescent="0.2">
      <c r="A592" s="24" t="s">
        <v>1502</v>
      </c>
      <c r="B592" s="174">
        <v>44652</v>
      </c>
      <c r="C592" s="28">
        <v>1030</v>
      </c>
      <c r="D592" s="28">
        <v>5000141</v>
      </c>
      <c r="E592" s="48" t="s">
        <v>300</v>
      </c>
      <c r="F592" s="29" t="s">
        <v>424</v>
      </c>
      <c r="G592" s="29" t="s">
        <v>1507</v>
      </c>
      <c r="H592" s="48" t="s">
        <v>1118</v>
      </c>
      <c r="I592" s="28">
        <v>1</v>
      </c>
      <c r="J592" s="28" t="s">
        <v>7</v>
      </c>
      <c r="K592" s="91">
        <v>24540</v>
      </c>
      <c r="L592" s="94">
        <f t="shared" si="68"/>
        <v>24540</v>
      </c>
      <c r="M592" s="173">
        <f t="shared" si="66"/>
        <v>2.454E-3</v>
      </c>
      <c r="N592" s="155">
        <v>1.87</v>
      </c>
      <c r="O592" s="158">
        <f t="shared" ref="O592:O616" si="70">+K592*N592</f>
        <v>45889.8</v>
      </c>
      <c r="P592" s="155">
        <v>23.163321978913221</v>
      </c>
      <c r="Q592" s="158">
        <f t="shared" si="65"/>
        <v>568427.92136253044</v>
      </c>
      <c r="R592" s="133">
        <f t="shared" si="67"/>
        <v>5.6842792136253047E-2</v>
      </c>
      <c r="S592" s="28" t="s">
        <v>1497</v>
      </c>
      <c r="T592" s="48" t="s">
        <v>1475</v>
      </c>
      <c r="AA592"/>
    </row>
    <row r="593" spans="1:27" s="48" customFormat="1" ht="12.75" x14ac:dyDescent="0.2">
      <c r="A593" s="24" t="s">
        <v>1502</v>
      </c>
      <c r="B593" s="174">
        <v>44652</v>
      </c>
      <c r="C593" s="28">
        <v>1030</v>
      </c>
      <c r="D593" s="28">
        <v>5002516</v>
      </c>
      <c r="E593" s="48" t="s">
        <v>361</v>
      </c>
      <c r="F593" s="29" t="s">
        <v>424</v>
      </c>
      <c r="G593" s="29" t="s">
        <v>1507</v>
      </c>
      <c r="H593" s="48" t="s">
        <v>1127</v>
      </c>
      <c r="I593" s="28">
        <v>1</v>
      </c>
      <c r="J593" s="28" t="s">
        <v>7</v>
      </c>
      <c r="K593" s="91">
        <v>65265</v>
      </c>
      <c r="L593" s="94">
        <f t="shared" si="68"/>
        <v>65265</v>
      </c>
      <c r="M593" s="173">
        <f t="shared" si="66"/>
        <v>6.5265000000000002E-3</v>
      </c>
      <c r="N593" s="155">
        <v>1.3320000000000001</v>
      </c>
      <c r="O593" s="158">
        <f t="shared" si="70"/>
        <v>86932.98000000001</v>
      </c>
      <c r="P593" s="155">
        <v>55.837698237885469</v>
      </c>
      <c r="Q593" s="158">
        <f t="shared" si="65"/>
        <v>3644247.3754955949</v>
      </c>
      <c r="R593" s="133">
        <f t="shared" si="67"/>
        <v>0.36442473754955951</v>
      </c>
      <c r="S593" s="28" t="s">
        <v>1497</v>
      </c>
      <c r="T593" s="48" t="s">
        <v>1475</v>
      </c>
      <c r="AA593"/>
    </row>
    <row r="594" spans="1:27" s="48" customFormat="1" ht="12.75" x14ac:dyDescent="0.2">
      <c r="A594" s="24" t="s">
        <v>1502</v>
      </c>
      <c r="B594" s="174">
        <v>44652</v>
      </c>
      <c r="C594" s="28">
        <v>1030</v>
      </c>
      <c r="D594" s="28">
        <v>5002516</v>
      </c>
      <c r="E594" s="48" t="s">
        <v>361</v>
      </c>
      <c r="F594" s="29" t="s">
        <v>424</v>
      </c>
      <c r="G594" s="29" t="s">
        <v>1507</v>
      </c>
      <c r="H594" s="48" t="s">
        <v>1129</v>
      </c>
      <c r="I594" s="28">
        <v>1</v>
      </c>
      <c r="J594" s="28" t="s">
        <v>7</v>
      </c>
      <c r="K594" s="91">
        <v>64833</v>
      </c>
      <c r="L594" s="94">
        <f t="shared" si="68"/>
        <v>64833</v>
      </c>
      <c r="M594" s="173">
        <f t="shared" si="66"/>
        <v>6.4833E-3</v>
      </c>
      <c r="N594" s="155">
        <v>1.3320000000000001</v>
      </c>
      <c r="O594" s="158">
        <f t="shared" si="70"/>
        <v>86357.556000000011</v>
      </c>
      <c r="P594" s="155">
        <v>55.837698237885469</v>
      </c>
      <c r="Q594" s="158">
        <f t="shared" si="65"/>
        <v>3620125.4898568285</v>
      </c>
      <c r="R594" s="133">
        <f t="shared" si="67"/>
        <v>0.36201254898568286</v>
      </c>
      <c r="S594" s="28" t="s">
        <v>1497</v>
      </c>
      <c r="T594" s="48" t="s">
        <v>1475</v>
      </c>
      <c r="AA594"/>
    </row>
    <row r="595" spans="1:27" s="48" customFormat="1" ht="12.75" x14ac:dyDescent="0.2">
      <c r="A595" s="24" t="s">
        <v>1502</v>
      </c>
      <c r="B595" s="174">
        <v>44652</v>
      </c>
      <c r="C595" s="28">
        <v>1030</v>
      </c>
      <c r="D595" s="28">
        <v>5002516</v>
      </c>
      <c r="E595" s="48" t="s">
        <v>361</v>
      </c>
      <c r="F595" s="29" t="s">
        <v>424</v>
      </c>
      <c r="G595" s="29" t="s">
        <v>1507</v>
      </c>
      <c r="H595" s="48" t="s">
        <v>1130</v>
      </c>
      <c r="I595" s="28">
        <v>1</v>
      </c>
      <c r="J595" s="28" t="s">
        <v>7</v>
      </c>
      <c r="K595" s="91">
        <v>64935</v>
      </c>
      <c r="L595" s="94">
        <f t="shared" si="68"/>
        <v>64935</v>
      </c>
      <c r="M595" s="173">
        <f t="shared" si="66"/>
        <v>6.4935000000000001E-3</v>
      </c>
      <c r="N595" s="155">
        <v>1.3320000000000001</v>
      </c>
      <c r="O595" s="158">
        <f t="shared" si="70"/>
        <v>86493.42</v>
      </c>
      <c r="P595" s="155">
        <v>55.837698237885469</v>
      </c>
      <c r="Q595" s="158">
        <f t="shared" si="65"/>
        <v>3625820.9350770931</v>
      </c>
      <c r="R595" s="133">
        <f t="shared" si="67"/>
        <v>0.36258209350770931</v>
      </c>
      <c r="S595" s="28" t="s">
        <v>1497</v>
      </c>
      <c r="T595" s="48" t="s">
        <v>1475</v>
      </c>
      <c r="AA595"/>
    </row>
    <row r="596" spans="1:27" s="48" customFormat="1" ht="12.75" x14ac:dyDescent="0.2">
      <c r="A596" s="24" t="s">
        <v>1502</v>
      </c>
      <c r="B596" s="174">
        <v>44652</v>
      </c>
      <c r="C596" s="28">
        <v>1030</v>
      </c>
      <c r="D596" s="28">
        <v>5001441</v>
      </c>
      <c r="E596" s="48" t="s">
        <v>362</v>
      </c>
      <c r="F596" s="29" t="s">
        <v>424</v>
      </c>
      <c r="G596" s="29" t="s">
        <v>1507</v>
      </c>
      <c r="H596" s="48" t="s">
        <v>1144</v>
      </c>
      <c r="I596" s="28">
        <v>1</v>
      </c>
      <c r="J596" s="28" t="s">
        <v>7</v>
      </c>
      <c r="K596" s="91">
        <v>32669</v>
      </c>
      <c r="L596" s="94">
        <f t="shared" si="68"/>
        <v>32669</v>
      </c>
      <c r="M596" s="173">
        <f t="shared" si="66"/>
        <v>3.2669000000000001E-3</v>
      </c>
      <c r="N596" s="155">
        <v>0.71</v>
      </c>
      <c r="O596" s="158">
        <f t="shared" si="70"/>
        <v>23194.989999999998</v>
      </c>
      <c r="P596" s="155">
        <v>180.4196586419753</v>
      </c>
      <c r="Q596" s="158">
        <f t="shared" si="65"/>
        <v>5894129.8281746907</v>
      </c>
      <c r="R596" s="133">
        <f t="shared" si="67"/>
        <v>0.58941298281746912</v>
      </c>
      <c r="S596" s="28" t="s">
        <v>1497</v>
      </c>
      <c r="T596" s="48" t="s">
        <v>1475</v>
      </c>
      <c r="AA596"/>
    </row>
    <row r="597" spans="1:27" s="48" customFormat="1" ht="12.75" x14ac:dyDescent="0.2">
      <c r="A597" s="24" t="s">
        <v>1502</v>
      </c>
      <c r="B597" s="174">
        <v>44652</v>
      </c>
      <c r="C597" s="28">
        <v>1030</v>
      </c>
      <c r="D597" s="28">
        <v>5001441</v>
      </c>
      <c r="E597" s="48" t="s">
        <v>362</v>
      </c>
      <c r="F597" s="29" t="s">
        <v>424</v>
      </c>
      <c r="G597" s="29" t="s">
        <v>1507</v>
      </c>
      <c r="H597" s="48" t="s">
        <v>1145</v>
      </c>
      <c r="I597" s="28">
        <v>1</v>
      </c>
      <c r="J597" s="28" t="s">
        <v>7</v>
      </c>
      <c r="K597" s="91">
        <v>32453</v>
      </c>
      <c r="L597" s="94">
        <f t="shared" si="68"/>
        <v>32453</v>
      </c>
      <c r="M597" s="173">
        <f t="shared" si="66"/>
        <v>3.2453E-3</v>
      </c>
      <c r="N597" s="155">
        <v>0.71</v>
      </c>
      <c r="O597" s="158">
        <f t="shared" si="70"/>
        <v>23041.629999999997</v>
      </c>
      <c r="P597" s="155">
        <v>180.4196586419753</v>
      </c>
      <c r="Q597" s="158">
        <f t="shared" si="65"/>
        <v>5855159.1819080245</v>
      </c>
      <c r="R597" s="133">
        <f t="shared" si="67"/>
        <v>0.5855159181908024</v>
      </c>
      <c r="S597" s="28" t="s">
        <v>1497</v>
      </c>
      <c r="T597" s="48" t="s">
        <v>1475</v>
      </c>
      <c r="AA597"/>
    </row>
    <row r="598" spans="1:27" s="48" customFormat="1" ht="12.75" x14ac:dyDescent="0.2">
      <c r="A598" s="24" t="s">
        <v>1502</v>
      </c>
      <c r="B598" s="174">
        <v>44652</v>
      </c>
      <c r="C598" s="28">
        <v>1030</v>
      </c>
      <c r="D598" s="28">
        <v>5001101</v>
      </c>
      <c r="E598" s="48" t="s">
        <v>363</v>
      </c>
      <c r="F598" s="29" t="s">
        <v>424</v>
      </c>
      <c r="G598" s="29" t="s">
        <v>1507</v>
      </c>
      <c r="H598" s="48" t="s">
        <v>1119</v>
      </c>
      <c r="I598" s="28">
        <v>1</v>
      </c>
      <c r="J598" s="28" t="s">
        <v>7</v>
      </c>
      <c r="K598" s="91">
        <v>24680</v>
      </c>
      <c r="L598" s="94">
        <f t="shared" si="68"/>
        <v>24680</v>
      </c>
      <c r="M598" s="173">
        <f t="shared" si="66"/>
        <v>2.4680000000000001E-3</v>
      </c>
      <c r="N598" s="155">
        <v>1.62</v>
      </c>
      <c r="O598" s="158">
        <f t="shared" si="70"/>
        <v>39981.600000000006</v>
      </c>
      <c r="P598" s="155">
        <v>45.893999801744648</v>
      </c>
      <c r="Q598" s="158">
        <f t="shared" si="65"/>
        <v>1132663.9151070579</v>
      </c>
      <c r="R598" s="133">
        <f t="shared" si="67"/>
        <v>0.11326639151070579</v>
      </c>
      <c r="S598" s="28" t="s">
        <v>1497</v>
      </c>
      <c r="T598" s="48" t="s">
        <v>1475</v>
      </c>
      <c r="AA598"/>
    </row>
    <row r="599" spans="1:27" s="48" customFormat="1" ht="12.75" x14ac:dyDescent="0.2">
      <c r="A599" s="24" t="s">
        <v>1502</v>
      </c>
      <c r="B599" s="174">
        <v>44652</v>
      </c>
      <c r="C599" s="28">
        <v>1030</v>
      </c>
      <c r="D599" s="28">
        <v>5001101</v>
      </c>
      <c r="E599" s="48" t="s">
        <v>363</v>
      </c>
      <c r="F599" s="29" t="s">
        <v>424</v>
      </c>
      <c r="G599" s="29" t="s">
        <v>1507</v>
      </c>
      <c r="H599" s="48" t="s">
        <v>1121</v>
      </c>
      <c r="I599" s="28">
        <v>1</v>
      </c>
      <c r="J599" s="28" t="s">
        <v>7</v>
      </c>
      <c r="K599" s="91">
        <v>24560</v>
      </c>
      <c r="L599" s="94">
        <f t="shared" si="68"/>
        <v>24560</v>
      </c>
      <c r="M599" s="173">
        <f t="shared" si="66"/>
        <v>2.4559999999999998E-3</v>
      </c>
      <c r="N599" s="155">
        <v>1.62</v>
      </c>
      <c r="O599" s="158">
        <f t="shared" si="70"/>
        <v>39787.200000000004</v>
      </c>
      <c r="P599" s="155">
        <v>45.893999801744648</v>
      </c>
      <c r="Q599" s="158">
        <f t="shared" si="65"/>
        <v>1127156.6351308485</v>
      </c>
      <c r="R599" s="133">
        <f t="shared" si="67"/>
        <v>0.11271566351308485</v>
      </c>
      <c r="S599" s="28" t="s">
        <v>1497</v>
      </c>
      <c r="T599" s="48" t="s">
        <v>1475</v>
      </c>
      <c r="AA599"/>
    </row>
    <row r="600" spans="1:27" s="48" customFormat="1" ht="12.75" x14ac:dyDescent="0.2">
      <c r="A600" s="24" t="s">
        <v>1502</v>
      </c>
      <c r="B600" s="174">
        <v>44652</v>
      </c>
      <c r="C600" s="28">
        <v>1030</v>
      </c>
      <c r="D600" s="28">
        <v>5001101</v>
      </c>
      <c r="E600" s="48" t="s">
        <v>363</v>
      </c>
      <c r="F600" s="29" t="s">
        <v>424</v>
      </c>
      <c r="G600" s="29" t="s">
        <v>1507</v>
      </c>
      <c r="H600" s="48" t="s">
        <v>1122</v>
      </c>
      <c r="I600" s="28">
        <v>1</v>
      </c>
      <c r="J600" s="28" t="s">
        <v>7</v>
      </c>
      <c r="K600" s="91">
        <v>24620</v>
      </c>
      <c r="L600" s="94">
        <f t="shared" si="68"/>
        <v>24620</v>
      </c>
      <c r="M600" s="173">
        <f t="shared" si="66"/>
        <v>2.4620000000000002E-3</v>
      </c>
      <c r="N600" s="155">
        <v>1.62</v>
      </c>
      <c r="O600" s="158">
        <f t="shared" si="70"/>
        <v>39884.400000000001</v>
      </c>
      <c r="P600" s="155">
        <v>45.893999801744648</v>
      </c>
      <c r="Q600" s="158">
        <f t="shared" si="65"/>
        <v>1129910.2751189533</v>
      </c>
      <c r="R600" s="133">
        <f t="shared" si="67"/>
        <v>0.11299102751189533</v>
      </c>
      <c r="S600" s="28" t="s">
        <v>1497</v>
      </c>
      <c r="T600" s="48" t="s">
        <v>1475</v>
      </c>
      <c r="AA600"/>
    </row>
    <row r="601" spans="1:27" s="48" customFormat="1" ht="12.75" x14ac:dyDescent="0.2">
      <c r="A601" s="24" t="s">
        <v>1502</v>
      </c>
      <c r="B601" s="174">
        <v>44652</v>
      </c>
      <c r="C601" s="28">
        <v>1030</v>
      </c>
      <c r="D601" s="28">
        <v>5001101</v>
      </c>
      <c r="E601" s="48" t="s">
        <v>363</v>
      </c>
      <c r="F601" s="29" t="s">
        <v>424</v>
      </c>
      <c r="G601" s="29" t="s">
        <v>1507</v>
      </c>
      <c r="H601" s="48" t="s">
        <v>1124</v>
      </c>
      <c r="I601" s="28">
        <v>1</v>
      </c>
      <c r="J601" s="28" t="s">
        <v>7</v>
      </c>
      <c r="K601" s="91">
        <v>24620</v>
      </c>
      <c r="L601" s="94">
        <f t="shared" si="68"/>
        <v>24620</v>
      </c>
      <c r="M601" s="173">
        <f t="shared" si="66"/>
        <v>2.4620000000000002E-3</v>
      </c>
      <c r="N601" s="155">
        <v>1.62</v>
      </c>
      <c r="O601" s="158">
        <f t="shared" si="70"/>
        <v>39884.400000000001</v>
      </c>
      <c r="P601" s="155">
        <v>45.893999801744648</v>
      </c>
      <c r="Q601" s="158">
        <f t="shared" si="65"/>
        <v>1129910.2751189533</v>
      </c>
      <c r="R601" s="133">
        <f t="shared" si="67"/>
        <v>0.11299102751189533</v>
      </c>
      <c r="S601" s="28" t="s">
        <v>1497</v>
      </c>
      <c r="T601" s="48" t="s">
        <v>1475</v>
      </c>
      <c r="AA601"/>
    </row>
    <row r="602" spans="1:27" s="48" customFormat="1" ht="12.75" x14ac:dyDescent="0.2">
      <c r="A602" s="24" t="s">
        <v>1502</v>
      </c>
      <c r="B602" s="174">
        <v>44652</v>
      </c>
      <c r="C602" s="28">
        <v>1030</v>
      </c>
      <c r="D602" s="28">
        <v>5001151</v>
      </c>
      <c r="E602" s="48" t="s">
        <v>1112</v>
      </c>
      <c r="F602" s="29" t="s">
        <v>424</v>
      </c>
      <c r="G602" s="29" t="s">
        <v>1507</v>
      </c>
      <c r="H602" s="48" t="s">
        <v>1126</v>
      </c>
      <c r="I602" s="28">
        <v>1</v>
      </c>
      <c r="J602" s="28" t="s">
        <v>7</v>
      </c>
      <c r="K602" s="91">
        <v>13920</v>
      </c>
      <c r="L602" s="94">
        <f t="shared" si="68"/>
        <v>13920</v>
      </c>
      <c r="M602" s="173">
        <f t="shared" si="66"/>
        <v>1.392E-3</v>
      </c>
      <c r="N602" s="155">
        <v>1.4878350515463918</v>
      </c>
      <c r="O602" s="158">
        <f t="shared" si="70"/>
        <v>20710.663917525773</v>
      </c>
      <c r="P602" s="155">
        <v>183.52329999999995</v>
      </c>
      <c r="Q602" s="158">
        <f t="shared" si="65"/>
        <v>2554644.3359999992</v>
      </c>
      <c r="R602" s="133">
        <f t="shared" si="67"/>
        <v>0.25546443359999993</v>
      </c>
      <c r="S602" s="28" t="s">
        <v>1497</v>
      </c>
      <c r="T602" s="48" t="s">
        <v>1475</v>
      </c>
      <c r="AA602"/>
    </row>
    <row r="603" spans="1:27" s="48" customFormat="1" ht="12.75" x14ac:dyDescent="0.2">
      <c r="A603" s="24" t="s">
        <v>1502</v>
      </c>
      <c r="B603" s="174">
        <v>44652</v>
      </c>
      <c r="C603" s="28">
        <v>1030</v>
      </c>
      <c r="D603" s="28">
        <v>8000263</v>
      </c>
      <c r="E603" s="48" t="s">
        <v>1113</v>
      </c>
      <c r="F603" s="29" t="s">
        <v>424</v>
      </c>
      <c r="G603" s="29" t="s">
        <v>1507</v>
      </c>
      <c r="H603" s="48" t="s">
        <v>1126</v>
      </c>
      <c r="I603" s="28">
        <v>1</v>
      </c>
      <c r="J603" s="28" t="s">
        <v>7</v>
      </c>
      <c r="K603" s="91">
        <v>2550</v>
      </c>
      <c r="L603" s="94">
        <f t="shared" si="68"/>
        <v>2550</v>
      </c>
      <c r="M603" s="173">
        <f t="shared" si="66"/>
        <v>2.5500000000000002E-4</v>
      </c>
      <c r="N603" s="155">
        <v>1.39</v>
      </c>
      <c r="O603" s="158">
        <f t="shared" si="70"/>
        <v>3544.4999999999995</v>
      </c>
      <c r="P603" s="155">
        <v>21.046249999999997</v>
      </c>
      <c r="Q603" s="158">
        <f t="shared" si="65"/>
        <v>53667.937499999993</v>
      </c>
      <c r="R603" s="133">
        <f t="shared" si="67"/>
        <v>5.3667937499999995E-3</v>
      </c>
      <c r="S603" s="28" t="s">
        <v>1497</v>
      </c>
      <c r="T603" s="48" t="s">
        <v>1475</v>
      </c>
      <c r="AA603"/>
    </row>
    <row r="604" spans="1:27" s="48" customFormat="1" ht="12.75" x14ac:dyDescent="0.2">
      <c r="A604" s="24" t="s">
        <v>1502</v>
      </c>
      <c r="B604" s="174">
        <v>44652</v>
      </c>
      <c r="C604" s="28">
        <v>1030</v>
      </c>
      <c r="D604" s="28">
        <v>5001101</v>
      </c>
      <c r="E604" s="48" t="s">
        <v>363</v>
      </c>
      <c r="F604" s="29" t="s">
        <v>424</v>
      </c>
      <c r="G604" s="29" t="s">
        <v>1507</v>
      </c>
      <c r="H604" s="48" t="s">
        <v>1131</v>
      </c>
      <c r="I604" s="28">
        <v>1</v>
      </c>
      <c r="J604" s="28" t="s">
        <v>7</v>
      </c>
      <c r="K604" s="91">
        <v>24680</v>
      </c>
      <c r="L604" s="94">
        <f t="shared" si="68"/>
        <v>24680</v>
      </c>
      <c r="M604" s="173">
        <f t="shared" si="66"/>
        <v>2.4680000000000001E-3</v>
      </c>
      <c r="N604" s="155">
        <v>1.62</v>
      </c>
      <c r="O604" s="158">
        <f t="shared" si="70"/>
        <v>39981.600000000006</v>
      </c>
      <c r="P604" s="155">
        <v>45.893999801744648</v>
      </c>
      <c r="Q604" s="158">
        <f t="shared" si="65"/>
        <v>1132663.9151070579</v>
      </c>
      <c r="R604" s="133">
        <f t="shared" si="67"/>
        <v>0.11326639151070579</v>
      </c>
      <c r="S604" s="28" t="s">
        <v>1497</v>
      </c>
      <c r="T604" s="48" t="s">
        <v>1475</v>
      </c>
      <c r="AA604"/>
    </row>
    <row r="605" spans="1:27" s="48" customFormat="1" ht="12.75" x14ac:dyDescent="0.2">
      <c r="A605" s="24" t="s">
        <v>1502</v>
      </c>
      <c r="B605" s="174">
        <v>44652</v>
      </c>
      <c r="C605" s="28">
        <v>1030</v>
      </c>
      <c r="D605" s="28">
        <v>5001101</v>
      </c>
      <c r="E605" s="48" t="s">
        <v>363</v>
      </c>
      <c r="F605" s="29" t="s">
        <v>424</v>
      </c>
      <c r="G605" s="29" t="s">
        <v>1507</v>
      </c>
      <c r="H605" s="48" t="s">
        <v>1132</v>
      </c>
      <c r="I605" s="28">
        <v>1</v>
      </c>
      <c r="J605" s="28" t="s">
        <v>7</v>
      </c>
      <c r="K605" s="91">
        <v>24680</v>
      </c>
      <c r="L605" s="94">
        <f t="shared" si="68"/>
        <v>24680</v>
      </c>
      <c r="M605" s="173">
        <f t="shared" si="66"/>
        <v>2.4680000000000001E-3</v>
      </c>
      <c r="N605" s="155">
        <v>1.62</v>
      </c>
      <c r="O605" s="158">
        <f t="shared" si="70"/>
        <v>39981.600000000006</v>
      </c>
      <c r="P605" s="155">
        <v>45.893999801744648</v>
      </c>
      <c r="Q605" s="158">
        <f t="shared" si="65"/>
        <v>1132663.9151070579</v>
      </c>
      <c r="R605" s="133">
        <f t="shared" si="67"/>
        <v>0.11326639151070579</v>
      </c>
      <c r="S605" s="28" t="s">
        <v>1497</v>
      </c>
      <c r="T605" s="48" t="s">
        <v>1475</v>
      </c>
      <c r="AA605"/>
    </row>
    <row r="606" spans="1:27" s="48" customFormat="1" ht="12.75" x14ac:dyDescent="0.2">
      <c r="A606" s="24" t="s">
        <v>1502</v>
      </c>
      <c r="B606" s="174">
        <v>44652</v>
      </c>
      <c r="C606" s="28">
        <v>1030</v>
      </c>
      <c r="D606" s="28">
        <v>5001101</v>
      </c>
      <c r="E606" s="48" t="s">
        <v>363</v>
      </c>
      <c r="F606" s="29" t="s">
        <v>424</v>
      </c>
      <c r="G606" s="29" t="s">
        <v>1507</v>
      </c>
      <c r="H606" s="48" t="s">
        <v>1133</v>
      </c>
      <c r="I606" s="28">
        <v>1</v>
      </c>
      <c r="J606" s="28" t="s">
        <v>7</v>
      </c>
      <c r="K606" s="91">
        <v>24650</v>
      </c>
      <c r="L606" s="94">
        <f t="shared" si="68"/>
        <v>24650</v>
      </c>
      <c r="M606" s="173">
        <f t="shared" si="66"/>
        <v>2.4650000000000002E-3</v>
      </c>
      <c r="N606" s="155">
        <v>1.62</v>
      </c>
      <c r="O606" s="158">
        <f t="shared" si="70"/>
        <v>39933</v>
      </c>
      <c r="P606" s="155">
        <v>45.893999801744648</v>
      </c>
      <c r="Q606" s="158">
        <f t="shared" si="65"/>
        <v>1131287.0951130055</v>
      </c>
      <c r="R606" s="133">
        <f t="shared" si="67"/>
        <v>0.11312870951130055</v>
      </c>
      <c r="S606" s="28" t="s">
        <v>1497</v>
      </c>
      <c r="T606" s="48" t="s">
        <v>1475</v>
      </c>
      <c r="AA606"/>
    </row>
    <row r="607" spans="1:27" s="48" customFormat="1" ht="12.75" x14ac:dyDescent="0.2">
      <c r="A607" s="24" t="s">
        <v>1502</v>
      </c>
      <c r="B607" s="174">
        <v>44652</v>
      </c>
      <c r="C607" s="28">
        <v>1030</v>
      </c>
      <c r="D607" s="28">
        <v>5001506</v>
      </c>
      <c r="E607" s="48" t="s">
        <v>1114</v>
      </c>
      <c r="F607" s="29" t="s">
        <v>424</v>
      </c>
      <c r="G607" s="29" t="s">
        <v>1507</v>
      </c>
      <c r="H607" s="48" t="s">
        <v>1134</v>
      </c>
      <c r="I607" s="28">
        <v>1</v>
      </c>
      <c r="J607" s="28" t="s">
        <v>7</v>
      </c>
      <c r="K607" s="91">
        <v>16822</v>
      </c>
      <c r="L607" s="94">
        <f t="shared" si="68"/>
        <v>16822</v>
      </c>
      <c r="M607" s="173">
        <f t="shared" si="66"/>
        <v>1.6822E-3</v>
      </c>
      <c r="N607" s="155">
        <v>1.98</v>
      </c>
      <c r="O607" s="158">
        <f t="shared" si="70"/>
        <v>33307.56</v>
      </c>
      <c r="P607" s="155">
        <v>58.92949999999999</v>
      </c>
      <c r="Q607" s="158">
        <f t="shared" si="65"/>
        <v>991312.04899999988</v>
      </c>
      <c r="R607" s="133">
        <f t="shared" si="67"/>
        <v>9.9131204899999992E-2</v>
      </c>
      <c r="S607" s="28" t="s">
        <v>1497</v>
      </c>
      <c r="T607" s="48" t="s">
        <v>1475</v>
      </c>
      <c r="AA607"/>
    </row>
    <row r="608" spans="1:27" s="48" customFormat="1" ht="12.75" x14ac:dyDescent="0.2">
      <c r="A608" s="24" t="s">
        <v>1502</v>
      </c>
      <c r="B608" s="174">
        <v>44652</v>
      </c>
      <c r="C608" s="28">
        <v>1030</v>
      </c>
      <c r="D608" s="28">
        <v>5001506</v>
      </c>
      <c r="E608" s="48" t="s">
        <v>1114</v>
      </c>
      <c r="F608" s="29" t="s">
        <v>424</v>
      </c>
      <c r="G608" s="29" t="s">
        <v>1507</v>
      </c>
      <c r="H608" s="48" t="s">
        <v>1135</v>
      </c>
      <c r="I608" s="28">
        <v>1</v>
      </c>
      <c r="J608" s="28" t="s">
        <v>7</v>
      </c>
      <c r="K608" s="91">
        <v>42082</v>
      </c>
      <c r="L608" s="94">
        <f t="shared" si="68"/>
        <v>42082</v>
      </c>
      <c r="M608" s="173">
        <f t="shared" si="66"/>
        <v>4.2081999999999996E-3</v>
      </c>
      <c r="N608" s="155">
        <v>1.98</v>
      </c>
      <c r="O608" s="158">
        <f t="shared" si="70"/>
        <v>83322.36</v>
      </c>
      <c r="P608" s="155">
        <v>58.92949999999999</v>
      </c>
      <c r="Q608" s="158">
        <f t="shared" si="65"/>
        <v>2479871.2189999996</v>
      </c>
      <c r="R608" s="133">
        <f t="shared" si="67"/>
        <v>0.24798712189999997</v>
      </c>
      <c r="S608" s="28" t="s">
        <v>1497</v>
      </c>
      <c r="T608" s="48" t="s">
        <v>1475</v>
      </c>
      <c r="AA608"/>
    </row>
    <row r="609" spans="1:27" s="48" customFormat="1" ht="12.75" x14ac:dyDescent="0.2">
      <c r="A609" s="24" t="s">
        <v>1502</v>
      </c>
      <c r="B609" s="174">
        <v>44652</v>
      </c>
      <c r="C609" s="28">
        <v>1030</v>
      </c>
      <c r="D609" s="28">
        <v>5001506</v>
      </c>
      <c r="E609" s="48" t="s">
        <v>1114</v>
      </c>
      <c r="F609" s="29" t="s">
        <v>424</v>
      </c>
      <c r="G609" s="29" t="s">
        <v>1507</v>
      </c>
      <c r="H609" s="48" t="s">
        <v>1136</v>
      </c>
      <c r="I609" s="28">
        <v>1</v>
      </c>
      <c r="J609" s="28" t="s">
        <v>7</v>
      </c>
      <c r="K609" s="91">
        <v>42082</v>
      </c>
      <c r="L609" s="94">
        <f t="shared" si="68"/>
        <v>42082</v>
      </c>
      <c r="M609" s="173">
        <f t="shared" si="66"/>
        <v>4.2081999999999996E-3</v>
      </c>
      <c r="N609" s="155">
        <v>1.98</v>
      </c>
      <c r="O609" s="158">
        <f t="shared" si="70"/>
        <v>83322.36</v>
      </c>
      <c r="P609" s="155">
        <v>58.92949999999999</v>
      </c>
      <c r="Q609" s="158">
        <f t="shared" si="65"/>
        <v>2479871.2189999996</v>
      </c>
      <c r="R609" s="133">
        <f t="shared" si="67"/>
        <v>0.24798712189999997</v>
      </c>
      <c r="S609" s="28" t="s">
        <v>1497</v>
      </c>
      <c r="T609" s="48" t="s">
        <v>1475</v>
      </c>
      <c r="AA609"/>
    </row>
    <row r="610" spans="1:27" s="48" customFormat="1" ht="12.75" x14ac:dyDescent="0.2">
      <c r="A610" s="24" t="s">
        <v>1502</v>
      </c>
      <c r="B610" s="174">
        <v>44652</v>
      </c>
      <c r="C610" s="28">
        <v>1030</v>
      </c>
      <c r="D610" s="28">
        <v>5001506</v>
      </c>
      <c r="E610" s="48" t="s">
        <v>1114</v>
      </c>
      <c r="F610" s="29" t="s">
        <v>424</v>
      </c>
      <c r="G610" s="29" t="s">
        <v>1507</v>
      </c>
      <c r="H610" s="48" t="s">
        <v>1137</v>
      </c>
      <c r="I610" s="28">
        <v>1</v>
      </c>
      <c r="J610" s="28" t="s">
        <v>7</v>
      </c>
      <c r="K610" s="91">
        <v>42082</v>
      </c>
      <c r="L610" s="94">
        <f t="shared" si="68"/>
        <v>42082</v>
      </c>
      <c r="M610" s="173">
        <f t="shared" si="66"/>
        <v>4.2081999999999996E-3</v>
      </c>
      <c r="N610" s="155">
        <v>1.98</v>
      </c>
      <c r="O610" s="158">
        <f t="shared" si="70"/>
        <v>83322.36</v>
      </c>
      <c r="P610" s="155">
        <v>58.92949999999999</v>
      </c>
      <c r="Q610" s="158">
        <f t="shared" si="65"/>
        <v>2479871.2189999996</v>
      </c>
      <c r="R610" s="133">
        <f t="shared" si="67"/>
        <v>0.24798712189999997</v>
      </c>
      <c r="S610" s="28" t="s">
        <v>1497</v>
      </c>
      <c r="T610" s="48" t="s">
        <v>1475</v>
      </c>
      <c r="AA610"/>
    </row>
    <row r="611" spans="1:27" s="48" customFormat="1" ht="12.75" x14ac:dyDescent="0.2">
      <c r="A611" s="24" t="s">
        <v>1502</v>
      </c>
      <c r="B611" s="174">
        <v>44652</v>
      </c>
      <c r="C611" s="28">
        <v>1030</v>
      </c>
      <c r="D611" s="28">
        <v>5001506</v>
      </c>
      <c r="E611" s="48" t="s">
        <v>1114</v>
      </c>
      <c r="F611" s="29" t="s">
        <v>424</v>
      </c>
      <c r="G611" s="29" t="s">
        <v>1507</v>
      </c>
      <c r="H611" s="48" t="s">
        <v>1138</v>
      </c>
      <c r="I611" s="28">
        <v>1</v>
      </c>
      <c r="J611" s="28" t="s">
        <v>7</v>
      </c>
      <c r="K611" s="91">
        <v>42118</v>
      </c>
      <c r="L611" s="94">
        <f t="shared" si="68"/>
        <v>42118</v>
      </c>
      <c r="M611" s="173">
        <f t="shared" si="66"/>
        <v>4.2117999999999999E-3</v>
      </c>
      <c r="N611" s="155">
        <v>1.98</v>
      </c>
      <c r="O611" s="158">
        <f t="shared" si="70"/>
        <v>83393.64</v>
      </c>
      <c r="P611" s="155">
        <v>58.92949999999999</v>
      </c>
      <c r="Q611" s="158">
        <f t="shared" si="65"/>
        <v>2481992.6809999994</v>
      </c>
      <c r="R611" s="133">
        <f t="shared" si="67"/>
        <v>0.24819926809999995</v>
      </c>
      <c r="S611" s="28" t="s">
        <v>1497</v>
      </c>
      <c r="T611" s="48" t="s">
        <v>1475</v>
      </c>
      <c r="AA611"/>
    </row>
    <row r="612" spans="1:27" s="48" customFormat="1" ht="12.75" x14ac:dyDescent="0.2">
      <c r="A612" s="24" t="s">
        <v>1502</v>
      </c>
      <c r="B612" s="174">
        <v>44652</v>
      </c>
      <c r="C612" s="28">
        <v>1030</v>
      </c>
      <c r="D612" s="28">
        <v>5000963</v>
      </c>
      <c r="E612" s="48" t="s">
        <v>1115</v>
      </c>
      <c r="F612" s="29" t="s">
        <v>424</v>
      </c>
      <c r="G612" s="29" t="s">
        <v>1507</v>
      </c>
      <c r="H612" s="48" t="s">
        <v>1139</v>
      </c>
      <c r="I612" s="28">
        <v>1</v>
      </c>
      <c r="J612" s="28" t="s">
        <v>7</v>
      </c>
      <c r="K612" s="91">
        <v>24503</v>
      </c>
      <c r="L612" s="94">
        <f t="shared" si="68"/>
        <v>24503</v>
      </c>
      <c r="M612" s="173">
        <f t="shared" si="66"/>
        <v>2.4502999999999999E-3</v>
      </c>
      <c r="N612" s="155">
        <v>1.31</v>
      </c>
      <c r="O612" s="158">
        <f t="shared" si="70"/>
        <v>32098.93</v>
      </c>
      <c r="P612" s="155">
        <v>67.347999999999999</v>
      </c>
      <c r="Q612" s="158">
        <f t="shared" si="65"/>
        <v>1650228.044</v>
      </c>
      <c r="R612" s="133">
        <f t="shared" si="67"/>
        <v>0.1650228044</v>
      </c>
      <c r="S612" s="28" t="s">
        <v>1497</v>
      </c>
      <c r="T612" s="48" t="s">
        <v>1475</v>
      </c>
      <c r="AA612"/>
    </row>
    <row r="613" spans="1:27" s="48" customFormat="1" ht="12.75" x14ac:dyDescent="0.2">
      <c r="A613" s="24" t="s">
        <v>1502</v>
      </c>
      <c r="B613" s="174">
        <v>44652</v>
      </c>
      <c r="C613" s="28">
        <v>1030</v>
      </c>
      <c r="D613" s="28">
        <v>5000963</v>
      </c>
      <c r="E613" s="48" t="s">
        <v>1115</v>
      </c>
      <c r="F613" s="29" t="s">
        <v>424</v>
      </c>
      <c r="G613" s="29" t="s">
        <v>1507</v>
      </c>
      <c r="H613" s="48" t="s">
        <v>1140</v>
      </c>
      <c r="I613" s="28">
        <v>1</v>
      </c>
      <c r="J613" s="28" t="s">
        <v>7</v>
      </c>
      <c r="K613" s="91">
        <v>24683</v>
      </c>
      <c r="L613" s="94">
        <f t="shared" si="68"/>
        <v>24683</v>
      </c>
      <c r="M613" s="173">
        <f t="shared" si="66"/>
        <v>2.4683000000000001E-3</v>
      </c>
      <c r="N613" s="155">
        <v>1.31</v>
      </c>
      <c r="O613" s="158">
        <f t="shared" si="70"/>
        <v>32334.73</v>
      </c>
      <c r="P613" s="155">
        <v>67.347999999999999</v>
      </c>
      <c r="Q613" s="158">
        <f t="shared" si="65"/>
        <v>1662350.6839999999</v>
      </c>
      <c r="R613" s="133">
        <f t="shared" si="67"/>
        <v>0.16623506839999999</v>
      </c>
      <c r="S613" s="28" t="s">
        <v>1497</v>
      </c>
      <c r="T613" s="48" t="s">
        <v>1475</v>
      </c>
      <c r="AA613"/>
    </row>
    <row r="614" spans="1:27" s="48" customFormat="1" ht="12.75" x14ac:dyDescent="0.2">
      <c r="A614" s="24" t="s">
        <v>1502</v>
      </c>
      <c r="B614" s="174">
        <v>44652</v>
      </c>
      <c r="C614" s="28">
        <v>1030</v>
      </c>
      <c r="D614" s="28">
        <v>5000963</v>
      </c>
      <c r="E614" s="48" t="s">
        <v>1115</v>
      </c>
      <c r="F614" s="29" t="s">
        <v>424</v>
      </c>
      <c r="G614" s="29" t="s">
        <v>1507</v>
      </c>
      <c r="H614" s="48" t="s">
        <v>1141</v>
      </c>
      <c r="I614" s="28">
        <v>1</v>
      </c>
      <c r="J614" s="28" t="s">
        <v>7</v>
      </c>
      <c r="K614" s="91">
        <v>24665</v>
      </c>
      <c r="L614" s="94">
        <f t="shared" si="68"/>
        <v>24665</v>
      </c>
      <c r="M614" s="173">
        <f t="shared" si="66"/>
        <v>2.4664999999999999E-3</v>
      </c>
      <c r="N614" s="155">
        <v>1.31</v>
      </c>
      <c r="O614" s="158">
        <f t="shared" si="70"/>
        <v>32311.15</v>
      </c>
      <c r="P614" s="155">
        <v>67.347999999999999</v>
      </c>
      <c r="Q614" s="158">
        <f t="shared" si="65"/>
        <v>1661138.42</v>
      </c>
      <c r="R614" s="133">
        <f t="shared" si="67"/>
        <v>0.16611384199999998</v>
      </c>
      <c r="S614" s="28" t="s">
        <v>1497</v>
      </c>
      <c r="T614" s="48" t="s">
        <v>1475</v>
      </c>
      <c r="AA614"/>
    </row>
    <row r="615" spans="1:27" s="48" customFormat="1" ht="12.75" x14ac:dyDescent="0.2">
      <c r="A615" s="24" t="s">
        <v>1502</v>
      </c>
      <c r="B615" s="174">
        <v>44652</v>
      </c>
      <c r="C615" s="28">
        <v>1030</v>
      </c>
      <c r="D615" s="28">
        <v>5005764</v>
      </c>
      <c r="E615" s="48" t="s">
        <v>1116</v>
      </c>
      <c r="F615" s="29" t="s">
        <v>424</v>
      </c>
      <c r="G615" s="29" t="s">
        <v>1507</v>
      </c>
      <c r="H615" s="48" t="s">
        <v>1142</v>
      </c>
      <c r="I615" s="28">
        <v>1</v>
      </c>
      <c r="J615" s="28" t="s">
        <v>7</v>
      </c>
      <c r="K615" s="91">
        <v>24665</v>
      </c>
      <c r="L615" s="94">
        <f t="shared" si="68"/>
        <v>24665</v>
      </c>
      <c r="M615" s="173">
        <f t="shared" si="66"/>
        <v>2.4664999999999999E-3</v>
      </c>
      <c r="N615" s="155">
        <v>1.738</v>
      </c>
      <c r="O615" s="158">
        <f t="shared" si="70"/>
        <v>42867.77</v>
      </c>
      <c r="P615" s="155">
        <v>51.738015560722587</v>
      </c>
      <c r="Q615" s="158">
        <f t="shared" si="65"/>
        <v>1276118.1538052226</v>
      </c>
      <c r="R615" s="133">
        <f t="shared" si="67"/>
        <v>0.12761181538052227</v>
      </c>
      <c r="S615" s="28" t="s">
        <v>1497</v>
      </c>
      <c r="T615" s="48" t="s">
        <v>1475</v>
      </c>
      <c r="AA615"/>
    </row>
    <row r="616" spans="1:27" s="48" customFormat="1" ht="12.75" x14ac:dyDescent="0.2">
      <c r="A616" s="24" t="s">
        <v>1502</v>
      </c>
      <c r="B616" s="174">
        <v>44652</v>
      </c>
      <c r="C616" s="28">
        <v>1030</v>
      </c>
      <c r="D616" s="28">
        <v>5001105</v>
      </c>
      <c r="E616" s="48" t="s">
        <v>1117</v>
      </c>
      <c r="F616" s="29" t="s">
        <v>424</v>
      </c>
      <c r="G616" s="29" t="s">
        <v>1507</v>
      </c>
      <c r="H616" s="48" t="s">
        <v>1143</v>
      </c>
      <c r="I616" s="28">
        <v>1</v>
      </c>
      <c r="J616" s="28" t="s">
        <v>7</v>
      </c>
      <c r="K616" s="91">
        <v>9873</v>
      </c>
      <c r="L616" s="94">
        <f t="shared" si="68"/>
        <v>9873</v>
      </c>
      <c r="M616" s="173">
        <f t="shared" si="66"/>
        <v>9.8729999999999998E-4</v>
      </c>
      <c r="N616" s="155">
        <v>2.06</v>
      </c>
      <c r="O616" s="158">
        <f t="shared" si="70"/>
        <v>20338.38</v>
      </c>
      <c r="P616" s="155">
        <v>83.984999999999999</v>
      </c>
      <c r="Q616" s="158">
        <f t="shared" si="65"/>
        <v>829183.90500000003</v>
      </c>
      <c r="R616" s="133">
        <f t="shared" si="67"/>
        <v>8.2918390500000008E-2</v>
      </c>
      <c r="S616" s="28" t="s">
        <v>1497</v>
      </c>
      <c r="T616" s="48" t="s">
        <v>1475</v>
      </c>
      <c r="AA616"/>
    </row>
    <row r="617" spans="1:27" s="16" customFormat="1" ht="12.75" x14ac:dyDescent="0.2">
      <c r="A617" s="24" t="s">
        <v>1502</v>
      </c>
      <c r="B617" s="174">
        <v>44652</v>
      </c>
      <c r="C617" s="23" t="s">
        <v>1159</v>
      </c>
      <c r="D617" s="106">
        <v>5000136</v>
      </c>
      <c r="E617" s="24" t="s">
        <v>357</v>
      </c>
      <c r="F617" s="29" t="s">
        <v>424</v>
      </c>
      <c r="G617" s="29" t="s">
        <v>265</v>
      </c>
      <c r="H617" s="24" t="s">
        <v>1266</v>
      </c>
      <c r="I617" s="15">
        <v>10</v>
      </c>
      <c r="J617" s="24" t="s">
        <v>3</v>
      </c>
      <c r="K617" s="35">
        <v>58800</v>
      </c>
      <c r="L617" s="17">
        <f>K617*I617</f>
        <v>588000</v>
      </c>
      <c r="M617" s="173">
        <f t="shared" si="66"/>
        <v>5.8799999999999998E-2</v>
      </c>
      <c r="N617" s="160">
        <v>0.63740000000000008</v>
      </c>
      <c r="O617" s="162">
        <f>+K617*N617</f>
        <v>37479.120000000003</v>
      </c>
      <c r="P617" s="160">
        <v>18.625</v>
      </c>
      <c r="Q617" s="162">
        <f t="shared" si="65"/>
        <v>1095150</v>
      </c>
      <c r="R617" s="133">
        <f t="shared" si="67"/>
        <v>0.109515</v>
      </c>
      <c r="S617" s="23" t="s">
        <v>1499</v>
      </c>
      <c r="T617" s="24" t="s">
        <v>347</v>
      </c>
      <c r="AA617"/>
    </row>
    <row r="618" spans="1:27" s="16" customFormat="1" ht="12.75" x14ac:dyDescent="0.2">
      <c r="A618" s="24" t="s">
        <v>1502</v>
      </c>
      <c r="B618" s="174">
        <v>44652</v>
      </c>
      <c r="C618" s="23" t="s">
        <v>1159</v>
      </c>
      <c r="D618" s="106">
        <v>5000216</v>
      </c>
      <c r="E618" s="24" t="s">
        <v>1203</v>
      </c>
      <c r="F618" s="29" t="s">
        <v>424</v>
      </c>
      <c r="G618" s="29" t="s">
        <v>265</v>
      </c>
      <c r="H618" s="24" t="s">
        <v>1332</v>
      </c>
      <c r="I618" s="15">
        <v>6</v>
      </c>
      <c r="J618" s="24" t="s">
        <v>3</v>
      </c>
      <c r="K618" s="35">
        <v>48600</v>
      </c>
      <c r="L618" s="17">
        <f>K618*I618</f>
        <v>291600</v>
      </c>
      <c r="M618" s="173">
        <f t="shared" si="66"/>
        <v>2.9159999999999998E-2</v>
      </c>
      <c r="N618" s="160">
        <v>0.52469999999999994</v>
      </c>
      <c r="O618" s="162">
        <f t="shared" ref="O618:O619" si="71">+K618*N618</f>
        <v>25500.42</v>
      </c>
      <c r="P618" s="160">
        <v>44.699999999999996</v>
      </c>
      <c r="Q618" s="162">
        <f t="shared" si="65"/>
        <v>2172420</v>
      </c>
      <c r="R618" s="133">
        <f t="shared" si="67"/>
        <v>0.21724199999999999</v>
      </c>
      <c r="S618" s="23" t="s">
        <v>1499</v>
      </c>
      <c r="T618" s="24" t="s">
        <v>347</v>
      </c>
      <c r="AA618"/>
    </row>
    <row r="619" spans="1:27" s="16" customFormat="1" ht="12.75" x14ac:dyDescent="0.2">
      <c r="A619" s="24" t="s">
        <v>1502</v>
      </c>
      <c r="B619" s="174">
        <v>44652</v>
      </c>
      <c r="C619" s="23" t="s">
        <v>1159</v>
      </c>
      <c r="D619" s="106">
        <v>5000217</v>
      </c>
      <c r="E619" s="24" t="s">
        <v>352</v>
      </c>
      <c r="F619" s="29" t="s">
        <v>424</v>
      </c>
      <c r="G619" s="29" t="s">
        <v>265</v>
      </c>
      <c r="H619" s="24" t="s">
        <v>1340</v>
      </c>
      <c r="I619" s="15">
        <v>6</v>
      </c>
      <c r="J619" s="24" t="s">
        <v>3</v>
      </c>
      <c r="K619" s="35">
        <v>65000</v>
      </c>
      <c r="L619" s="17">
        <f>K619*I619</f>
        <v>390000</v>
      </c>
      <c r="M619" s="173">
        <f t="shared" si="66"/>
        <v>3.9E-2</v>
      </c>
      <c r="N619" s="160">
        <v>0.52469999999999994</v>
      </c>
      <c r="O619" s="162">
        <f t="shared" si="71"/>
        <v>34105.5</v>
      </c>
      <c r="P619" s="160">
        <v>72.435124974515801</v>
      </c>
      <c r="Q619" s="162">
        <f t="shared" si="65"/>
        <v>4708283.1233435273</v>
      </c>
      <c r="R619" s="133">
        <f t="shared" si="67"/>
        <v>0.47082831233435274</v>
      </c>
      <c r="S619" s="23" t="s">
        <v>1499</v>
      </c>
      <c r="T619" s="24" t="s">
        <v>347</v>
      </c>
      <c r="AA619"/>
    </row>
    <row r="620" spans="1:27" s="16" customFormat="1" ht="12.75" x14ac:dyDescent="0.2">
      <c r="A620" s="24" t="s">
        <v>1502</v>
      </c>
      <c r="B620" s="174">
        <v>44652</v>
      </c>
      <c r="C620" s="23" t="s">
        <v>1147</v>
      </c>
      <c r="D620" s="106">
        <v>5501520</v>
      </c>
      <c r="E620" s="24" t="s">
        <v>355</v>
      </c>
      <c r="F620" s="29" t="s">
        <v>425</v>
      </c>
      <c r="G620" s="100" t="s">
        <v>1504</v>
      </c>
      <c r="H620" s="24" t="s">
        <v>1245</v>
      </c>
      <c r="I620" s="15">
        <v>1</v>
      </c>
      <c r="J620" s="24" t="s">
        <v>298</v>
      </c>
      <c r="K620" s="35">
        <v>2916</v>
      </c>
      <c r="L620" s="17">
        <f t="shared" ref="L620:L635" si="72">K620*I620</f>
        <v>2916</v>
      </c>
      <c r="M620" s="173">
        <f t="shared" si="66"/>
        <v>2.9159999999999999E-4</v>
      </c>
      <c r="N620" s="160">
        <v>3.5591836734693878</v>
      </c>
      <c r="O620" s="162">
        <f t="shared" ref="O620:O635" si="73">+K620*N620</f>
        <v>10378.579591836735</v>
      </c>
      <c r="P620" s="160">
        <v>128.13999999999999</v>
      </c>
      <c r="Q620" s="162">
        <f t="shared" si="65"/>
        <v>373656.23999999993</v>
      </c>
      <c r="R620" s="133">
        <f t="shared" si="67"/>
        <v>3.7365623999999993E-2</v>
      </c>
      <c r="S620" s="23" t="s">
        <v>1499</v>
      </c>
      <c r="T620" s="24" t="s">
        <v>272</v>
      </c>
      <c r="AA620"/>
    </row>
    <row r="621" spans="1:27" s="16" customFormat="1" ht="12.75" x14ac:dyDescent="0.2">
      <c r="A621" s="24" t="s">
        <v>1502</v>
      </c>
      <c r="B621" s="174">
        <v>44652</v>
      </c>
      <c r="C621" s="23" t="s">
        <v>1147</v>
      </c>
      <c r="D621" s="106">
        <v>8001300</v>
      </c>
      <c r="E621" s="24" t="s">
        <v>1179</v>
      </c>
      <c r="F621" s="29" t="s">
        <v>425</v>
      </c>
      <c r="G621" s="100" t="s">
        <v>1504</v>
      </c>
      <c r="H621" s="24" t="s">
        <v>1245</v>
      </c>
      <c r="I621" s="15">
        <v>1</v>
      </c>
      <c r="J621" s="24" t="s">
        <v>298</v>
      </c>
      <c r="K621" s="35">
        <v>9920</v>
      </c>
      <c r="L621" s="17">
        <f t="shared" si="72"/>
        <v>9920</v>
      </c>
      <c r="M621" s="173">
        <f t="shared" si="66"/>
        <v>9.9200000000000004E-4</v>
      </c>
      <c r="N621" s="160">
        <v>1.0465306122448979</v>
      </c>
      <c r="O621" s="162">
        <f t="shared" si="73"/>
        <v>10381.583673469388</v>
      </c>
      <c r="P621" s="160">
        <v>0</v>
      </c>
      <c r="Q621" s="162">
        <f t="shared" si="65"/>
        <v>0</v>
      </c>
      <c r="R621" s="133">
        <f t="shared" si="67"/>
        <v>0</v>
      </c>
      <c r="S621" s="23" t="s">
        <v>1499</v>
      </c>
      <c r="T621" s="24" t="s">
        <v>272</v>
      </c>
      <c r="AA621"/>
    </row>
    <row r="622" spans="1:27" s="16" customFormat="1" ht="12.75" x14ac:dyDescent="0.2">
      <c r="A622" s="24" t="s">
        <v>1502</v>
      </c>
      <c r="B622" s="174">
        <v>44652</v>
      </c>
      <c r="C622" s="23" t="s">
        <v>1161</v>
      </c>
      <c r="D622" s="106">
        <v>5500069</v>
      </c>
      <c r="E622" s="24" t="s">
        <v>1183</v>
      </c>
      <c r="F622" s="29" t="s">
        <v>425</v>
      </c>
      <c r="G622" s="100" t="s">
        <v>1504</v>
      </c>
      <c r="H622" s="24" t="s">
        <v>1273</v>
      </c>
      <c r="I622" s="15">
        <v>1</v>
      </c>
      <c r="J622" s="24" t="s">
        <v>34</v>
      </c>
      <c r="K622" s="35">
        <v>19980</v>
      </c>
      <c r="L622" s="17">
        <f t="shared" si="72"/>
        <v>19980</v>
      </c>
      <c r="M622" s="173">
        <f t="shared" si="66"/>
        <v>1.9980000000000002E-3</v>
      </c>
      <c r="N622" s="160">
        <v>0.71299999999999997</v>
      </c>
      <c r="O622" s="162">
        <f t="shared" si="73"/>
        <v>14245.74</v>
      </c>
      <c r="P622" s="160">
        <v>173.31296296296298</v>
      </c>
      <c r="Q622" s="162">
        <f t="shared" si="65"/>
        <v>3462793.0000000005</v>
      </c>
      <c r="R622" s="133">
        <f t="shared" si="67"/>
        <v>0.34627930000000007</v>
      </c>
      <c r="S622" s="23" t="s">
        <v>1499</v>
      </c>
      <c r="T622" s="24" t="s">
        <v>281</v>
      </c>
      <c r="AA622"/>
    </row>
    <row r="623" spans="1:27" s="16" customFormat="1" ht="12.75" x14ac:dyDescent="0.2">
      <c r="A623" s="24" t="s">
        <v>1502</v>
      </c>
      <c r="B623" s="174">
        <v>44652</v>
      </c>
      <c r="C623" s="23" t="s">
        <v>1161</v>
      </c>
      <c r="D623" s="106">
        <v>5500292</v>
      </c>
      <c r="E623" s="24" t="s">
        <v>1184</v>
      </c>
      <c r="F623" s="29" t="s">
        <v>425</v>
      </c>
      <c r="G623" s="100" t="s">
        <v>1504</v>
      </c>
      <c r="H623" s="24" t="s">
        <v>1274</v>
      </c>
      <c r="I623" s="15">
        <v>1</v>
      </c>
      <c r="J623" s="24" t="s">
        <v>34</v>
      </c>
      <c r="K623" s="35">
        <v>28720</v>
      </c>
      <c r="L623" s="17">
        <f t="shared" si="72"/>
        <v>28720</v>
      </c>
      <c r="M623" s="173">
        <f t="shared" si="66"/>
        <v>2.872E-3</v>
      </c>
      <c r="N623" s="160">
        <v>0.71</v>
      </c>
      <c r="O623" s="162">
        <f t="shared" si="73"/>
        <v>20391.2</v>
      </c>
      <c r="P623" s="160">
        <v>219.21019354838711</v>
      </c>
      <c r="Q623" s="162">
        <f t="shared" si="65"/>
        <v>6295716.7587096775</v>
      </c>
      <c r="R623" s="133">
        <f t="shared" si="67"/>
        <v>0.62957167587096774</v>
      </c>
      <c r="S623" s="23" t="s">
        <v>1499</v>
      </c>
      <c r="T623" s="24" t="s">
        <v>281</v>
      </c>
      <c r="AA623"/>
    </row>
    <row r="624" spans="1:27" s="16" customFormat="1" ht="12.75" x14ac:dyDescent="0.2">
      <c r="A624" s="24" t="s">
        <v>1502</v>
      </c>
      <c r="B624" s="174">
        <v>44652</v>
      </c>
      <c r="C624" s="23" t="s">
        <v>1147</v>
      </c>
      <c r="D624" s="106">
        <v>5501521</v>
      </c>
      <c r="E624" s="24" t="s">
        <v>1185</v>
      </c>
      <c r="F624" s="29" t="s">
        <v>425</v>
      </c>
      <c r="G624" s="100" t="s">
        <v>1504</v>
      </c>
      <c r="H624" s="24" t="s">
        <v>1275</v>
      </c>
      <c r="I624" s="15">
        <v>1</v>
      </c>
      <c r="J624" s="24" t="s">
        <v>298</v>
      </c>
      <c r="K624" s="35">
        <v>4932</v>
      </c>
      <c r="L624" s="17">
        <f t="shared" si="72"/>
        <v>4932</v>
      </c>
      <c r="M624" s="173">
        <f t="shared" si="66"/>
        <v>4.9319999999999995E-4</v>
      </c>
      <c r="N624" s="160">
        <v>3.5591836734693878</v>
      </c>
      <c r="O624" s="162">
        <f t="shared" si="73"/>
        <v>17553.893877551021</v>
      </c>
      <c r="P624" s="160">
        <v>228.8</v>
      </c>
      <c r="Q624" s="162">
        <f t="shared" si="65"/>
        <v>1128441.6000000001</v>
      </c>
      <c r="R624" s="133">
        <f t="shared" si="67"/>
        <v>0.11284416000000001</v>
      </c>
      <c r="S624" s="23" t="s">
        <v>1499</v>
      </c>
      <c r="T624" s="24" t="s">
        <v>272</v>
      </c>
      <c r="AA624"/>
    </row>
    <row r="625" spans="1:27" s="16" customFormat="1" ht="12.75" x14ac:dyDescent="0.2">
      <c r="A625" s="24" t="s">
        <v>1502</v>
      </c>
      <c r="B625" s="174">
        <v>44652</v>
      </c>
      <c r="C625" s="23" t="s">
        <v>1161</v>
      </c>
      <c r="D625" s="106">
        <v>8000192</v>
      </c>
      <c r="E625" s="24" t="s">
        <v>1186</v>
      </c>
      <c r="F625" s="29" t="s">
        <v>425</v>
      </c>
      <c r="G625" s="100" t="s">
        <v>1504</v>
      </c>
      <c r="H625" s="24" t="s">
        <v>1273</v>
      </c>
      <c r="I625" s="15">
        <v>1</v>
      </c>
      <c r="J625" s="24" t="s">
        <v>34</v>
      </c>
      <c r="K625" s="35">
        <v>14300</v>
      </c>
      <c r="L625" s="17">
        <f t="shared" si="72"/>
        <v>14300</v>
      </c>
      <c r="M625" s="173">
        <f t="shared" si="66"/>
        <v>1.4300000000000001E-3</v>
      </c>
      <c r="N625" s="160">
        <v>0.71</v>
      </c>
      <c r="O625" s="162">
        <f t="shared" si="73"/>
        <v>10153</v>
      </c>
      <c r="P625" s="160">
        <v>0</v>
      </c>
      <c r="Q625" s="162">
        <f t="shared" si="65"/>
        <v>0</v>
      </c>
      <c r="R625" s="133">
        <f t="shared" si="67"/>
        <v>0</v>
      </c>
      <c r="S625" s="23" t="s">
        <v>1499</v>
      </c>
      <c r="T625" s="24" t="s">
        <v>281</v>
      </c>
      <c r="AA625"/>
    </row>
    <row r="626" spans="1:27" s="16" customFormat="1" ht="12.75" x14ac:dyDescent="0.2">
      <c r="A626" s="24" t="s">
        <v>1502</v>
      </c>
      <c r="B626" s="174">
        <v>44652</v>
      </c>
      <c r="C626" s="23" t="s">
        <v>1162</v>
      </c>
      <c r="D626" s="106">
        <v>5500185</v>
      </c>
      <c r="E626" s="24" t="s">
        <v>354</v>
      </c>
      <c r="F626" s="29" t="s">
        <v>425</v>
      </c>
      <c r="G626" s="100" t="s">
        <v>1504</v>
      </c>
      <c r="H626" s="24" t="s">
        <v>1288</v>
      </c>
      <c r="I626" s="15">
        <v>1</v>
      </c>
      <c r="J626" s="24" t="s">
        <v>34</v>
      </c>
      <c r="K626" s="35">
        <v>28960</v>
      </c>
      <c r="L626" s="17">
        <f t="shared" si="72"/>
        <v>28960</v>
      </c>
      <c r="M626" s="173">
        <f t="shared" si="66"/>
        <v>2.8960000000000001E-3</v>
      </c>
      <c r="N626" s="160">
        <v>0.71299999999999997</v>
      </c>
      <c r="O626" s="162">
        <f t="shared" si="73"/>
        <v>20648.48</v>
      </c>
      <c r="P626" s="160">
        <v>100.6100651748858</v>
      </c>
      <c r="Q626" s="162">
        <f t="shared" si="65"/>
        <v>2913667.4874646929</v>
      </c>
      <c r="R626" s="133">
        <f t="shared" si="67"/>
        <v>0.29136674874646928</v>
      </c>
      <c r="S626" s="23" t="s">
        <v>1499</v>
      </c>
      <c r="T626" s="24" t="s">
        <v>277</v>
      </c>
      <c r="AA626"/>
    </row>
    <row r="627" spans="1:27" s="16" customFormat="1" ht="12.75" x14ac:dyDescent="0.2">
      <c r="A627" s="24" t="s">
        <v>1502</v>
      </c>
      <c r="B627" s="174">
        <v>44652</v>
      </c>
      <c r="C627" s="23" t="s">
        <v>1162</v>
      </c>
      <c r="D627" s="106">
        <v>5500185</v>
      </c>
      <c r="E627" s="24" t="s">
        <v>354</v>
      </c>
      <c r="F627" s="29" t="s">
        <v>425</v>
      </c>
      <c r="G627" s="100" t="s">
        <v>1504</v>
      </c>
      <c r="H627" s="24" t="s">
        <v>1289</v>
      </c>
      <c r="I627" s="15">
        <v>1</v>
      </c>
      <c r="J627" s="24" t="s">
        <v>34</v>
      </c>
      <c r="K627" s="35">
        <v>28760</v>
      </c>
      <c r="L627" s="17">
        <f t="shared" si="72"/>
        <v>28760</v>
      </c>
      <c r="M627" s="173">
        <f t="shared" si="66"/>
        <v>2.8760000000000001E-3</v>
      </c>
      <c r="N627" s="160">
        <v>0.71299999999999997</v>
      </c>
      <c r="O627" s="162">
        <f t="shared" si="73"/>
        <v>20505.879999999997</v>
      </c>
      <c r="P627" s="160">
        <v>100.6100651748858</v>
      </c>
      <c r="Q627" s="162">
        <f t="shared" si="65"/>
        <v>2893545.4744297159</v>
      </c>
      <c r="R627" s="133">
        <f t="shared" si="67"/>
        <v>0.28935454744297157</v>
      </c>
      <c r="S627" s="23" t="s">
        <v>1499</v>
      </c>
      <c r="T627" s="24" t="s">
        <v>277</v>
      </c>
      <c r="AA627"/>
    </row>
    <row r="628" spans="1:27" s="16" customFormat="1" ht="12.75" x14ac:dyDescent="0.2">
      <c r="A628" s="24" t="s">
        <v>1502</v>
      </c>
      <c r="B628" s="174">
        <v>44652</v>
      </c>
      <c r="C628" s="23" t="s">
        <v>1147</v>
      </c>
      <c r="D628" s="106">
        <v>5006470</v>
      </c>
      <c r="E628" s="24" t="s">
        <v>1204</v>
      </c>
      <c r="F628" s="29" t="s">
        <v>424</v>
      </c>
      <c r="G628" s="100" t="s">
        <v>1504</v>
      </c>
      <c r="H628" s="24" t="s">
        <v>1336</v>
      </c>
      <c r="I628" s="15">
        <v>1</v>
      </c>
      <c r="J628" s="24" t="s">
        <v>34</v>
      </c>
      <c r="K628" s="35">
        <v>13550</v>
      </c>
      <c r="L628" s="17">
        <f t="shared" si="72"/>
        <v>13550</v>
      </c>
      <c r="M628" s="173">
        <f t="shared" si="66"/>
        <v>1.3550000000000001E-3</v>
      </c>
      <c r="N628" s="160">
        <v>1.1599999999999999</v>
      </c>
      <c r="O628" s="162">
        <f t="shared" si="73"/>
        <v>15717.999999999998</v>
      </c>
      <c r="P628" s="160">
        <v>81.95</v>
      </c>
      <c r="Q628" s="162">
        <f t="shared" si="65"/>
        <v>1110422.5</v>
      </c>
      <c r="R628" s="133">
        <f t="shared" si="67"/>
        <v>0.11104225</v>
      </c>
      <c r="S628" s="23" t="s">
        <v>1499</v>
      </c>
      <c r="T628" s="24" t="s">
        <v>272</v>
      </c>
      <c r="AA628"/>
    </row>
    <row r="629" spans="1:27" s="16" customFormat="1" ht="12.75" x14ac:dyDescent="0.2">
      <c r="A629" s="24" t="s">
        <v>1502</v>
      </c>
      <c r="B629" s="174">
        <v>44652</v>
      </c>
      <c r="C629" s="23" t="s">
        <v>1147</v>
      </c>
      <c r="D629" s="106">
        <v>5500560</v>
      </c>
      <c r="E629" s="24" t="s">
        <v>291</v>
      </c>
      <c r="F629" s="29" t="s">
        <v>425</v>
      </c>
      <c r="G629" s="100" t="s">
        <v>1504</v>
      </c>
      <c r="H629" s="24" t="s">
        <v>1363</v>
      </c>
      <c r="I629" s="15">
        <v>1</v>
      </c>
      <c r="J629" s="24" t="s">
        <v>7</v>
      </c>
      <c r="K629" s="35">
        <v>5904</v>
      </c>
      <c r="L629" s="17">
        <f t="shared" si="72"/>
        <v>5904</v>
      </c>
      <c r="M629" s="173">
        <f t="shared" si="66"/>
        <v>5.9040000000000004E-4</v>
      </c>
      <c r="N629" s="160">
        <v>2.0959183673469388</v>
      </c>
      <c r="O629" s="162">
        <f t="shared" si="73"/>
        <v>12374.302040816327</v>
      </c>
      <c r="P629" s="160">
        <v>207.4675</v>
      </c>
      <c r="Q629" s="162">
        <f t="shared" si="65"/>
        <v>1224888.1200000001</v>
      </c>
      <c r="R629" s="133">
        <f t="shared" si="67"/>
        <v>0.12248881200000002</v>
      </c>
      <c r="S629" s="23" t="s">
        <v>1499</v>
      </c>
      <c r="T629" s="24" t="s">
        <v>272</v>
      </c>
      <c r="AA629"/>
    </row>
    <row r="630" spans="1:27" s="16" customFormat="1" ht="12.75" x14ac:dyDescent="0.2">
      <c r="A630" s="24" t="s">
        <v>1502</v>
      </c>
      <c r="B630" s="174">
        <v>44652</v>
      </c>
      <c r="C630" s="23" t="s">
        <v>1147</v>
      </c>
      <c r="D630" s="106">
        <v>8000570</v>
      </c>
      <c r="E630" s="24" t="s">
        <v>1210</v>
      </c>
      <c r="F630" s="29" t="s">
        <v>425</v>
      </c>
      <c r="G630" s="100" t="s">
        <v>1504</v>
      </c>
      <c r="H630" s="24" t="s">
        <v>1363</v>
      </c>
      <c r="I630" s="15">
        <v>1</v>
      </c>
      <c r="J630" s="24" t="s">
        <v>7</v>
      </c>
      <c r="K630" s="35">
        <v>9744</v>
      </c>
      <c r="L630" s="17">
        <f t="shared" si="72"/>
        <v>9744</v>
      </c>
      <c r="M630" s="173">
        <f t="shared" si="66"/>
        <v>9.7440000000000005E-4</v>
      </c>
      <c r="N630" s="160">
        <v>1.05</v>
      </c>
      <c r="O630" s="162">
        <f t="shared" si="73"/>
        <v>10231.200000000001</v>
      </c>
      <c r="P630" s="160">
        <v>0</v>
      </c>
      <c r="Q630" s="162">
        <f t="shared" si="65"/>
        <v>0</v>
      </c>
      <c r="R630" s="133">
        <f t="shared" si="67"/>
        <v>0</v>
      </c>
      <c r="S630" s="23" t="s">
        <v>1499</v>
      </c>
      <c r="T630" s="24" t="s">
        <v>272</v>
      </c>
      <c r="AA630"/>
    </row>
    <row r="631" spans="1:27" s="16" customFormat="1" ht="12.75" x14ac:dyDescent="0.2">
      <c r="A631" s="24" t="s">
        <v>1502</v>
      </c>
      <c r="B631" s="174">
        <v>44652</v>
      </c>
      <c r="C631" s="23" t="s">
        <v>1147</v>
      </c>
      <c r="D631" s="106">
        <v>5002512</v>
      </c>
      <c r="E631" s="24" t="s">
        <v>353</v>
      </c>
      <c r="F631" s="29" t="s">
        <v>424</v>
      </c>
      <c r="G631" s="100" t="s">
        <v>1504</v>
      </c>
      <c r="H631" s="24" t="s">
        <v>360</v>
      </c>
      <c r="I631" s="15">
        <v>1</v>
      </c>
      <c r="J631" s="24" t="s">
        <v>34</v>
      </c>
      <c r="K631" s="35">
        <v>30</v>
      </c>
      <c r="L631" s="17">
        <f t="shared" si="72"/>
        <v>30</v>
      </c>
      <c r="M631" s="173">
        <f t="shared" si="66"/>
        <v>3.0000000000000001E-6</v>
      </c>
      <c r="N631" s="160">
        <v>2.3180000000000001</v>
      </c>
      <c r="O631" s="162">
        <f t="shared" si="73"/>
        <v>69.540000000000006</v>
      </c>
      <c r="P631" s="160">
        <v>85.674999999999997</v>
      </c>
      <c r="Q631" s="162">
        <f t="shared" si="65"/>
        <v>2570.25</v>
      </c>
      <c r="R631" s="133">
        <f t="shared" si="67"/>
        <v>2.5702500000000003E-4</v>
      </c>
      <c r="S631" s="23" t="s">
        <v>1499</v>
      </c>
      <c r="T631" s="24" t="s">
        <v>272</v>
      </c>
      <c r="AA631"/>
    </row>
    <row r="632" spans="1:27" s="16" customFormat="1" ht="12.75" x14ac:dyDescent="0.2">
      <c r="A632" s="24" t="s">
        <v>1502</v>
      </c>
      <c r="B632" s="174">
        <v>44652</v>
      </c>
      <c r="C632" s="23" t="s">
        <v>1147</v>
      </c>
      <c r="D632" s="106">
        <v>5002517</v>
      </c>
      <c r="E632" s="24" t="s">
        <v>1215</v>
      </c>
      <c r="F632" s="29" t="s">
        <v>424</v>
      </c>
      <c r="G632" s="100" t="s">
        <v>1504</v>
      </c>
      <c r="H632" s="24" t="s">
        <v>1373</v>
      </c>
      <c r="I632" s="15">
        <v>1</v>
      </c>
      <c r="J632" s="24" t="s">
        <v>34</v>
      </c>
      <c r="K632" s="35">
        <v>10000</v>
      </c>
      <c r="L632" s="17">
        <f t="shared" si="72"/>
        <v>10000</v>
      </c>
      <c r="M632" s="173">
        <f t="shared" si="66"/>
        <v>1E-3</v>
      </c>
      <c r="N632" s="160">
        <v>0.81200000000000006</v>
      </c>
      <c r="O632" s="162">
        <f t="shared" si="73"/>
        <v>8120.0000000000009</v>
      </c>
      <c r="P632" s="160">
        <v>260.75</v>
      </c>
      <c r="Q632" s="162">
        <f t="shared" si="65"/>
        <v>2607500</v>
      </c>
      <c r="R632" s="133">
        <f t="shared" si="67"/>
        <v>0.26074999999999998</v>
      </c>
      <c r="S632" s="23" t="s">
        <v>1499</v>
      </c>
      <c r="T632" s="24" t="s">
        <v>272</v>
      </c>
      <c r="AA632"/>
    </row>
    <row r="633" spans="1:27" s="16" customFormat="1" ht="12.75" x14ac:dyDescent="0.2">
      <c r="A633" s="24" t="s">
        <v>1502</v>
      </c>
      <c r="B633" s="174">
        <v>44652</v>
      </c>
      <c r="C633" s="23" t="s">
        <v>1147</v>
      </c>
      <c r="D633" s="106">
        <v>5501220</v>
      </c>
      <c r="E633" s="24" t="s">
        <v>1218</v>
      </c>
      <c r="F633" s="29" t="s">
        <v>425</v>
      </c>
      <c r="G633" s="100" t="s">
        <v>1504</v>
      </c>
      <c r="H633" s="24" t="s">
        <v>1378</v>
      </c>
      <c r="I633" s="15">
        <v>1</v>
      </c>
      <c r="J633" s="24" t="s">
        <v>34</v>
      </c>
      <c r="K633" s="35">
        <v>23625</v>
      </c>
      <c r="L633" s="17">
        <f t="shared" si="72"/>
        <v>23625</v>
      </c>
      <c r="M633" s="173">
        <f t="shared" si="66"/>
        <v>2.3625E-3</v>
      </c>
      <c r="N633" s="160">
        <v>1.184375</v>
      </c>
      <c r="O633" s="162">
        <f t="shared" si="73"/>
        <v>27980.859375</v>
      </c>
      <c r="P633" s="160">
        <v>208.9299431537321</v>
      </c>
      <c r="Q633" s="162">
        <f t="shared" si="65"/>
        <v>4935969.9070069212</v>
      </c>
      <c r="R633" s="133">
        <f t="shared" si="67"/>
        <v>0.49359699070069213</v>
      </c>
      <c r="S633" s="23" t="s">
        <v>1499</v>
      </c>
      <c r="T633" s="24" t="s">
        <v>272</v>
      </c>
      <c r="AA633"/>
    </row>
    <row r="634" spans="1:27" s="16" customFormat="1" ht="12.75" x14ac:dyDescent="0.2">
      <c r="A634" s="24" t="s">
        <v>1502</v>
      </c>
      <c r="B634" s="174">
        <v>44652</v>
      </c>
      <c r="C634" s="23" t="s">
        <v>1147</v>
      </c>
      <c r="D634" s="106">
        <v>5501521</v>
      </c>
      <c r="E634" s="24" t="s">
        <v>1185</v>
      </c>
      <c r="F634" s="29" t="s">
        <v>425</v>
      </c>
      <c r="G634" s="100" t="s">
        <v>1504</v>
      </c>
      <c r="H634" s="24" t="s">
        <v>1379</v>
      </c>
      <c r="I634" s="15">
        <v>1</v>
      </c>
      <c r="J634" s="24" t="s">
        <v>298</v>
      </c>
      <c r="K634" s="35">
        <v>558</v>
      </c>
      <c r="L634" s="17">
        <f t="shared" si="72"/>
        <v>558</v>
      </c>
      <c r="M634" s="173">
        <f t="shared" si="66"/>
        <v>5.5800000000000001E-5</v>
      </c>
      <c r="N634" s="160">
        <v>3.5591836734693878</v>
      </c>
      <c r="O634" s="162">
        <f t="shared" si="73"/>
        <v>1986.0244897959185</v>
      </c>
      <c r="P634" s="160">
        <v>228.8</v>
      </c>
      <c r="Q634" s="162">
        <f t="shared" si="65"/>
        <v>127670.40000000001</v>
      </c>
      <c r="R634" s="133">
        <f t="shared" si="67"/>
        <v>1.276704E-2</v>
      </c>
      <c r="S634" s="23" t="s">
        <v>1499</v>
      </c>
      <c r="T634" s="24" t="s">
        <v>272</v>
      </c>
      <c r="AA634"/>
    </row>
    <row r="635" spans="1:27" s="16" customFormat="1" ht="12.75" x14ac:dyDescent="0.2">
      <c r="A635" s="24" t="s">
        <v>1502</v>
      </c>
      <c r="B635" s="174">
        <v>44652</v>
      </c>
      <c r="C635" s="23" t="s">
        <v>1147</v>
      </c>
      <c r="D635" s="106">
        <v>8001301</v>
      </c>
      <c r="E635" s="24" t="s">
        <v>1219</v>
      </c>
      <c r="F635" s="29" t="s">
        <v>425</v>
      </c>
      <c r="G635" s="100" t="s">
        <v>1504</v>
      </c>
      <c r="H635" s="24" t="s">
        <v>1379</v>
      </c>
      <c r="I635" s="15">
        <v>1</v>
      </c>
      <c r="J635" s="24" t="s">
        <v>298</v>
      </c>
      <c r="K635" s="35">
        <v>21600</v>
      </c>
      <c r="L635" s="17">
        <f t="shared" si="72"/>
        <v>21600</v>
      </c>
      <c r="M635" s="173">
        <f t="shared" si="66"/>
        <v>2.16E-3</v>
      </c>
      <c r="N635" s="160">
        <v>1.0465306122448979</v>
      </c>
      <c r="O635" s="162">
        <f t="shared" si="73"/>
        <v>22605.061224489793</v>
      </c>
      <c r="P635" s="160">
        <v>0</v>
      </c>
      <c r="Q635" s="162">
        <f t="shared" si="65"/>
        <v>0</v>
      </c>
      <c r="R635" s="133">
        <f t="shared" si="67"/>
        <v>0</v>
      </c>
      <c r="S635" s="23" t="s">
        <v>1499</v>
      </c>
      <c r="T635" s="24" t="s">
        <v>272</v>
      </c>
      <c r="AA635"/>
    </row>
    <row r="636" spans="1:27" s="16" customFormat="1" ht="12.75" x14ac:dyDescent="0.2">
      <c r="A636" s="24" t="s">
        <v>1502</v>
      </c>
      <c r="B636" s="174">
        <v>44652</v>
      </c>
      <c r="C636" s="23" t="s">
        <v>1152</v>
      </c>
      <c r="D636" s="106">
        <v>5001299</v>
      </c>
      <c r="E636" s="24" t="s">
        <v>323</v>
      </c>
      <c r="F636" s="29" t="s">
        <v>424</v>
      </c>
      <c r="G636" s="47" t="s">
        <v>1506</v>
      </c>
      <c r="H636" s="24" t="s">
        <v>1238</v>
      </c>
      <c r="I636" s="15">
        <v>1</v>
      </c>
      <c r="J636" s="24" t="s">
        <v>7</v>
      </c>
      <c r="K636" s="35">
        <v>24480</v>
      </c>
      <c r="L636" s="17">
        <f t="shared" ref="L636:L660" si="74">K636*I636</f>
        <v>24480</v>
      </c>
      <c r="M636" s="173">
        <f t="shared" si="66"/>
        <v>2.4480000000000001E-3</v>
      </c>
      <c r="N636" s="160">
        <v>0.86199999999999999</v>
      </c>
      <c r="O636" s="162">
        <f t="shared" ref="O636:O660" si="75">+K636*N636</f>
        <v>21101.759999999998</v>
      </c>
      <c r="P636" s="160">
        <v>113.68499999999999</v>
      </c>
      <c r="Q636" s="162">
        <f t="shared" si="65"/>
        <v>2783008.8</v>
      </c>
      <c r="R636" s="133">
        <f t="shared" si="67"/>
        <v>0.27830087999999997</v>
      </c>
      <c r="S636" s="23" t="s">
        <v>1499</v>
      </c>
      <c r="T636" s="24" t="s">
        <v>276</v>
      </c>
      <c r="AA636"/>
    </row>
    <row r="637" spans="1:27" s="16" customFormat="1" ht="12.75" x14ac:dyDescent="0.2">
      <c r="A637" s="24" t="s">
        <v>1502</v>
      </c>
      <c r="B637" s="174">
        <v>44652</v>
      </c>
      <c r="C637" s="23" t="s">
        <v>1151</v>
      </c>
      <c r="D637" s="106">
        <v>5001363</v>
      </c>
      <c r="E637" s="24" t="s">
        <v>290</v>
      </c>
      <c r="F637" s="29" t="s">
        <v>424</v>
      </c>
      <c r="G637" s="47" t="s">
        <v>1506</v>
      </c>
      <c r="H637" s="24" t="s">
        <v>1239</v>
      </c>
      <c r="I637" s="15">
        <v>1</v>
      </c>
      <c r="J637" s="24" t="s">
        <v>7</v>
      </c>
      <c r="K637" s="35">
        <v>9800</v>
      </c>
      <c r="L637" s="17">
        <f t="shared" si="74"/>
        <v>9800</v>
      </c>
      <c r="M637" s="173">
        <f t="shared" si="66"/>
        <v>9.7999999999999997E-4</v>
      </c>
      <c r="N637" s="160">
        <v>1.3220000000000001</v>
      </c>
      <c r="O637" s="162">
        <f t="shared" si="75"/>
        <v>12955.6</v>
      </c>
      <c r="P637" s="160">
        <v>311.58105198776758</v>
      </c>
      <c r="Q637" s="162">
        <f t="shared" si="65"/>
        <v>3053494.3094801223</v>
      </c>
      <c r="R637" s="133">
        <f t="shared" si="67"/>
        <v>0.3053494309480122</v>
      </c>
      <c r="S637" s="23" t="s">
        <v>1499</v>
      </c>
      <c r="T637" s="24" t="s">
        <v>278</v>
      </c>
      <c r="AA637"/>
    </row>
    <row r="638" spans="1:27" s="16" customFormat="1" ht="12.75" x14ac:dyDescent="0.2">
      <c r="A638" s="24" t="s">
        <v>1502</v>
      </c>
      <c r="B638" s="174">
        <v>44652</v>
      </c>
      <c r="C638" s="23" t="s">
        <v>1155</v>
      </c>
      <c r="D638" s="106">
        <v>5001299</v>
      </c>
      <c r="E638" s="24" t="s">
        <v>323</v>
      </c>
      <c r="F638" s="29" t="s">
        <v>424</v>
      </c>
      <c r="G638" s="47" t="s">
        <v>1506</v>
      </c>
      <c r="H638" s="24" t="s">
        <v>1253</v>
      </c>
      <c r="I638" s="15">
        <v>1</v>
      </c>
      <c r="J638" s="24" t="s">
        <v>7</v>
      </c>
      <c r="K638" s="35">
        <v>19620</v>
      </c>
      <c r="L638" s="17">
        <f t="shared" si="74"/>
        <v>19620</v>
      </c>
      <c r="M638" s="173">
        <f t="shared" si="66"/>
        <v>1.9620000000000002E-3</v>
      </c>
      <c r="N638" s="160">
        <v>0.86199999999999999</v>
      </c>
      <c r="O638" s="162">
        <f t="shared" si="75"/>
        <v>16912.439999999999</v>
      </c>
      <c r="P638" s="160">
        <v>113.68499999999999</v>
      </c>
      <c r="Q638" s="162">
        <f t="shared" si="65"/>
        <v>2230499.6999999997</v>
      </c>
      <c r="R638" s="133">
        <f t="shared" si="67"/>
        <v>0.22304996999999996</v>
      </c>
      <c r="S638" s="23" t="s">
        <v>1499</v>
      </c>
      <c r="T638" s="24" t="s">
        <v>270</v>
      </c>
      <c r="AA638"/>
    </row>
    <row r="639" spans="1:27" s="16" customFormat="1" ht="12.75" x14ac:dyDescent="0.2">
      <c r="A639" s="24" t="s">
        <v>1502</v>
      </c>
      <c r="B639" s="174">
        <v>44652</v>
      </c>
      <c r="C639" s="23" t="s">
        <v>1151</v>
      </c>
      <c r="D639" s="106">
        <v>5000449</v>
      </c>
      <c r="E639" s="24" t="s">
        <v>6</v>
      </c>
      <c r="F639" s="29" t="s">
        <v>424</v>
      </c>
      <c r="G639" s="47" t="s">
        <v>1506</v>
      </c>
      <c r="H639" s="24" t="s">
        <v>1258</v>
      </c>
      <c r="I639" s="15">
        <v>1</v>
      </c>
      <c r="J639" s="24" t="s">
        <v>7</v>
      </c>
      <c r="K639" s="35">
        <v>23360</v>
      </c>
      <c r="L639" s="17">
        <f t="shared" si="74"/>
        <v>23360</v>
      </c>
      <c r="M639" s="173">
        <f t="shared" si="66"/>
        <v>2.336E-3</v>
      </c>
      <c r="N639" s="160">
        <v>1.3220000000000001</v>
      </c>
      <c r="O639" s="162">
        <f t="shared" si="75"/>
        <v>30881.920000000002</v>
      </c>
      <c r="P639" s="160">
        <v>198.6970614439324</v>
      </c>
      <c r="Q639" s="162">
        <f t="shared" si="65"/>
        <v>4641563.3553302605</v>
      </c>
      <c r="R639" s="133">
        <f t="shared" si="67"/>
        <v>0.46415633553302604</v>
      </c>
      <c r="S639" s="23" t="s">
        <v>1499</v>
      </c>
      <c r="T639" s="24" t="s">
        <v>278</v>
      </c>
      <c r="AA639"/>
    </row>
    <row r="640" spans="1:27" s="16" customFormat="1" ht="12.75" x14ac:dyDescent="0.2">
      <c r="A640" s="24" t="s">
        <v>1502</v>
      </c>
      <c r="B640" s="174">
        <v>44652</v>
      </c>
      <c r="C640" s="23" t="s">
        <v>1151</v>
      </c>
      <c r="D640" s="106">
        <v>5002064</v>
      </c>
      <c r="E640" s="24" t="s">
        <v>230</v>
      </c>
      <c r="F640" s="29" t="s">
        <v>424</v>
      </c>
      <c r="G640" s="47" t="s">
        <v>1506</v>
      </c>
      <c r="H640" s="24" t="s">
        <v>1262</v>
      </c>
      <c r="I640" s="15">
        <v>1</v>
      </c>
      <c r="J640" s="24" t="s">
        <v>7</v>
      </c>
      <c r="K640" s="35">
        <v>60000</v>
      </c>
      <c r="L640" s="17">
        <f t="shared" si="74"/>
        <v>60000</v>
      </c>
      <c r="M640" s="173">
        <f t="shared" si="66"/>
        <v>6.0000000000000001E-3</v>
      </c>
      <c r="N640" s="160">
        <v>1.1814285714285715</v>
      </c>
      <c r="O640" s="162">
        <f t="shared" si="75"/>
        <v>70885.71428571429</v>
      </c>
      <c r="P640" s="160">
        <v>115.33344999999997</v>
      </c>
      <c r="Q640" s="162">
        <f t="shared" si="65"/>
        <v>6920006.9999999981</v>
      </c>
      <c r="R640" s="133">
        <f t="shared" si="67"/>
        <v>0.6920006999999998</v>
      </c>
      <c r="S640" s="23" t="s">
        <v>1499</v>
      </c>
      <c r="T640" s="24" t="s">
        <v>278</v>
      </c>
      <c r="AA640"/>
    </row>
    <row r="641" spans="1:27" s="16" customFormat="1" ht="12.75" x14ac:dyDescent="0.2">
      <c r="A641" s="24" t="s">
        <v>1502</v>
      </c>
      <c r="B641" s="174">
        <v>44652</v>
      </c>
      <c r="C641" s="23" t="s">
        <v>1151</v>
      </c>
      <c r="D641" s="106">
        <v>5002064</v>
      </c>
      <c r="E641" s="24" t="s">
        <v>230</v>
      </c>
      <c r="F641" s="29" t="s">
        <v>424</v>
      </c>
      <c r="G641" s="47" t="s">
        <v>1506</v>
      </c>
      <c r="H641" s="24" t="s">
        <v>1262</v>
      </c>
      <c r="I641" s="15">
        <v>1</v>
      </c>
      <c r="J641" s="24" t="s">
        <v>7</v>
      </c>
      <c r="K641" s="35">
        <v>18600</v>
      </c>
      <c r="L641" s="17">
        <f t="shared" si="74"/>
        <v>18600</v>
      </c>
      <c r="M641" s="173">
        <f t="shared" si="66"/>
        <v>1.8600000000000001E-3</v>
      </c>
      <c r="N641" s="160">
        <v>1.1814285714285715</v>
      </c>
      <c r="O641" s="162">
        <f t="shared" si="75"/>
        <v>21974.571428571431</v>
      </c>
      <c r="P641" s="160">
        <v>115.33344999999997</v>
      </c>
      <c r="Q641" s="162">
        <f t="shared" si="65"/>
        <v>2145202.1699999995</v>
      </c>
      <c r="R641" s="133">
        <f t="shared" si="67"/>
        <v>0.21452021699999996</v>
      </c>
      <c r="S641" s="23" t="s">
        <v>1499</v>
      </c>
      <c r="T641" s="24" t="s">
        <v>278</v>
      </c>
      <c r="AA641"/>
    </row>
    <row r="642" spans="1:27" s="16" customFormat="1" ht="12.75" x14ac:dyDescent="0.2">
      <c r="A642" s="24" t="s">
        <v>1502</v>
      </c>
      <c r="B642" s="174">
        <v>44652</v>
      </c>
      <c r="C642" s="23" t="s">
        <v>1152</v>
      </c>
      <c r="D642" s="106">
        <v>5001299</v>
      </c>
      <c r="E642" s="24" t="s">
        <v>323</v>
      </c>
      <c r="F642" s="29" t="s">
        <v>424</v>
      </c>
      <c r="G642" s="47" t="s">
        <v>1506</v>
      </c>
      <c r="H642" s="24" t="s">
        <v>1269</v>
      </c>
      <c r="I642" s="15">
        <v>1</v>
      </c>
      <c r="J642" s="24" t="s">
        <v>7</v>
      </c>
      <c r="K642" s="35">
        <v>24480</v>
      </c>
      <c r="L642" s="17">
        <f t="shared" si="74"/>
        <v>24480</v>
      </c>
      <c r="M642" s="173">
        <f t="shared" si="66"/>
        <v>2.4480000000000001E-3</v>
      </c>
      <c r="N642" s="160">
        <v>0.86199999999999999</v>
      </c>
      <c r="O642" s="162">
        <f t="shared" si="75"/>
        <v>21101.759999999998</v>
      </c>
      <c r="P642" s="160">
        <v>113.68499999999999</v>
      </c>
      <c r="Q642" s="162">
        <f t="shared" ref="Q642:Q705" si="76">+K642*P642</f>
        <v>2783008.8</v>
      </c>
      <c r="R642" s="133">
        <f t="shared" si="67"/>
        <v>0.27830087999999997</v>
      </c>
      <c r="S642" s="23" t="s">
        <v>1499</v>
      </c>
      <c r="T642" s="24" t="s">
        <v>276</v>
      </c>
      <c r="AA642"/>
    </row>
    <row r="643" spans="1:27" s="16" customFormat="1" ht="12.75" x14ac:dyDescent="0.2">
      <c r="A643" s="24" t="s">
        <v>1502</v>
      </c>
      <c r="B643" s="174">
        <v>44652</v>
      </c>
      <c r="C643" s="23" t="s">
        <v>1152</v>
      </c>
      <c r="D643" s="106">
        <v>5001299</v>
      </c>
      <c r="E643" s="24" t="s">
        <v>323</v>
      </c>
      <c r="F643" s="29" t="s">
        <v>424</v>
      </c>
      <c r="G643" s="47" t="s">
        <v>1506</v>
      </c>
      <c r="H643" s="24" t="s">
        <v>1270</v>
      </c>
      <c r="I643" s="15">
        <v>1</v>
      </c>
      <c r="J643" s="24" t="s">
        <v>7</v>
      </c>
      <c r="K643" s="35">
        <v>24480</v>
      </c>
      <c r="L643" s="17">
        <f t="shared" si="74"/>
        <v>24480</v>
      </c>
      <c r="M643" s="173">
        <f t="shared" ref="M643:M706" si="77">L643/10^7</f>
        <v>2.4480000000000001E-3</v>
      </c>
      <c r="N643" s="160">
        <v>0.86199999999999999</v>
      </c>
      <c r="O643" s="162">
        <f t="shared" si="75"/>
        <v>21101.759999999998</v>
      </c>
      <c r="P643" s="160">
        <v>113.68499999999999</v>
      </c>
      <c r="Q643" s="162">
        <f t="shared" si="76"/>
        <v>2783008.8</v>
      </c>
      <c r="R643" s="133">
        <f t="shared" ref="R643:R706" si="78">Q643/10^7</f>
        <v>0.27830087999999997</v>
      </c>
      <c r="S643" s="23" t="s">
        <v>1499</v>
      </c>
      <c r="T643" s="24" t="s">
        <v>276</v>
      </c>
      <c r="AA643"/>
    </row>
    <row r="644" spans="1:27" s="16" customFormat="1" ht="12.75" x14ac:dyDescent="0.2">
      <c r="A644" s="24" t="s">
        <v>1502</v>
      </c>
      <c r="B644" s="174">
        <v>44652</v>
      </c>
      <c r="C644" s="23" t="s">
        <v>1155</v>
      </c>
      <c r="D644" s="106">
        <v>5001299</v>
      </c>
      <c r="E644" s="24" t="s">
        <v>323</v>
      </c>
      <c r="F644" s="29" t="s">
        <v>424</v>
      </c>
      <c r="G644" s="47" t="s">
        <v>1506</v>
      </c>
      <c r="H644" s="24" t="s">
        <v>1278</v>
      </c>
      <c r="I644" s="15">
        <v>1</v>
      </c>
      <c r="J644" s="24" t="s">
        <v>7</v>
      </c>
      <c r="K644" s="35">
        <v>19620</v>
      </c>
      <c r="L644" s="17">
        <f t="shared" si="74"/>
        <v>19620</v>
      </c>
      <c r="M644" s="173">
        <f t="shared" si="77"/>
        <v>1.9620000000000002E-3</v>
      </c>
      <c r="N644" s="160">
        <v>0.86199999999999999</v>
      </c>
      <c r="O644" s="162">
        <f t="shared" si="75"/>
        <v>16912.439999999999</v>
      </c>
      <c r="P644" s="160">
        <v>113.68499999999999</v>
      </c>
      <c r="Q644" s="162">
        <f t="shared" si="76"/>
        <v>2230499.6999999997</v>
      </c>
      <c r="R644" s="133">
        <f t="shared" si="78"/>
        <v>0.22304996999999996</v>
      </c>
      <c r="S644" s="23" t="s">
        <v>1499</v>
      </c>
      <c r="T644" s="24" t="s">
        <v>270</v>
      </c>
      <c r="AA644"/>
    </row>
    <row r="645" spans="1:27" s="16" customFormat="1" ht="12.75" x14ac:dyDescent="0.2">
      <c r="A645" s="24" t="s">
        <v>1502</v>
      </c>
      <c r="B645" s="174">
        <v>44652</v>
      </c>
      <c r="C645" s="23" t="s">
        <v>1155</v>
      </c>
      <c r="D645" s="106">
        <v>5001299</v>
      </c>
      <c r="E645" s="24" t="s">
        <v>323</v>
      </c>
      <c r="F645" s="29" t="s">
        <v>424</v>
      </c>
      <c r="G645" s="47" t="s">
        <v>1506</v>
      </c>
      <c r="H645" s="24" t="s">
        <v>1291</v>
      </c>
      <c r="I645" s="15">
        <v>1</v>
      </c>
      <c r="J645" s="24" t="s">
        <v>7</v>
      </c>
      <c r="K645" s="35">
        <v>19620</v>
      </c>
      <c r="L645" s="17">
        <f t="shared" si="74"/>
        <v>19620</v>
      </c>
      <c r="M645" s="173">
        <f t="shared" si="77"/>
        <v>1.9620000000000002E-3</v>
      </c>
      <c r="N645" s="160">
        <v>0.86199999999999999</v>
      </c>
      <c r="O645" s="162">
        <f t="shared" si="75"/>
        <v>16912.439999999999</v>
      </c>
      <c r="P645" s="160">
        <v>113.68499999999999</v>
      </c>
      <c r="Q645" s="162">
        <f t="shared" si="76"/>
        <v>2230499.6999999997</v>
      </c>
      <c r="R645" s="133">
        <f t="shared" si="78"/>
        <v>0.22304996999999996</v>
      </c>
      <c r="S645" s="23" t="s">
        <v>1499</v>
      </c>
      <c r="T645" s="24" t="s">
        <v>270</v>
      </c>
      <c r="AA645"/>
    </row>
    <row r="646" spans="1:27" s="16" customFormat="1" ht="12.75" x14ac:dyDescent="0.2">
      <c r="A646" s="24" t="s">
        <v>1502</v>
      </c>
      <c r="B646" s="174">
        <v>44652</v>
      </c>
      <c r="C646" s="23" t="s">
        <v>1152</v>
      </c>
      <c r="D646" s="106">
        <v>5001299</v>
      </c>
      <c r="E646" s="24" t="s">
        <v>323</v>
      </c>
      <c r="F646" s="29" t="s">
        <v>424</v>
      </c>
      <c r="G646" s="47" t="s">
        <v>1506</v>
      </c>
      <c r="H646" s="24" t="s">
        <v>1301</v>
      </c>
      <c r="I646" s="15">
        <v>1</v>
      </c>
      <c r="J646" s="24" t="s">
        <v>7</v>
      </c>
      <c r="K646" s="35">
        <v>24480</v>
      </c>
      <c r="L646" s="17">
        <f t="shared" si="74"/>
        <v>24480</v>
      </c>
      <c r="M646" s="173">
        <f t="shared" si="77"/>
        <v>2.4480000000000001E-3</v>
      </c>
      <c r="N646" s="160">
        <v>0.86199999999999999</v>
      </c>
      <c r="O646" s="162">
        <f t="shared" si="75"/>
        <v>21101.759999999998</v>
      </c>
      <c r="P646" s="160">
        <v>113.68499999999999</v>
      </c>
      <c r="Q646" s="162">
        <f t="shared" si="76"/>
        <v>2783008.8</v>
      </c>
      <c r="R646" s="133">
        <f t="shared" si="78"/>
        <v>0.27830087999999997</v>
      </c>
      <c r="S646" s="23" t="s">
        <v>1499</v>
      </c>
      <c r="T646" s="24" t="s">
        <v>276</v>
      </c>
      <c r="AA646"/>
    </row>
    <row r="647" spans="1:27" s="16" customFormat="1" ht="12.75" x14ac:dyDescent="0.2">
      <c r="A647" s="24" t="s">
        <v>1502</v>
      </c>
      <c r="B647" s="174">
        <v>44652</v>
      </c>
      <c r="C647" s="23" t="s">
        <v>1152</v>
      </c>
      <c r="D647" s="106">
        <v>5001299</v>
      </c>
      <c r="E647" s="24" t="s">
        <v>323</v>
      </c>
      <c r="F647" s="29" t="s">
        <v>424</v>
      </c>
      <c r="G647" s="47" t="s">
        <v>1506</v>
      </c>
      <c r="H647" s="24" t="s">
        <v>1302</v>
      </c>
      <c r="I647" s="15">
        <v>1</v>
      </c>
      <c r="J647" s="24" t="s">
        <v>7</v>
      </c>
      <c r="K647" s="35">
        <v>24480</v>
      </c>
      <c r="L647" s="17">
        <f t="shared" si="74"/>
        <v>24480</v>
      </c>
      <c r="M647" s="173">
        <f t="shared" si="77"/>
        <v>2.4480000000000001E-3</v>
      </c>
      <c r="N647" s="160">
        <v>0.86199999999999999</v>
      </c>
      <c r="O647" s="162">
        <f t="shared" si="75"/>
        <v>21101.759999999998</v>
      </c>
      <c r="P647" s="160">
        <v>113.68499999999999</v>
      </c>
      <c r="Q647" s="162">
        <f t="shared" si="76"/>
        <v>2783008.8</v>
      </c>
      <c r="R647" s="133">
        <f t="shared" si="78"/>
        <v>0.27830087999999997</v>
      </c>
      <c r="S647" s="23" t="s">
        <v>1499</v>
      </c>
      <c r="T647" s="24" t="s">
        <v>276</v>
      </c>
      <c r="AA647"/>
    </row>
    <row r="648" spans="1:27" s="16" customFormat="1" ht="12.75" x14ac:dyDescent="0.2">
      <c r="A648" s="24" t="s">
        <v>1502</v>
      </c>
      <c r="B648" s="174">
        <v>44652</v>
      </c>
      <c r="C648" s="23" t="s">
        <v>1155</v>
      </c>
      <c r="D648" s="106">
        <v>5001299</v>
      </c>
      <c r="E648" s="24" t="s">
        <v>323</v>
      </c>
      <c r="F648" s="29" t="s">
        <v>424</v>
      </c>
      <c r="G648" s="47" t="s">
        <v>1506</v>
      </c>
      <c r="H648" s="24" t="s">
        <v>1304</v>
      </c>
      <c r="I648" s="15">
        <v>1</v>
      </c>
      <c r="J648" s="24" t="s">
        <v>7</v>
      </c>
      <c r="K648" s="35">
        <v>19620</v>
      </c>
      <c r="L648" s="17">
        <f t="shared" si="74"/>
        <v>19620</v>
      </c>
      <c r="M648" s="173">
        <f t="shared" si="77"/>
        <v>1.9620000000000002E-3</v>
      </c>
      <c r="N648" s="160">
        <v>0.86199999999999999</v>
      </c>
      <c r="O648" s="162">
        <f t="shared" si="75"/>
        <v>16912.439999999999</v>
      </c>
      <c r="P648" s="160">
        <v>113.68499999999999</v>
      </c>
      <c r="Q648" s="162">
        <f t="shared" si="76"/>
        <v>2230499.6999999997</v>
      </c>
      <c r="R648" s="133">
        <f t="shared" si="78"/>
        <v>0.22304996999999996</v>
      </c>
      <c r="S648" s="23" t="s">
        <v>1499</v>
      </c>
      <c r="T648" s="24" t="s">
        <v>270</v>
      </c>
      <c r="AA648"/>
    </row>
    <row r="649" spans="1:27" s="16" customFormat="1" ht="12.75" x14ac:dyDescent="0.2">
      <c r="A649" s="24" t="s">
        <v>1502</v>
      </c>
      <c r="B649" s="174">
        <v>44652</v>
      </c>
      <c r="C649" s="23" t="s">
        <v>1151</v>
      </c>
      <c r="D649" s="106">
        <v>5001916</v>
      </c>
      <c r="E649" s="24" t="s">
        <v>294</v>
      </c>
      <c r="F649" s="29" t="s">
        <v>424</v>
      </c>
      <c r="G649" s="47" t="s">
        <v>1506</v>
      </c>
      <c r="H649" s="24" t="s">
        <v>1305</v>
      </c>
      <c r="I649" s="15">
        <v>1</v>
      </c>
      <c r="J649" s="24" t="s">
        <v>7</v>
      </c>
      <c r="K649" s="35">
        <v>9580</v>
      </c>
      <c r="L649" s="17">
        <f t="shared" si="74"/>
        <v>9580</v>
      </c>
      <c r="M649" s="173">
        <f t="shared" si="77"/>
        <v>9.5799999999999998E-4</v>
      </c>
      <c r="N649" s="160">
        <v>1.1836734693877551</v>
      </c>
      <c r="O649" s="162">
        <f t="shared" si="75"/>
        <v>11339.591836734693</v>
      </c>
      <c r="P649" s="160">
        <v>229.82504999999998</v>
      </c>
      <c r="Q649" s="162">
        <f t="shared" si="76"/>
        <v>2201723.9789999998</v>
      </c>
      <c r="R649" s="133">
        <f t="shared" si="78"/>
        <v>0.22017239789999998</v>
      </c>
      <c r="S649" s="23" t="s">
        <v>1499</v>
      </c>
      <c r="T649" s="24" t="s">
        <v>278</v>
      </c>
      <c r="AA649"/>
    </row>
    <row r="650" spans="1:27" s="16" customFormat="1" ht="12.75" x14ac:dyDescent="0.2">
      <c r="A650" s="24" t="s">
        <v>1502</v>
      </c>
      <c r="B650" s="174">
        <v>44652</v>
      </c>
      <c r="C650" s="23" t="s">
        <v>1152</v>
      </c>
      <c r="D650" s="106">
        <v>5001299</v>
      </c>
      <c r="E650" s="24" t="s">
        <v>323</v>
      </c>
      <c r="F650" s="29" t="s">
        <v>424</v>
      </c>
      <c r="G650" s="47" t="s">
        <v>1506</v>
      </c>
      <c r="H650" s="24" t="s">
        <v>1312</v>
      </c>
      <c r="I650" s="15">
        <v>1</v>
      </c>
      <c r="J650" s="24" t="s">
        <v>7</v>
      </c>
      <c r="K650" s="35">
        <v>24480</v>
      </c>
      <c r="L650" s="17">
        <f t="shared" si="74"/>
        <v>24480</v>
      </c>
      <c r="M650" s="173">
        <f t="shared" si="77"/>
        <v>2.4480000000000001E-3</v>
      </c>
      <c r="N650" s="160">
        <v>0.86199999999999999</v>
      </c>
      <c r="O650" s="162">
        <f t="shared" si="75"/>
        <v>21101.759999999998</v>
      </c>
      <c r="P650" s="160">
        <v>113.68499999999999</v>
      </c>
      <c r="Q650" s="162">
        <f t="shared" si="76"/>
        <v>2783008.8</v>
      </c>
      <c r="R650" s="133">
        <f t="shared" si="78"/>
        <v>0.27830087999999997</v>
      </c>
      <c r="S650" s="23" t="s">
        <v>1499</v>
      </c>
      <c r="T650" s="24" t="s">
        <v>276</v>
      </c>
      <c r="AA650"/>
    </row>
    <row r="651" spans="1:27" s="16" customFormat="1" ht="12.75" x14ac:dyDescent="0.2">
      <c r="A651" s="24" t="s">
        <v>1502</v>
      </c>
      <c r="B651" s="174">
        <v>44652</v>
      </c>
      <c r="C651" s="23" t="s">
        <v>1152</v>
      </c>
      <c r="D651" s="106">
        <v>5001299</v>
      </c>
      <c r="E651" s="24" t="s">
        <v>323</v>
      </c>
      <c r="F651" s="29" t="s">
        <v>424</v>
      </c>
      <c r="G651" s="47" t="s">
        <v>1506</v>
      </c>
      <c r="H651" s="24" t="s">
        <v>1313</v>
      </c>
      <c r="I651" s="15">
        <v>1</v>
      </c>
      <c r="J651" s="24" t="s">
        <v>7</v>
      </c>
      <c r="K651" s="35">
        <v>24480</v>
      </c>
      <c r="L651" s="17">
        <f t="shared" si="74"/>
        <v>24480</v>
      </c>
      <c r="M651" s="173">
        <f t="shared" si="77"/>
        <v>2.4480000000000001E-3</v>
      </c>
      <c r="N651" s="160">
        <v>0.86199999999999999</v>
      </c>
      <c r="O651" s="162">
        <f t="shared" si="75"/>
        <v>21101.759999999998</v>
      </c>
      <c r="P651" s="160">
        <v>113.68499999999999</v>
      </c>
      <c r="Q651" s="162">
        <f t="shared" si="76"/>
        <v>2783008.8</v>
      </c>
      <c r="R651" s="133">
        <f t="shared" si="78"/>
        <v>0.27830087999999997</v>
      </c>
      <c r="S651" s="23" t="s">
        <v>1499</v>
      </c>
      <c r="T651" s="24" t="s">
        <v>276</v>
      </c>
      <c r="AA651"/>
    </row>
    <row r="652" spans="1:27" s="16" customFormat="1" ht="12.75" x14ac:dyDescent="0.2">
      <c r="A652" s="24" t="s">
        <v>1502</v>
      </c>
      <c r="B652" s="174">
        <v>44652</v>
      </c>
      <c r="C652" s="23" t="s">
        <v>1155</v>
      </c>
      <c r="D652" s="106">
        <v>5001299</v>
      </c>
      <c r="E652" s="24" t="s">
        <v>323</v>
      </c>
      <c r="F652" s="29" t="s">
        <v>424</v>
      </c>
      <c r="G652" s="47" t="s">
        <v>1506</v>
      </c>
      <c r="H652" s="24" t="s">
        <v>1314</v>
      </c>
      <c r="I652" s="15">
        <v>1</v>
      </c>
      <c r="J652" s="24" t="s">
        <v>7</v>
      </c>
      <c r="K652" s="35">
        <v>19800</v>
      </c>
      <c r="L652" s="17">
        <f t="shared" si="74"/>
        <v>19800</v>
      </c>
      <c r="M652" s="173">
        <f t="shared" si="77"/>
        <v>1.98E-3</v>
      </c>
      <c r="N652" s="160">
        <v>0.86199999999999999</v>
      </c>
      <c r="O652" s="162">
        <f t="shared" si="75"/>
        <v>17067.599999999999</v>
      </c>
      <c r="P652" s="160">
        <v>113.68499999999999</v>
      </c>
      <c r="Q652" s="162">
        <f t="shared" si="76"/>
        <v>2250962.9999999995</v>
      </c>
      <c r="R652" s="133">
        <f t="shared" si="78"/>
        <v>0.22509629999999994</v>
      </c>
      <c r="S652" s="23" t="s">
        <v>1499</v>
      </c>
      <c r="T652" s="24" t="s">
        <v>270</v>
      </c>
      <c r="AA652"/>
    </row>
    <row r="653" spans="1:27" s="16" customFormat="1" ht="12.75" x14ac:dyDescent="0.2">
      <c r="A653" s="24" t="s">
        <v>1502</v>
      </c>
      <c r="B653" s="174">
        <v>44652</v>
      </c>
      <c r="C653" s="23" t="s">
        <v>1152</v>
      </c>
      <c r="D653" s="106">
        <v>5001299</v>
      </c>
      <c r="E653" s="24" t="s">
        <v>323</v>
      </c>
      <c r="F653" s="29" t="s">
        <v>424</v>
      </c>
      <c r="G653" s="47" t="s">
        <v>1506</v>
      </c>
      <c r="H653" s="24" t="s">
        <v>1334</v>
      </c>
      <c r="I653" s="15">
        <v>1</v>
      </c>
      <c r="J653" s="24" t="s">
        <v>7</v>
      </c>
      <c r="K653" s="35">
        <v>24480</v>
      </c>
      <c r="L653" s="17">
        <f t="shared" si="74"/>
        <v>24480</v>
      </c>
      <c r="M653" s="173">
        <f t="shared" si="77"/>
        <v>2.4480000000000001E-3</v>
      </c>
      <c r="N653" s="160">
        <v>0.86199999999999999</v>
      </c>
      <c r="O653" s="162">
        <f t="shared" si="75"/>
        <v>21101.759999999998</v>
      </c>
      <c r="P653" s="160">
        <v>113.68499999999999</v>
      </c>
      <c r="Q653" s="162">
        <f t="shared" si="76"/>
        <v>2783008.8</v>
      </c>
      <c r="R653" s="133">
        <f t="shared" si="78"/>
        <v>0.27830087999999997</v>
      </c>
      <c r="S653" s="23" t="s">
        <v>1499</v>
      </c>
      <c r="T653" s="24" t="s">
        <v>276</v>
      </c>
      <c r="AA653"/>
    </row>
    <row r="654" spans="1:27" s="16" customFormat="1" ht="12.75" x14ac:dyDescent="0.2">
      <c r="A654" s="24" t="s">
        <v>1502</v>
      </c>
      <c r="B654" s="174">
        <v>44652</v>
      </c>
      <c r="C654" s="23" t="s">
        <v>1152</v>
      </c>
      <c r="D654" s="106">
        <v>5001299</v>
      </c>
      <c r="E654" s="24" t="s">
        <v>323</v>
      </c>
      <c r="F654" s="29" t="s">
        <v>424</v>
      </c>
      <c r="G654" s="47" t="s">
        <v>1506</v>
      </c>
      <c r="H654" s="24" t="s">
        <v>1335</v>
      </c>
      <c r="I654" s="15">
        <v>1</v>
      </c>
      <c r="J654" s="24" t="s">
        <v>7</v>
      </c>
      <c r="K654" s="35">
        <v>24480</v>
      </c>
      <c r="L654" s="17">
        <f t="shared" si="74"/>
        <v>24480</v>
      </c>
      <c r="M654" s="173">
        <f t="shared" si="77"/>
        <v>2.4480000000000001E-3</v>
      </c>
      <c r="N654" s="160">
        <v>0.86199999999999999</v>
      </c>
      <c r="O654" s="162">
        <f t="shared" si="75"/>
        <v>21101.759999999998</v>
      </c>
      <c r="P654" s="160">
        <v>113.68499999999999</v>
      </c>
      <c r="Q654" s="162">
        <f t="shared" si="76"/>
        <v>2783008.8</v>
      </c>
      <c r="R654" s="133">
        <f t="shared" si="78"/>
        <v>0.27830087999999997</v>
      </c>
      <c r="S654" s="23" t="s">
        <v>1499</v>
      </c>
      <c r="T654" s="24" t="s">
        <v>276</v>
      </c>
      <c r="AA654"/>
    </row>
    <row r="655" spans="1:27" s="16" customFormat="1" ht="12.75" x14ac:dyDescent="0.2">
      <c r="A655" s="24" t="s">
        <v>1502</v>
      </c>
      <c r="B655" s="174">
        <v>44652</v>
      </c>
      <c r="C655" s="23" t="s">
        <v>1155</v>
      </c>
      <c r="D655" s="106">
        <v>5001299</v>
      </c>
      <c r="E655" s="24" t="s">
        <v>323</v>
      </c>
      <c r="F655" s="29" t="s">
        <v>424</v>
      </c>
      <c r="G655" s="47" t="s">
        <v>1506</v>
      </c>
      <c r="H655" s="24" t="s">
        <v>1341</v>
      </c>
      <c r="I655" s="15">
        <v>1</v>
      </c>
      <c r="J655" s="24" t="s">
        <v>7</v>
      </c>
      <c r="K655" s="35">
        <v>19620</v>
      </c>
      <c r="L655" s="17">
        <f t="shared" si="74"/>
        <v>19620</v>
      </c>
      <c r="M655" s="173">
        <f t="shared" si="77"/>
        <v>1.9620000000000002E-3</v>
      </c>
      <c r="N655" s="160">
        <v>0.86199999999999999</v>
      </c>
      <c r="O655" s="162">
        <f t="shared" si="75"/>
        <v>16912.439999999999</v>
      </c>
      <c r="P655" s="160">
        <v>113.68499999999999</v>
      </c>
      <c r="Q655" s="162">
        <f t="shared" si="76"/>
        <v>2230499.6999999997</v>
      </c>
      <c r="R655" s="133">
        <f t="shared" si="78"/>
        <v>0.22304996999999996</v>
      </c>
      <c r="S655" s="23" t="s">
        <v>1499</v>
      </c>
      <c r="T655" s="24" t="s">
        <v>270</v>
      </c>
      <c r="AA655"/>
    </row>
    <row r="656" spans="1:27" s="16" customFormat="1" ht="12.75" x14ac:dyDescent="0.2">
      <c r="A656" s="24" t="s">
        <v>1502</v>
      </c>
      <c r="B656" s="174">
        <v>44652</v>
      </c>
      <c r="C656" s="23" t="s">
        <v>1155</v>
      </c>
      <c r="D656" s="106">
        <v>5001299</v>
      </c>
      <c r="E656" s="24" t="s">
        <v>323</v>
      </c>
      <c r="F656" s="29" t="s">
        <v>424</v>
      </c>
      <c r="G656" s="47" t="s">
        <v>1506</v>
      </c>
      <c r="H656" s="24" t="s">
        <v>1342</v>
      </c>
      <c r="I656" s="15">
        <v>1</v>
      </c>
      <c r="J656" s="24" t="s">
        <v>7</v>
      </c>
      <c r="K656" s="35">
        <v>19620</v>
      </c>
      <c r="L656" s="17">
        <f t="shared" si="74"/>
        <v>19620</v>
      </c>
      <c r="M656" s="173">
        <f t="shared" si="77"/>
        <v>1.9620000000000002E-3</v>
      </c>
      <c r="N656" s="160">
        <v>0.86199999999999999</v>
      </c>
      <c r="O656" s="162">
        <f t="shared" si="75"/>
        <v>16912.439999999999</v>
      </c>
      <c r="P656" s="160">
        <v>113.68499999999999</v>
      </c>
      <c r="Q656" s="162">
        <f t="shared" si="76"/>
        <v>2230499.6999999997</v>
      </c>
      <c r="R656" s="133">
        <f t="shared" si="78"/>
        <v>0.22304996999999996</v>
      </c>
      <c r="S656" s="23" t="s">
        <v>1499</v>
      </c>
      <c r="T656" s="24" t="s">
        <v>270</v>
      </c>
      <c r="AA656"/>
    </row>
    <row r="657" spans="1:27" s="16" customFormat="1" ht="12.75" x14ac:dyDescent="0.2">
      <c r="A657" s="24" t="s">
        <v>1502</v>
      </c>
      <c r="B657" s="174">
        <v>44652</v>
      </c>
      <c r="C657" s="23" t="s">
        <v>1155</v>
      </c>
      <c r="D657" s="106">
        <v>5001299</v>
      </c>
      <c r="E657" s="24" t="s">
        <v>323</v>
      </c>
      <c r="F657" s="29" t="s">
        <v>424</v>
      </c>
      <c r="G657" s="47" t="s">
        <v>1506</v>
      </c>
      <c r="H657" s="24" t="s">
        <v>1348</v>
      </c>
      <c r="I657" s="15">
        <v>1</v>
      </c>
      <c r="J657" s="24" t="s">
        <v>7</v>
      </c>
      <c r="K657" s="35">
        <v>19440</v>
      </c>
      <c r="L657" s="17">
        <f t="shared" si="74"/>
        <v>19440</v>
      </c>
      <c r="M657" s="173">
        <f t="shared" si="77"/>
        <v>1.944E-3</v>
      </c>
      <c r="N657" s="160">
        <v>0.86199999999999999</v>
      </c>
      <c r="O657" s="162">
        <f t="shared" si="75"/>
        <v>16757.28</v>
      </c>
      <c r="P657" s="160">
        <v>113.68499999999999</v>
      </c>
      <c r="Q657" s="162">
        <f t="shared" si="76"/>
        <v>2210036.4</v>
      </c>
      <c r="R657" s="133">
        <f t="shared" si="78"/>
        <v>0.22100364</v>
      </c>
      <c r="S657" s="23" t="s">
        <v>1499</v>
      </c>
      <c r="T657" s="24" t="s">
        <v>270</v>
      </c>
      <c r="AA657"/>
    </row>
    <row r="658" spans="1:27" s="16" customFormat="1" ht="12.75" x14ac:dyDescent="0.2">
      <c r="A658" s="24" t="s">
        <v>1502</v>
      </c>
      <c r="B658" s="174">
        <v>44652</v>
      </c>
      <c r="C658" s="23" t="s">
        <v>1151</v>
      </c>
      <c r="D658" s="106">
        <v>5002063</v>
      </c>
      <c r="E658" s="24" t="s">
        <v>229</v>
      </c>
      <c r="F658" s="29" t="s">
        <v>424</v>
      </c>
      <c r="G658" s="47" t="s">
        <v>1506</v>
      </c>
      <c r="H658" s="24" t="s">
        <v>1360</v>
      </c>
      <c r="I658" s="15">
        <v>1</v>
      </c>
      <c r="J658" s="24" t="s">
        <v>7</v>
      </c>
      <c r="K658" s="35">
        <v>60000</v>
      </c>
      <c r="L658" s="17">
        <f t="shared" si="74"/>
        <v>60000</v>
      </c>
      <c r="M658" s="173">
        <f t="shared" si="77"/>
        <v>6.0000000000000001E-3</v>
      </c>
      <c r="N658" s="160">
        <v>1.1814285714285715</v>
      </c>
      <c r="O658" s="162">
        <f t="shared" si="75"/>
        <v>70885.71428571429</v>
      </c>
      <c r="P658" s="160">
        <v>76.608349999999987</v>
      </c>
      <c r="Q658" s="162">
        <f t="shared" si="76"/>
        <v>4596500.9999999991</v>
      </c>
      <c r="R658" s="133">
        <f t="shared" si="78"/>
        <v>0.45965009999999989</v>
      </c>
      <c r="S658" s="23" t="s">
        <v>1499</v>
      </c>
      <c r="T658" s="24" t="s">
        <v>278</v>
      </c>
      <c r="AA658"/>
    </row>
    <row r="659" spans="1:27" s="16" customFormat="1" ht="12.75" x14ac:dyDescent="0.2">
      <c r="A659" s="24" t="s">
        <v>1502</v>
      </c>
      <c r="B659" s="174">
        <v>44652</v>
      </c>
      <c r="C659" s="23" t="s">
        <v>1151</v>
      </c>
      <c r="D659" s="106">
        <v>5002063</v>
      </c>
      <c r="E659" s="24" t="s">
        <v>229</v>
      </c>
      <c r="F659" s="29" t="s">
        <v>424</v>
      </c>
      <c r="G659" s="47" t="s">
        <v>1506</v>
      </c>
      <c r="H659" s="24" t="s">
        <v>1360</v>
      </c>
      <c r="I659" s="15">
        <v>1</v>
      </c>
      <c r="J659" s="24" t="s">
        <v>7</v>
      </c>
      <c r="K659" s="35">
        <v>18600</v>
      </c>
      <c r="L659" s="17">
        <f t="shared" si="74"/>
        <v>18600</v>
      </c>
      <c r="M659" s="173">
        <f t="shared" si="77"/>
        <v>1.8600000000000001E-3</v>
      </c>
      <c r="N659" s="160">
        <v>1.1814285714285715</v>
      </c>
      <c r="O659" s="162">
        <f t="shared" si="75"/>
        <v>21974.571428571431</v>
      </c>
      <c r="P659" s="160">
        <v>76.608349999999987</v>
      </c>
      <c r="Q659" s="162">
        <f t="shared" si="76"/>
        <v>1424915.3099999998</v>
      </c>
      <c r="R659" s="133">
        <f t="shared" si="78"/>
        <v>0.14249153099999998</v>
      </c>
      <c r="S659" s="23" t="s">
        <v>1499</v>
      </c>
      <c r="T659" s="24" t="s">
        <v>278</v>
      </c>
      <c r="AA659"/>
    </row>
    <row r="660" spans="1:27" s="16" customFormat="1" ht="12.75" x14ac:dyDescent="0.2">
      <c r="A660" s="24" t="s">
        <v>1502</v>
      </c>
      <c r="B660" s="174">
        <v>44652</v>
      </c>
      <c r="C660" s="23" t="s">
        <v>1151</v>
      </c>
      <c r="D660" s="106">
        <v>5001300</v>
      </c>
      <c r="E660" s="24" t="s">
        <v>1222</v>
      </c>
      <c r="F660" s="29" t="s">
        <v>424</v>
      </c>
      <c r="G660" s="47" t="s">
        <v>1506</v>
      </c>
      <c r="H660" s="24" t="s">
        <v>1382</v>
      </c>
      <c r="I660" s="15">
        <v>1</v>
      </c>
      <c r="J660" s="24" t="s">
        <v>7</v>
      </c>
      <c r="K660" s="35">
        <v>23580</v>
      </c>
      <c r="L660" s="17">
        <f t="shared" si="74"/>
        <v>23580</v>
      </c>
      <c r="M660" s="173">
        <f t="shared" si="77"/>
        <v>2.3579999999999999E-3</v>
      </c>
      <c r="N660" s="160">
        <v>1.472</v>
      </c>
      <c r="O660" s="162">
        <f t="shared" si="75"/>
        <v>34709.760000000002</v>
      </c>
      <c r="P660" s="160">
        <v>68.622749787955897</v>
      </c>
      <c r="Q660" s="162">
        <f t="shared" si="76"/>
        <v>1618124.44</v>
      </c>
      <c r="R660" s="133">
        <f t="shared" si="78"/>
        <v>0.161812444</v>
      </c>
      <c r="S660" s="23" t="s">
        <v>1499</v>
      </c>
      <c r="T660" s="24" t="s">
        <v>278</v>
      </c>
      <c r="AA660"/>
    </row>
    <row r="661" spans="1:27" s="16" customFormat="1" ht="12.75" x14ac:dyDescent="0.2">
      <c r="A661" s="24" t="s">
        <v>1502</v>
      </c>
      <c r="B661" s="174">
        <v>44652</v>
      </c>
      <c r="C661" s="23" t="s">
        <v>1149</v>
      </c>
      <c r="D661" s="106">
        <v>5500041</v>
      </c>
      <c r="E661" s="24" t="s">
        <v>49</v>
      </c>
      <c r="F661" s="29" t="s">
        <v>425</v>
      </c>
      <c r="G661" s="101" t="s">
        <v>1505</v>
      </c>
      <c r="H661" s="24" t="s">
        <v>1231</v>
      </c>
      <c r="I661" s="15">
        <v>1</v>
      </c>
      <c r="J661" s="24" t="s">
        <v>39</v>
      </c>
      <c r="K661" s="35">
        <v>18760</v>
      </c>
      <c r="L661" s="17">
        <f t="shared" ref="L661:L705" si="79">K661*I661</f>
        <v>18760</v>
      </c>
      <c r="M661" s="173">
        <f t="shared" si="77"/>
        <v>1.8760000000000001E-3</v>
      </c>
      <c r="N661" s="160">
        <v>2.3580000000000001</v>
      </c>
      <c r="O661" s="162">
        <f t="shared" ref="O661:O705" si="80">+K661*N661</f>
        <v>44236.08</v>
      </c>
      <c r="P661" s="160">
        <v>25.679911338270568</v>
      </c>
      <c r="Q661" s="162">
        <f t="shared" si="76"/>
        <v>481755.13670595584</v>
      </c>
      <c r="R661" s="133">
        <f t="shared" si="78"/>
        <v>4.8175513670595582E-2</v>
      </c>
      <c r="S661" s="23" t="s">
        <v>1499</v>
      </c>
      <c r="T661" s="24" t="s">
        <v>275</v>
      </c>
      <c r="AA661"/>
    </row>
    <row r="662" spans="1:27" s="16" customFormat="1" ht="12.75" x14ac:dyDescent="0.2">
      <c r="A662" s="24" t="s">
        <v>1502</v>
      </c>
      <c r="B662" s="174">
        <v>44652</v>
      </c>
      <c r="C662" s="23" t="s">
        <v>1149</v>
      </c>
      <c r="D662" s="106">
        <v>5500041</v>
      </c>
      <c r="E662" s="24" t="s">
        <v>49</v>
      </c>
      <c r="F662" s="29" t="s">
        <v>425</v>
      </c>
      <c r="G662" s="101" t="s">
        <v>1505</v>
      </c>
      <c r="H662" s="24" t="s">
        <v>1232</v>
      </c>
      <c r="I662" s="15">
        <v>1</v>
      </c>
      <c r="J662" s="24" t="s">
        <v>39</v>
      </c>
      <c r="K662" s="35">
        <v>18990</v>
      </c>
      <c r="L662" s="17">
        <f t="shared" si="79"/>
        <v>18990</v>
      </c>
      <c r="M662" s="173">
        <f t="shared" si="77"/>
        <v>1.8990000000000001E-3</v>
      </c>
      <c r="N662" s="160">
        <v>2.3580000000000001</v>
      </c>
      <c r="O662" s="162">
        <f t="shared" si="80"/>
        <v>44778.42</v>
      </c>
      <c r="P662" s="160">
        <v>25.679911338270568</v>
      </c>
      <c r="Q662" s="162">
        <f t="shared" si="76"/>
        <v>487661.5163137581</v>
      </c>
      <c r="R662" s="133">
        <f t="shared" si="78"/>
        <v>4.8766151631375806E-2</v>
      </c>
      <c r="S662" s="23" t="s">
        <v>1499</v>
      </c>
      <c r="T662" s="24" t="s">
        <v>275</v>
      </c>
      <c r="AA662"/>
    </row>
    <row r="663" spans="1:27" s="16" customFormat="1" ht="12.75" x14ac:dyDescent="0.2">
      <c r="A663" s="24" t="s">
        <v>1502</v>
      </c>
      <c r="B663" s="174">
        <v>44652</v>
      </c>
      <c r="C663" s="23" t="s">
        <v>1149</v>
      </c>
      <c r="D663" s="106">
        <v>5500482</v>
      </c>
      <c r="E663" s="24" t="s">
        <v>1175</v>
      </c>
      <c r="F663" s="29" t="s">
        <v>425</v>
      </c>
      <c r="G663" s="101" t="s">
        <v>1505</v>
      </c>
      <c r="H663" s="24" t="s">
        <v>1233</v>
      </c>
      <c r="I663" s="15">
        <v>1</v>
      </c>
      <c r="J663" s="24" t="s">
        <v>39</v>
      </c>
      <c r="K663" s="35">
        <v>18256</v>
      </c>
      <c r="L663" s="17">
        <f t="shared" si="79"/>
        <v>18256</v>
      </c>
      <c r="M663" s="173">
        <f t="shared" si="77"/>
        <v>1.8255999999999999E-3</v>
      </c>
      <c r="N663" s="160">
        <v>1.92</v>
      </c>
      <c r="O663" s="162">
        <f t="shared" si="80"/>
        <v>35051.519999999997</v>
      </c>
      <c r="P663" s="160">
        <v>157.49964285714285</v>
      </c>
      <c r="Q663" s="162">
        <f t="shared" si="76"/>
        <v>2875313.48</v>
      </c>
      <c r="R663" s="133">
        <f t="shared" si="78"/>
        <v>0.28753134800000002</v>
      </c>
      <c r="S663" s="23" t="s">
        <v>1499</v>
      </c>
      <c r="T663" s="24" t="s">
        <v>275</v>
      </c>
      <c r="AA663"/>
    </row>
    <row r="664" spans="1:27" s="16" customFormat="1" ht="12.75" x14ac:dyDescent="0.2">
      <c r="A664" s="24" t="s">
        <v>1502</v>
      </c>
      <c r="B664" s="174">
        <v>44652</v>
      </c>
      <c r="C664" s="23" t="s">
        <v>1149</v>
      </c>
      <c r="D664" s="106">
        <v>5500004</v>
      </c>
      <c r="E664" s="24" t="s">
        <v>1177</v>
      </c>
      <c r="F664" s="29" t="s">
        <v>425</v>
      </c>
      <c r="G664" s="101" t="s">
        <v>1505</v>
      </c>
      <c r="H664" s="24" t="s">
        <v>1240</v>
      </c>
      <c r="I664" s="15">
        <v>1</v>
      </c>
      <c r="J664" s="24" t="s">
        <v>39</v>
      </c>
      <c r="K664" s="35">
        <v>37016</v>
      </c>
      <c r="L664" s="17">
        <f t="shared" si="79"/>
        <v>37016</v>
      </c>
      <c r="M664" s="173">
        <f t="shared" si="77"/>
        <v>3.7016000000000002E-3</v>
      </c>
      <c r="N664" s="160">
        <v>1.9159999999999999</v>
      </c>
      <c r="O664" s="162">
        <f t="shared" si="80"/>
        <v>70922.656000000003</v>
      </c>
      <c r="P664" s="160">
        <v>172.23919684002701</v>
      </c>
      <c r="Q664" s="162">
        <f t="shared" si="76"/>
        <v>6375606.1102304393</v>
      </c>
      <c r="R664" s="133">
        <f t="shared" si="78"/>
        <v>0.63756061102304395</v>
      </c>
      <c r="S664" s="23" t="s">
        <v>1499</v>
      </c>
      <c r="T664" s="24" t="s">
        <v>275</v>
      </c>
      <c r="AA664"/>
    </row>
    <row r="665" spans="1:27" s="16" customFormat="1" ht="12.75" x14ac:dyDescent="0.2">
      <c r="A665" s="24" t="s">
        <v>1502</v>
      </c>
      <c r="B665" s="174">
        <v>44652</v>
      </c>
      <c r="C665" s="23" t="s">
        <v>1149</v>
      </c>
      <c r="D665" s="106">
        <v>5500165</v>
      </c>
      <c r="E665" s="24" t="s">
        <v>72</v>
      </c>
      <c r="F665" s="29" t="s">
        <v>425</v>
      </c>
      <c r="G665" s="101" t="s">
        <v>1505</v>
      </c>
      <c r="H665" s="24" t="s">
        <v>1243</v>
      </c>
      <c r="I665" s="15">
        <v>1</v>
      </c>
      <c r="J665" s="24" t="s">
        <v>39</v>
      </c>
      <c r="K665" s="35">
        <v>19070</v>
      </c>
      <c r="L665" s="17">
        <f t="shared" si="79"/>
        <v>19070</v>
      </c>
      <c r="M665" s="173">
        <f t="shared" si="77"/>
        <v>1.9070000000000001E-3</v>
      </c>
      <c r="N665" s="160">
        <v>2.36</v>
      </c>
      <c r="O665" s="162">
        <f t="shared" si="80"/>
        <v>45005.2</v>
      </c>
      <c r="P665" s="160">
        <v>153.63997574450897</v>
      </c>
      <c r="Q665" s="162">
        <f t="shared" si="76"/>
        <v>2929914.3374477862</v>
      </c>
      <c r="R665" s="133">
        <f t="shared" si="78"/>
        <v>0.29299143374477865</v>
      </c>
      <c r="S665" s="23" t="s">
        <v>1499</v>
      </c>
      <c r="T665" s="24" t="s">
        <v>275</v>
      </c>
      <c r="AA665"/>
    </row>
    <row r="666" spans="1:27" s="16" customFormat="1" ht="12.75" x14ac:dyDescent="0.2">
      <c r="A666" s="24" t="s">
        <v>1502</v>
      </c>
      <c r="B666" s="174">
        <v>44652</v>
      </c>
      <c r="C666" s="23" t="s">
        <v>1149</v>
      </c>
      <c r="D666" s="106">
        <v>5500487</v>
      </c>
      <c r="E666" s="24" t="s">
        <v>1178</v>
      </c>
      <c r="F666" s="29" t="s">
        <v>425</v>
      </c>
      <c r="G666" s="101" t="s">
        <v>1505</v>
      </c>
      <c r="H666" s="24" t="s">
        <v>1244</v>
      </c>
      <c r="I666" s="15">
        <v>1</v>
      </c>
      <c r="J666" s="24" t="s">
        <v>39</v>
      </c>
      <c r="K666" s="35">
        <v>4620</v>
      </c>
      <c r="L666" s="17">
        <f t="shared" si="79"/>
        <v>4620</v>
      </c>
      <c r="M666" s="173">
        <f t="shared" si="77"/>
        <v>4.6200000000000001E-4</v>
      </c>
      <c r="N666" s="160">
        <v>1.9159999999999999</v>
      </c>
      <c r="O666" s="162">
        <f t="shared" si="80"/>
        <v>8851.92</v>
      </c>
      <c r="P666" s="160">
        <v>217.005</v>
      </c>
      <c r="Q666" s="162">
        <f t="shared" si="76"/>
        <v>1002563.1</v>
      </c>
      <c r="R666" s="133">
        <f t="shared" si="78"/>
        <v>0.10025631</v>
      </c>
      <c r="S666" s="23" t="s">
        <v>1499</v>
      </c>
      <c r="T666" s="24" t="s">
        <v>275</v>
      </c>
      <c r="AA666"/>
    </row>
    <row r="667" spans="1:27" s="16" customFormat="1" ht="12.75" x14ac:dyDescent="0.2">
      <c r="A667" s="24" t="s">
        <v>1502</v>
      </c>
      <c r="B667" s="174">
        <v>44652</v>
      </c>
      <c r="C667" s="23" t="s">
        <v>1156</v>
      </c>
      <c r="D667" s="106">
        <v>5002477</v>
      </c>
      <c r="E667" s="24" t="s">
        <v>1180</v>
      </c>
      <c r="F667" s="29" t="s">
        <v>424</v>
      </c>
      <c r="G667" s="101" t="s">
        <v>1505</v>
      </c>
      <c r="H667" s="24" t="s">
        <v>1254</v>
      </c>
      <c r="I667" s="15">
        <v>1</v>
      </c>
      <c r="J667" s="24" t="s">
        <v>39</v>
      </c>
      <c r="K667" s="35">
        <v>9375</v>
      </c>
      <c r="L667" s="17">
        <f t="shared" si="79"/>
        <v>9375</v>
      </c>
      <c r="M667" s="173">
        <f t="shared" si="77"/>
        <v>9.3749999999999997E-4</v>
      </c>
      <c r="N667" s="160">
        <v>2.357894736842105</v>
      </c>
      <c r="O667" s="162">
        <f t="shared" si="80"/>
        <v>22105.263157894733</v>
      </c>
      <c r="P667" s="160">
        <v>312.076775</v>
      </c>
      <c r="Q667" s="162">
        <f t="shared" si="76"/>
        <v>2925719.765625</v>
      </c>
      <c r="R667" s="133">
        <f t="shared" si="78"/>
        <v>0.2925719765625</v>
      </c>
      <c r="S667" s="23" t="s">
        <v>1499</v>
      </c>
      <c r="T667" s="24" t="s">
        <v>279</v>
      </c>
      <c r="AA667"/>
    </row>
    <row r="668" spans="1:27" s="16" customFormat="1" ht="12.75" x14ac:dyDescent="0.2">
      <c r="A668" s="24" t="s">
        <v>1502</v>
      </c>
      <c r="B668" s="174">
        <v>44652</v>
      </c>
      <c r="C668" s="23" t="s">
        <v>1157</v>
      </c>
      <c r="D668" s="106">
        <v>5500162</v>
      </c>
      <c r="E668" s="24" t="s">
        <v>349</v>
      </c>
      <c r="F668" s="29" t="s">
        <v>425</v>
      </c>
      <c r="G668" s="101" t="s">
        <v>1505</v>
      </c>
      <c r="H668" s="24" t="s">
        <v>1255</v>
      </c>
      <c r="I668" s="15">
        <v>1</v>
      </c>
      <c r="J668" s="24" t="s">
        <v>39</v>
      </c>
      <c r="K668" s="35">
        <v>27888</v>
      </c>
      <c r="L668" s="17">
        <f t="shared" si="79"/>
        <v>27888</v>
      </c>
      <c r="M668" s="173">
        <f t="shared" si="77"/>
        <v>2.7888000000000001E-3</v>
      </c>
      <c r="N668" s="160">
        <v>1.65</v>
      </c>
      <c r="O668" s="162">
        <f t="shared" si="80"/>
        <v>46015.199999999997</v>
      </c>
      <c r="P668" s="160">
        <v>123.7500254178541</v>
      </c>
      <c r="Q668" s="162">
        <f t="shared" si="76"/>
        <v>3451140.7088531153</v>
      </c>
      <c r="R668" s="133">
        <f t="shared" si="78"/>
        <v>0.34511407088531154</v>
      </c>
      <c r="S668" s="23" t="s">
        <v>1499</v>
      </c>
      <c r="T668" s="24" t="s">
        <v>274</v>
      </c>
      <c r="AA668"/>
    </row>
    <row r="669" spans="1:27" s="16" customFormat="1" ht="12.75" x14ac:dyDescent="0.2">
      <c r="A669" s="24" t="s">
        <v>1502</v>
      </c>
      <c r="B669" s="174">
        <v>44652</v>
      </c>
      <c r="C669" s="23" t="s">
        <v>1157</v>
      </c>
      <c r="D669" s="106">
        <v>5500176</v>
      </c>
      <c r="E669" s="24" t="s">
        <v>77</v>
      </c>
      <c r="F669" s="29" t="s">
        <v>425</v>
      </c>
      <c r="G669" s="101" t="s">
        <v>1505</v>
      </c>
      <c r="H669" s="24" t="s">
        <v>1256</v>
      </c>
      <c r="I669" s="15">
        <v>1</v>
      </c>
      <c r="J669" s="24" t="s">
        <v>39</v>
      </c>
      <c r="K669" s="35">
        <v>27860</v>
      </c>
      <c r="L669" s="17">
        <f t="shared" si="79"/>
        <v>27860</v>
      </c>
      <c r="M669" s="173">
        <f t="shared" si="77"/>
        <v>2.7859999999999998E-3</v>
      </c>
      <c r="N669" s="160">
        <v>1.8859999999999999</v>
      </c>
      <c r="O669" s="162">
        <f t="shared" si="80"/>
        <v>52543.96</v>
      </c>
      <c r="P669" s="160">
        <v>90.676580000000186</v>
      </c>
      <c r="Q669" s="162">
        <f t="shared" si="76"/>
        <v>2526249.5188000053</v>
      </c>
      <c r="R669" s="133">
        <f t="shared" si="78"/>
        <v>0.25262495188000056</v>
      </c>
      <c r="S669" s="23" t="s">
        <v>1499</v>
      </c>
      <c r="T669" s="24" t="s">
        <v>274</v>
      </c>
      <c r="AA669"/>
    </row>
    <row r="670" spans="1:27" s="16" customFormat="1" ht="12.75" x14ac:dyDescent="0.2">
      <c r="A670" s="24" t="s">
        <v>1502</v>
      </c>
      <c r="B670" s="174">
        <v>44652</v>
      </c>
      <c r="C670" s="23" t="s">
        <v>1149</v>
      </c>
      <c r="D670" s="106">
        <v>5500487</v>
      </c>
      <c r="E670" s="24" t="s">
        <v>1178</v>
      </c>
      <c r="F670" s="29" t="s">
        <v>425</v>
      </c>
      <c r="G670" s="101" t="s">
        <v>1505</v>
      </c>
      <c r="H670" s="24" t="s">
        <v>1244</v>
      </c>
      <c r="I670" s="15">
        <v>1</v>
      </c>
      <c r="J670" s="24" t="s">
        <v>39</v>
      </c>
      <c r="K670" s="35">
        <v>31560</v>
      </c>
      <c r="L670" s="17">
        <f t="shared" si="79"/>
        <v>31560</v>
      </c>
      <c r="M670" s="173">
        <f t="shared" si="77"/>
        <v>3.156E-3</v>
      </c>
      <c r="N670" s="160">
        <v>1.9159999999999999</v>
      </c>
      <c r="O670" s="162">
        <f t="shared" si="80"/>
        <v>60468.959999999999</v>
      </c>
      <c r="P670" s="160">
        <v>217.005</v>
      </c>
      <c r="Q670" s="162">
        <f t="shared" si="76"/>
        <v>6848677.7999999998</v>
      </c>
      <c r="R670" s="133">
        <f t="shared" si="78"/>
        <v>0.68486777999999993</v>
      </c>
      <c r="S670" s="23" t="s">
        <v>1499</v>
      </c>
      <c r="T670" s="24" t="s">
        <v>275</v>
      </c>
      <c r="AA670"/>
    </row>
    <row r="671" spans="1:27" s="16" customFormat="1" ht="12.75" x14ac:dyDescent="0.2">
      <c r="A671" s="24" t="s">
        <v>1502</v>
      </c>
      <c r="B671" s="174">
        <v>44652</v>
      </c>
      <c r="C671" s="23" t="s">
        <v>1157</v>
      </c>
      <c r="D671" s="106">
        <v>5500850</v>
      </c>
      <c r="E671" s="24" t="s">
        <v>762</v>
      </c>
      <c r="F671" s="29" t="s">
        <v>425</v>
      </c>
      <c r="G671" s="101" t="s">
        <v>1505</v>
      </c>
      <c r="H671" s="24" t="s">
        <v>1257</v>
      </c>
      <c r="I671" s="15">
        <v>1</v>
      </c>
      <c r="J671" s="24" t="s">
        <v>39</v>
      </c>
      <c r="K671" s="35">
        <v>27972</v>
      </c>
      <c r="L671" s="17">
        <f t="shared" si="79"/>
        <v>27972</v>
      </c>
      <c r="M671" s="173">
        <f t="shared" si="77"/>
        <v>2.7972000000000001E-3</v>
      </c>
      <c r="N671" s="160">
        <v>1.9159999999999999</v>
      </c>
      <c r="O671" s="162">
        <f t="shared" si="80"/>
        <v>53594.351999999999</v>
      </c>
      <c r="P671" s="160">
        <v>183.76807102069998</v>
      </c>
      <c r="Q671" s="162">
        <f t="shared" si="76"/>
        <v>5140360.4825910199</v>
      </c>
      <c r="R671" s="133">
        <f t="shared" si="78"/>
        <v>0.51403604825910199</v>
      </c>
      <c r="S671" s="23" t="s">
        <v>1499</v>
      </c>
      <c r="T671" s="24" t="s">
        <v>274</v>
      </c>
      <c r="AA671"/>
    </row>
    <row r="672" spans="1:27" s="16" customFormat="1" ht="12.75" x14ac:dyDescent="0.2">
      <c r="A672" s="24" t="s">
        <v>1502</v>
      </c>
      <c r="B672" s="174">
        <v>44652</v>
      </c>
      <c r="C672" s="23" t="s">
        <v>1156</v>
      </c>
      <c r="D672" s="106">
        <v>5004662</v>
      </c>
      <c r="E672" s="24" t="s">
        <v>1181</v>
      </c>
      <c r="F672" s="29" t="s">
        <v>424</v>
      </c>
      <c r="G672" s="101" t="s">
        <v>1505</v>
      </c>
      <c r="H672" s="24" t="s">
        <v>1263</v>
      </c>
      <c r="I672" s="15">
        <v>1</v>
      </c>
      <c r="J672" s="24" t="s">
        <v>39</v>
      </c>
      <c r="K672" s="35">
        <v>9450</v>
      </c>
      <c r="L672" s="17">
        <f t="shared" si="79"/>
        <v>9450</v>
      </c>
      <c r="M672" s="173">
        <f t="shared" si="77"/>
        <v>9.4499999999999998E-4</v>
      </c>
      <c r="N672" s="160">
        <v>2.36</v>
      </c>
      <c r="O672" s="162">
        <f t="shared" si="80"/>
        <v>22302</v>
      </c>
      <c r="P672" s="160">
        <v>167.625</v>
      </c>
      <c r="Q672" s="162">
        <f t="shared" si="76"/>
        <v>1584056.25</v>
      </c>
      <c r="R672" s="133">
        <f t="shared" si="78"/>
        <v>0.15840562499999999</v>
      </c>
      <c r="S672" s="23" t="s">
        <v>1499</v>
      </c>
      <c r="T672" s="24" t="s">
        <v>279</v>
      </c>
      <c r="AA672"/>
    </row>
    <row r="673" spans="1:27" s="16" customFormat="1" ht="12.75" x14ac:dyDescent="0.2">
      <c r="A673" s="24" t="s">
        <v>1502</v>
      </c>
      <c r="B673" s="174">
        <v>44652</v>
      </c>
      <c r="C673" s="23" t="s">
        <v>1156</v>
      </c>
      <c r="D673" s="106">
        <v>5004662</v>
      </c>
      <c r="E673" s="24" t="s">
        <v>1181</v>
      </c>
      <c r="F673" s="29" t="s">
        <v>424</v>
      </c>
      <c r="G673" s="101" t="s">
        <v>1505</v>
      </c>
      <c r="H673" s="24" t="s">
        <v>1264</v>
      </c>
      <c r="I673" s="15">
        <v>1</v>
      </c>
      <c r="J673" s="24" t="s">
        <v>39</v>
      </c>
      <c r="K673" s="35">
        <v>9450</v>
      </c>
      <c r="L673" s="17">
        <f t="shared" si="79"/>
        <v>9450</v>
      </c>
      <c r="M673" s="173">
        <f t="shared" si="77"/>
        <v>9.4499999999999998E-4</v>
      </c>
      <c r="N673" s="160">
        <v>2.36</v>
      </c>
      <c r="O673" s="162">
        <f t="shared" si="80"/>
        <v>22302</v>
      </c>
      <c r="P673" s="160">
        <v>167.625</v>
      </c>
      <c r="Q673" s="162">
        <f t="shared" si="76"/>
        <v>1584056.25</v>
      </c>
      <c r="R673" s="133">
        <f t="shared" si="78"/>
        <v>0.15840562499999999</v>
      </c>
      <c r="S673" s="23" t="s">
        <v>1499</v>
      </c>
      <c r="T673" s="24" t="s">
        <v>279</v>
      </c>
      <c r="AA673"/>
    </row>
    <row r="674" spans="1:27" s="16" customFormat="1" ht="12.75" x14ac:dyDescent="0.2">
      <c r="A674" s="24" t="s">
        <v>1502</v>
      </c>
      <c r="B674" s="174">
        <v>44652</v>
      </c>
      <c r="C674" s="23" t="s">
        <v>1156</v>
      </c>
      <c r="D674" s="106">
        <v>5004664</v>
      </c>
      <c r="E674" s="24" t="s">
        <v>358</v>
      </c>
      <c r="F674" s="29" t="s">
        <v>424</v>
      </c>
      <c r="G674" s="101" t="s">
        <v>1505</v>
      </c>
      <c r="H674" s="24" t="s">
        <v>1265</v>
      </c>
      <c r="I674" s="15">
        <v>1</v>
      </c>
      <c r="J674" s="24" t="s">
        <v>39</v>
      </c>
      <c r="K674" s="35">
        <v>19300</v>
      </c>
      <c r="L674" s="17">
        <f t="shared" si="79"/>
        <v>19300</v>
      </c>
      <c r="M674" s="173">
        <f t="shared" si="77"/>
        <v>1.9300000000000001E-3</v>
      </c>
      <c r="N674" s="160">
        <v>1.9159999999999999</v>
      </c>
      <c r="O674" s="162">
        <f t="shared" si="80"/>
        <v>36978.799999999996</v>
      </c>
      <c r="P674" s="160">
        <v>190.87499830795261</v>
      </c>
      <c r="Q674" s="162">
        <f t="shared" si="76"/>
        <v>3683887.4673434854</v>
      </c>
      <c r="R674" s="133">
        <f t="shared" si="78"/>
        <v>0.36838874673434857</v>
      </c>
      <c r="S674" s="23" t="s">
        <v>1499</v>
      </c>
      <c r="T674" s="24" t="s">
        <v>279</v>
      </c>
      <c r="AA674"/>
    </row>
    <row r="675" spans="1:27" s="16" customFormat="1" ht="12.75" x14ac:dyDescent="0.2">
      <c r="A675" s="24" t="s">
        <v>1502</v>
      </c>
      <c r="B675" s="174">
        <v>44652</v>
      </c>
      <c r="C675" s="23" t="s">
        <v>1162</v>
      </c>
      <c r="D675" s="106">
        <v>5500720</v>
      </c>
      <c r="E675" s="24" t="s">
        <v>1190</v>
      </c>
      <c r="F675" s="29" t="s">
        <v>425</v>
      </c>
      <c r="G675" s="101" t="s">
        <v>1505</v>
      </c>
      <c r="H675" s="24" t="s">
        <v>1283</v>
      </c>
      <c r="I675" s="15">
        <v>1</v>
      </c>
      <c r="J675" s="24" t="s">
        <v>7</v>
      </c>
      <c r="K675" s="35">
        <v>14400</v>
      </c>
      <c r="L675" s="17">
        <f t="shared" si="79"/>
        <v>14400</v>
      </c>
      <c r="M675" s="173">
        <f t="shared" si="77"/>
        <v>1.4400000000000001E-3</v>
      </c>
      <c r="N675" s="160">
        <v>2.36</v>
      </c>
      <c r="O675" s="162">
        <f t="shared" si="80"/>
        <v>33984</v>
      </c>
      <c r="P675" s="160">
        <v>291.8601890634086</v>
      </c>
      <c r="Q675" s="162">
        <f t="shared" si="76"/>
        <v>4202786.7225130834</v>
      </c>
      <c r="R675" s="133">
        <f t="shared" si="78"/>
        <v>0.42027867225130833</v>
      </c>
      <c r="S675" s="23" t="s">
        <v>1499</v>
      </c>
      <c r="T675" s="24" t="s">
        <v>277</v>
      </c>
      <c r="AA675"/>
    </row>
    <row r="676" spans="1:27" s="16" customFormat="1" ht="12.75" x14ac:dyDescent="0.2">
      <c r="A676" s="24" t="s">
        <v>1502</v>
      </c>
      <c r="B676" s="174">
        <v>44652</v>
      </c>
      <c r="C676" s="23" t="s">
        <v>1162</v>
      </c>
      <c r="D676" s="106">
        <v>5500720</v>
      </c>
      <c r="E676" s="24" t="s">
        <v>1190</v>
      </c>
      <c r="F676" s="29" t="s">
        <v>425</v>
      </c>
      <c r="G676" s="101" t="s">
        <v>1505</v>
      </c>
      <c r="H676" s="24" t="s">
        <v>1284</v>
      </c>
      <c r="I676" s="15">
        <v>1</v>
      </c>
      <c r="J676" s="24" t="s">
        <v>7</v>
      </c>
      <c r="K676" s="35">
        <v>14149</v>
      </c>
      <c r="L676" s="17">
        <f t="shared" si="79"/>
        <v>14149</v>
      </c>
      <c r="M676" s="173">
        <f t="shared" si="77"/>
        <v>1.4149E-3</v>
      </c>
      <c r="N676" s="160">
        <v>2.36</v>
      </c>
      <c r="O676" s="162">
        <f t="shared" si="80"/>
        <v>33391.64</v>
      </c>
      <c r="P676" s="160">
        <v>291.8601890634086</v>
      </c>
      <c r="Q676" s="162">
        <f t="shared" si="76"/>
        <v>4129529.815058168</v>
      </c>
      <c r="R676" s="133">
        <f t="shared" si="78"/>
        <v>0.41295298150581683</v>
      </c>
      <c r="S676" s="23" t="s">
        <v>1499</v>
      </c>
      <c r="T676" s="24" t="s">
        <v>277</v>
      </c>
      <c r="AA676"/>
    </row>
    <row r="677" spans="1:27" s="16" customFormat="1" ht="12.75" x14ac:dyDescent="0.2">
      <c r="A677" s="24" t="s">
        <v>1502</v>
      </c>
      <c r="B677" s="174">
        <v>44652</v>
      </c>
      <c r="C677" s="23" t="s">
        <v>1163</v>
      </c>
      <c r="D677" s="106">
        <v>5500873</v>
      </c>
      <c r="E677" s="24" t="s">
        <v>1191</v>
      </c>
      <c r="F677" s="29" t="s">
        <v>425</v>
      </c>
      <c r="G677" s="101" t="s">
        <v>1505</v>
      </c>
      <c r="H677" s="24" t="s">
        <v>1285</v>
      </c>
      <c r="I677" s="15">
        <v>1</v>
      </c>
      <c r="J677" s="24" t="s">
        <v>39</v>
      </c>
      <c r="K677" s="35">
        <v>8510</v>
      </c>
      <c r="L677" s="17">
        <f t="shared" si="79"/>
        <v>8510</v>
      </c>
      <c r="M677" s="173">
        <f t="shared" si="77"/>
        <v>8.5099999999999998E-4</v>
      </c>
      <c r="N677" s="160">
        <v>2.357894736842105</v>
      </c>
      <c r="O677" s="162">
        <f t="shared" si="80"/>
        <v>20065.684210526313</v>
      </c>
      <c r="P677" s="160">
        <v>63.640600000000006</v>
      </c>
      <c r="Q677" s="162">
        <f t="shared" si="76"/>
        <v>541581.50600000005</v>
      </c>
      <c r="R677" s="133">
        <f t="shared" si="78"/>
        <v>5.4158150600000003E-2</v>
      </c>
      <c r="S677" s="23" t="s">
        <v>1499</v>
      </c>
      <c r="T677" s="24" t="s">
        <v>1171</v>
      </c>
      <c r="AA677"/>
    </row>
    <row r="678" spans="1:27" s="16" customFormat="1" ht="12.75" x14ac:dyDescent="0.2">
      <c r="A678" s="24" t="s">
        <v>1502</v>
      </c>
      <c r="B678" s="174">
        <v>44652</v>
      </c>
      <c r="C678" s="23" t="s">
        <v>1162</v>
      </c>
      <c r="D678" s="106">
        <v>5500020</v>
      </c>
      <c r="E678" s="24" t="s">
        <v>1193</v>
      </c>
      <c r="F678" s="29" t="s">
        <v>425</v>
      </c>
      <c r="G678" s="101" t="s">
        <v>1505</v>
      </c>
      <c r="H678" s="24" t="s">
        <v>1287</v>
      </c>
      <c r="I678" s="15">
        <v>1</v>
      </c>
      <c r="J678" s="24" t="s">
        <v>39</v>
      </c>
      <c r="K678" s="35">
        <v>29303</v>
      </c>
      <c r="L678" s="17">
        <f t="shared" si="79"/>
        <v>29303</v>
      </c>
      <c r="M678" s="173">
        <f t="shared" si="77"/>
        <v>2.9302999999999998E-3</v>
      </c>
      <c r="N678" s="160">
        <v>1.92</v>
      </c>
      <c r="O678" s="162">
        <f t="shared" si="80"/>
        <v>56261.759999999995</v>
      </c>
      <c r="P678" s="160">
        <v>187.12934684684689</v>
      </c>
      <c r="Q678" s="162">
        <f t="shared" si="76"/>
        <v>5483451.2506531542</v>
      </c>
      <c r="R678" s="133">
        <f t="shared" si="78"/>
        <v>0.54834512506531541</v>
      </c>
      <c r="S678" s="23" t="s">
        <v>1499</v>
      </c>
      <c r="T678" s="24" t="s">
        <v>277</v>
      </c>
      <c r="AA678"/>
    </row>
    <row r="679" spans="1:27" s="16" customFormat="1" ht="12.75" x14ac:dyDescent="0.2">
      <c r="A679" s="24" t="s">
        <v>1502</v>
      </c>
      <c r="B679" s="174">
        <v>44652</v>
      </c>
      <c r="C679" s="23" t="s">
        <v>1156</v>
      </c>
      <c r="D679" s="106">
        <v>5000096</v>
      </c>
      <c r="E679" s="24" t="s">
        <v>1194</v>
      </c>
      <c r="F679" s="29" t="s">
        <v>424</v>
      </c>
      <c r="G679" s="101" t="s">
        <v>1505</v>
      </c>
      <c r="H679" s="24" t="s">
        <v>1290</v>
      </c>
      <c r="I679" s="15">
        <v>1</v>
      </c>
      <c r="J679" s="24" t="s">
        <v>39</v>
      </c>
      <c r="K679" s="35">
        <v>9600</v>
      </c>
      <c r="L679" s="17">
        <f t="shared" si="79"/>
        <v>9600</v>
      </c>
      <c r="M679" s="173">
        <f t="shared" si="77"/>
        <v>9.6000000000000002E-4</v>
      </c>
      <c r="N679" s="160">
        <v>1.9159999999999999</v>
      </c>
      <c r="O679" s="162">
        <f t="shared" si="80"/>
        <v>18393.599999999999</v>
      </c>
      <c r="P679" s="160">
        <v>149</v>
      </c>
      <c r="Q679" s="162">
        <f t="shared" si="76"/>
        <v>1430400</v>
      </c>
      <c r="R679" s="133">
        <f t="shared" si="78"/>
        <v>0.14304</v>
      </c>
      <c r="S679" s="23" t="s">
        <v>1499</v>
      </c>
      <c r="T679" s="24" t="s">
        <v>279</v>
      </c>
      <c r="AA679"/>
    </row>
    <row r="680" spans="1:27" s="16" customFormat="1" ht="12.75" x14ac:dyDescent="0.2">
      <c r="A680" s="24" t="s">
        <v>1502</v>
      </c>
      <c r="B680" s="174">
        <v>44652</v>
      </c>
      <c r="C680" s="23" t="s">
        <v>1156</v>
      </c>
      <c r="D680" s="106">
        <v>5000096</v>
      </c>
      <c r="E680" s="24" t="s">
        <v>1194</v>
      </c>
      <c r="F680" s="29" t="s">
        <v>424</v>
      </c>
      <c r="G680" s="101" t="s">
        <v>1505</v>
      </c>
      <c r="H680" s="24" t="s">
        <v>1290</v>
      </c>
      <c r="I680" s="15">
        <v>1</v>
      </c>
      <c r="J680" s="24" t="s">
        <v>39</v>
      </c>
      <c r="K680" s="35">
        <v>9600</v>
      </c>
      <c r="L680" s="17">
        <f t="shared" si="79"/>
        <v>9600</v>
      </c>
      <c r="M680" s="173">
        <f t="shared" si="77"/>
        <v>9.6000000000000002E-4</v>
      </c>
      <c r="N680" s="160">
        <v>1.9159999999999999</v>
      </c>
      <c r="O680" s="162">
        <f t="shared" si="80"/>
        <v>18393.599999999999</v>
      </c>
      <c r="P680" s="160">
        <v>149</v>
      </c>
      <c r="Q680" s="162">
        <f t="shared" si="76"/>
        <v>1430400</v>
      </c>
      <c r="R680" s="133">
        <f t="shared" si="78"/>
        <v>0.14304</v>
      </c>
      <c r="S680" s="23" t="s">
        <v>1499</v>
      </c>
      <c r="T680" s="24" t="s">
        <v>279</v>
      </c>
      <c r="AA680"/>
    </row>
    <row r="681" spans="1:27" s="16" customFormat="1" ht="12.75" x14ac:dyDescent="0.2">
      <c r="A681" s="24" t="s">
        <v>1502</v>
      </c>
      <c r="B681" s="174">
        <v>44652</v>
      </c>
      <c r="C681" s="23" t="s">
        <v>1156</v>
      </c>
      <c r="D681" s="106">
        <v>5000096</v>
      </c>
      <c r="E681" s="24" t="s">
        <v>1194</v>
      </c>
      <c r="F681" s="29" t="s">
        <v>424</v>
      </c>
      <c r="G681" s="101" t="s">
        <v>1505</v>
      </c>
      <c r="H681" s="24" t="s">
        <v>1290</v>
      </c>
      <c r="I681" s="15">
        <v>1</v>
      </c>
      <c r="J681" s="24" t="s">
        <v>39</v>
      </c>
      <c r="K681" s="35">
        <v>9775</v>
      </c>
      <c r="L681" s="17">
        <f t="shared" si="79"/>
        <v>9775</v>
      </c>
      <c r="M681" s="173">
        <f t="shared" si="77"/>
        <v>9.7750000000000007E-4</v>
      </c>
      <c r="N681" s="160">
        <v>1.9159999999999999</v>
      </c>
      <c r="O681" s="162">
        <f t="shared" si="80"/>
        <v>18728.899999999998</v>
      </c>
      <c r="P681" s="160">
        <v>149</v>
      </c>
      <c r="Q681" s="162">
        <f t="shared" si="76"/>
        <v>1456475</v>
      </c>
      <c r="R681" s="133">
        <f t="shared" si="78"/>
        <v>0.14564750000000001</v>
      </c>
      <c r="S681" s="23" t="s">
        <v>1499</v>
      </c>
      <c r="T681" s="24" t="s">
        <v>279</v>
      </c>
      <c r="AA681"/>
    </row>
    <row r="682" spans="1:27" s="16" customFormat="1" ht="12.75" x14ac:dyDescent="0.2">
      <c r="A682" s="24" t="s">
        <v>1502</v>
      </c>
      <c r="B682" s="174">
        <v>44652</v>
      </c>
      <c r="C682" s="23" t="s">
        <v>1156</v>
      </c>
      <c r="D682" s="106">
        <v>5000091</v>
      </c>
      <c r="E682" s="24" t="s">
        <v>1197</v>
      </c>
      <c r="F682" s="29" t="s">
        <v>424</v>
      </c>
      <c r="G682" s="101" t="s">
        <v>1505</v>
      </c>
      <c r="H682" s="24" t="s">
        <v>1307</v>
      </c>
      <c r="I682" s="15">
        <v>1</v>
      </c>
      <c r="J682" s="24" t="s">
        <v>39</v>
      </c>
      <c r="K682" s="35">
        <v>9360</v>
      </c>
      <c r="L682" s="17">
        <f t="shared" si="79"/>
        <v>9360</v>
      </c>
      <c r="M682" s="173">
        <f t="shared" si="77"/>
        <v>9.3599999999999998E-4</v>
      </c>
      <c r="N682" s="160">
        <v>1.9159999999999999</v>
      </c>
      <c r="O682" s="162">
        <f t="shared" si="80"/>
        <v>17933.759999999998</v>
      </c>
      <c r="P682" s="160">
        <v>388.0447980295566</v>
      </c>
      <c r="Q682" s="162">
        <f t="shared" si="76"/>
        <v>3632099.30955665</v>
      </c>
      <c r="R682" s="133">
        <f t="shared" si="78"/>
        <v>0.36320993095566501</v>
      </c>
      <c r="S682" s="23" t="s">
        <v>1499</v>
      </c>
      <c r="T682" s="24" t="s">
        <v>279</v>
      </c>
      <c r="AA682"/>
    </row>
    <row r="683" spans="1:27" s="16" customFormat="1" ht="12.75" x14ac:dyDescent="0.2">
      <c r="A683" s="24" t="s">
        <v>1502</v>
      </c>
      <c r="B683" s="174">
        <v>44652</v>
      </c>
      <c r="C683" s="23" t="s">
        <v>1156</v>
      </c>
      <c r="D683" s="106">
        <v>5000091</v>
      </c>
      <c r="E683" s="24" t="s">
        <v>1197</v>
      </c>
      <c r="F683" s="29" t="s">
        <v>424</v>
      </c>
      <c r="G683" s="101" t="s">
        <v>1505</v>
      </c>
      <c r="H683" s="24" t="s">
        <v>1307</v>
      </c>
      <c r="I683" s="15">
        <v>1</v>
      </c>
      <c r="J683" s="24" t="s">
        <v>39</v>
      </c>
      <c r="K683" s="35">
        <v>9320</v>
      </c>
      <c r="L683" s="17">
        <f t="shared" si="79"/>
        <v>9320</v>
      </c>
      <c r="M683" s="173">
        <f t="shared" si="77"/>
        <v>9.3199999999999999E-4</v>
      </c>
      <c r="N683" s="160">
        <v>1.9159999999999999</v>
      </c>
      <c r="O683" s="162">
        <f t="shared" si="80"/>
        <v>17857.12</v>
      </c>
      <c r="P683" s="160">
        <v>388.0447980295566</v>
      </c>
      <c r="Q683" s="162">
        <f t="shared" si="76"/>
        <v>3616577.5176354675</v>
      </c>
      <c r="R683" s="133">
        <f t="shared" si="78"/>
        <v>0.36165775176354675</v>
      </c>
      <c r="S683" s="23" t="s">
        <v>1499</v>
      </c>
      <c r="T683" s="24" t="s">
        <v>279</v>
      </c>
      <c r="AA683"/>
    </row>
    <row r="684" spans="1:27" s="16" customFormat="1" ht="12.75" x14ac:dyDescent="0.2">
      <c r="A684" s="24" t="s">
        <v>1502</v>
      </c>
      <c r="B684" s="174">
        <v>44652</v>
      </c>
      <c r="C684" s="23" t="s">
        <v>1157</v>
      </c>
      <c r="D684" s="106">
        <v>5500146</v>
      </c>
      <c r="E684" s="24" t="s">
        <v>68</v>
      </c>
      <c r="F684" s="29" t="s">
        <v>425</v>
      </c>
      <c r="G684" s="101" t="s">
        <v>1505</v>
      </c>
      <c r="H684" s="24" t="s">
        <v>1315</v>
      </c>
      <c r="I684" s="15">
        <v>1</v>
      </c>
      <c r="J684" s="24" t="s">
        <v>39</v>
      </c>
      <c r="K684" s="35">
        <v>34034</v>
      </c>
      <c r="L684" s="17">
        <f t="shared" si="79"/>
        <v>34034</v>
      </c>
      <c r="M684" s="173">
        <f t="shared" si="77"/>
        <v>3.4034E-3</v>
      </c>
      <c r="N684" s="160">
        <v>1.9159999999999999</v>
      </c>
      <c r="O684" s="162">
        <f t="shared" si="80"/>
        <v>65209.144</v>
      </c>
      <c r="P684" s="160">
        <v>215.36002167978216</v>
      </c>
      <c r="Q684" s="162">
        <f t="shared" si="76"/>
        <v>7329562.9778497061</v>
      </c>
      <c r="R684" s="133">
        <f t="shared" si="78"/>
        <v>0.73295629778497062</v>
      </c>
      <c r="S684" s="23" t="s">
        <v>1499</v>
      </c>
      <c r="T684" s="24" t="s">
        <v>274</v>
      </c>
      <c r="AA684"/>
    </row>
    <row r="685" spans="1:27" s="16" customFormat="1" ht="12.75" x14ac:dyDescent="0.2">
      <c r="A685" s="24" t="s">
        <v>1502</v>
      </c>
      <c r="B685" s="174">
        <v>44652</v>
      </c>
      <c r="C685" s="23" t="s">
        <v>1157</v>
      </c>
      <c r="D685" s="106">
        <v>5500162</v>
      </c>
      <c r="E685" s="24" t="s">
        <v>349</v>
      </c>
      <c r="F685" s="29" t="s">
        <v>425</v>
      </c>
      <c r="G685" s="101" t="s">
        <v>1505</v>
      </c>
      <c r="H685" s="24" t="s">
        <v>1316</v>
      </c>
      <c r="I685" s="15">
        <v>1</v>
      </c>
      <c r="J685" s="24" t="s">
        <v>39</v>
      </c>
      <c r="K685" s="35">
        <v>28042</v>
      </c>
      <c r="L685" s="17">
        <f t="shared" si="79"/>
        <v>28042</v>
      </c>
      <c r="M685" s="173">
        <f t="shared" si="77"/>
        <v>2.8042000000000002E-3</v>
      </c>
      <c r="N685" s="160">
        <v>1.65</v>
      </c>
      <c r="O685" s="162">
        <f t="shared" si="80"/>
        <v>46269.299999999996</v>
      </c>
      <c r="P685" s="160">
        <v>123.7500254178541</v>
      </c>
      <c r="Q685" s="162">
        <f t="shared" si="76"/>
        <v>3470198.2127674646</v>
      </c>
      <c r="R685" s="133">
        <f t="shared" si="78"/>
        <v>0.34701982127674647</v>
      </c>
      <c r="S685" s="23" t="s">
        <v>1499</v>
      </c>
      <c r="T685" s="24" t="s">
        <v>274</v>
      </c>
      <c r="AA685"/>
    </row>
    <row r="686" spans="1:27" s="16" customFormat="1" ht="12.75" x14ac:dyDescent="0.2">
      <c r="A686" s="24" t="s">
        <v>1502</v>
      </c>
      <c r="B686" s="174">
        <v>44652</v>
      </c>
      <c r="C686" s="23" t="s">
        <v>1157</v>
      </c>
      <c r="D686" s="106">
        <v>5500171</v>
      </c>
      <c r="E686" s="24" t="s">
        <v>76</v>
      </c>
      <c r="F686" s="29" t="s">
        <v>425</v>
      </c>
      <c r="G686" s="101" t="s">
        <v>1505</v>
      </c>
      <c r="H686" s="24" t="s">
        <v>1317</v>
      </c>
      <c r="I686" s="15">
        <v>1</v>
      </c>
      <c r="J686" s="24" t="s">
        <v>39</v>
      </c>
      <c r="K686" s="35">
        <v>27426</v>
      </c>
      <c r="L686" s="17">
        <f t="shared" si="79"/>
        <v>27426</v>
      </c>
      <c r="M686" s="173">
        <f t="shared" si="77"/>
        <v>2.7426E-3</v>
      </c>
      <c r="N686" s="160">
        <v>2.2280000000000002</v>
      </c>
      <c r="O686" s="162">
        <f t="shared" si="80"/>
        <v>61105.128000000004</v>
      </c>
      <c r="P686" s="160">
        <v>104.52012547892755</v>
      </c>
      <c r="Q686" s="162">
        <f t="shared" si="76"/>
        <v>2866568.9613850671</v>
      </c>
      <c r="R686" s="133">
        <f t="shared" si="78"/>
        <v>0.2866568961385067</v>
      </c>
      <c r="S686" s="23" t="s">
        <v>1499</v>
      </c>
      <c r="T686" s="24" t="s">
        <v>274</v>
      </c>
      <c r="AA686"/>
    </row>
    <row r="687" spans="1:27" s="16" customFormat="1" ht="12.75" x14ac:dyDescent="0.2">
      <c r="A687" s="24" t="s">
        <v>1502</v>
      </c>
      <c r="B687" s="174">
        <v>44652</v>
      </c>
      <c r="C687" s="23" t="s">
        <v>1157</v>
      </c>
      <c r="D687" s="106">
        <v>5500184</v>
      </c>
      <c r="E687" s="24" t="s">
        <v>1199</v>
      </c>
      <c r="F687" s="29" t="s">
        <v>425</v>
      </c>
      <c r="G687" s="101" t="s">
        <v>1505</v>
      </c>
      <c r="H687" s="24" t="s">
        <v>1318</v>
      </c>
      <c r="I687" s="15">
        <v>1</v>
      </c>
      <c r="J687" s="24" t="s">
        <v>39</v>
      </c>
      <c r="K687" s="35">
        <v>27608</v>
      </c>
      <c r="L687" s="17">
        <f t="shared" si="79"/>
        <v>27608</v>
      </c>
      <c r="M687" s="173">
        <f t="shared" si="77"/>
        <v>2.7607999999999999E-3</v>
      </c>
      <c r="N687" s="160">
        <v>1.92</v>
      </c>
      <c r="O687" s="162">
        <f t="shared" si="80"/>
        <v>53007.360000000001</v>
      </c>
      <c r="P687" s="160">
        <v>142.70999149349817</v>
      </c>
      <c r="Q687" s="162">
        <f t="shared" si="76"/>
        <v>3939937.4451524974</v>
      </c>
      <c r="R687" s="133">
        <f t="shared" si="78"/>
        <v>0.39399374451524971</v>
      </c>
      <c r="S687" s="23" t="s">
        <v>1499</v>
      </c>
      <c r="T687" s="24" t="s">
        <v>274</v>
      </c>
      <c r="AA687"/>
    </row>
    <row r="688" spans="1:27" s="16" customFormat="1" ht="12.75" x14ac:dyDescent="0.2">
      <c r="A688" s="24" t="s">
        <v>1502</v>
      </c>
      <c r="B688" s="174">
        <v>44652</v>
      </c>
      <c r="C688" s="23" t="s">
        <v>1167</v>
      </c>
      <c r="D688" s="106">
        <v>5500175</v>
      </c>
      <c r="E688" s="24" t="s">
        <v>1200</v>
      </c>
      <c r="F688" s="29" t="s">
        <v>425</v>
      </c>
      <c r="G688" s="101" t="s">
        <v>1505</v>
      </c>
      <c r="H688" s="24" t="s">
        <v>1325</v>
      </c>
      <c r="I688" s="15">
        <v>1</v>
      </c>
      <c r="J688" s="24" t="s">
        <v>39</v>
      </c>
      <c r="K688" s="35">
        <v>19096</v>
      </c>
      <c r="L688" s="17">
        <f t="shared" si="79"/>
        <v>19096</v>
      </c>
      <c r="M688" s="173">
        <f t="shared" si="77"/>
        <v>1.9096E-3</v>
      </c>
      <c r="N688" s="160">
        <v>1.9159999999999999</v>
      </c>
      <c r="O688" s="162">
        <f t="shared" si="80"/>
        <v>36587.936000000002</v>
      </c>
      <c r="P688" s="160">
        <v>108.32000958058303</v>
      </c>
      <c r="Q688" s="162">
        <f t="shared" si="76"/>
        <v>2068478.9029508135</v>
      </c>
      <c r="R688" s="133">
        <f t="shared" si="78"/>
        <v>0.20684789029508135</v>
      </c>
      <c r="S688" s="23" t="s">
        <v>1499</v>
      </c>
      <c r="T688" s="24" t="s">
        <v>282</v>
      </c>
      <c r="AA688"/>
    </row>
    <row r="689" spans="1:27" s="16" customFormat="1" ht="12.75" x14ac:dyDescent="0.2">
      <c r="A689" s="24" t="s">
        <v>1502</v>
      </c>
      <c r="B689" s="174">
        <v>44652</v>
      </c>
      <c r="C689" s="23" t="s">
        <v>1167</v>
      </c>
      <c r="D689" s="106">
        <v>5500175</v>
      </c>
      <c r="E689" s="24" t="s">
        <v>1200</v>
      </c>
      <c r="F689" s="29" t="s">
        <v>425</v>
      </c>
      <c r="G689" s="101" t="s">
        <v>1505</v>
      </c>
      <c r="H689" s="24" t="s">
        <v>1326</v>
      </c>
      <c r="I689" s="15">
        <v>1</v>
      </c>
      <c r="J689" s="24" t="s">
        <v>39</v>
      </c>
      <c r="K689" s="35">
        <v>19152</v>
      </c>
      <c r="L689" s="17">
        <f t="shared" si="79"/>
        <v>19152</v>
      </c>
      <c r="M689" s="173">
        <f t="shared" si="77"/>
        <v>1.9151999999999999E-3</v>
      </c>
      <c r="N689" s="160">
        <v>1.9159999999999999</v>
      </c>
      <c r="O689" s="162">
        <f t="shared" si="80"/>
        <v>36695.231999999996</v>
      </c>
      <c r="P689" s="160">
        <v>108.32000958058303</v>
      </c>
      <c r="Q689" s="162">
        <f t="shared" si="76"/>
        <v>2074544.8234873263</v>
      </c>
      <c r="R689" s="133">
        <f t="shared" si="78"/>
        <v>0.20745448234873262</v>
      </c>
      <c r="S689" s="23" t="s">
        <v>1499</v>
      </c>
      <c r="T689" s="24" t="s">
        <v>282</v>
      </c>
      <c r="AA689"/>
    </row>
    <row r="690" spans="1:27" s="16" customFormat="1" ht="12.75" x14ac:dyDescent="0.2">
      <c r="A690" s="24" t="s">
        <v>1502</v>
      </c>
      <c r="B690" s="174">
        <v>44652</v>
      </c>
      <c r="C690" s="23" t="s">
        <v>1167</v>
      </c>
      <c r="D690" s="106">
        <v>5500175</v>
      </c>
      <c r="E690" s="24" t="s">
        <v>1200</v>
      </c>
      <c r="F690" s="29" t="s">
        <v>425</v>
      </c>
      <c r="G690" s="101" t="s">
        <v>1505</v>
      </c>
      <c r="H690" s="24" t="s">
        <v>1327</v>
      </c>
      <c r="I690" s="15">
        <v>1</v>
      </c>
      <c r="J690" s="24" t="s">
        <v>39</v>
      </c>
      <c r="K690" s="35">
        <v>18704</v>
      </c>
      <c r="L690" s="17">
        <f t="shared" si="79"/>
        <v>18704</v>
      </c>
      <c r="M690" s="173">
        <f t="shared" si="77"/>
        <v>1.8703999999999999E-3</v>
      </c>
      <c r="N690" s="160">
        <v>1.9159999999999999</v>
      </c>
      <c r="O690" s="162">
        <f t="shared" si="80"/>
        <v>35836.864000000001</v>
      </c>
      <c r="P690" s="160">
        <v>108.32000958058303</v>
      </c>
      <c r="Q690" s="162">
        <f t="shared" si="76"/>
        <v>2026017.459195225</v>
      </c>
      <c r="R690" s="133">
        <f t="shared" si="78"/>
        <v>0.20260174591952251</v>
      </c>
      <c r="S690" s="23" t="s">
        <v>1499</v>
      </c>
      <c r="T690" s="24" t="s">
        <v>282</v>
      </c>
      <c r="AA690"/>
    </row>
    <row r="691" spans="1:27" s="16" customFormat="1" ht="12.75" x14ac:dyDescent="0.2">
      <c r="A691" s="24" t="s">
        <v>1502</v>
      </c>
      <c r="B691" s="174">
        <v>44652</v>
      </c>
      <c r="C691" s="23" t="s">
        <v>1149</v>
      </c>
      <c r="D691" s="106">
        <v>5500149</v>
      </c>
      <c r="E691" s="24" t="s">
        <v>1201</v>
      </c>
      <c r="F691" s="29" t="s">
        <v>425</v>
      </c>
      <c r="G691" s="101" t="s">
        <v>1505</v>
      </c>
      <c r="H691" s="24" t="s">
        <v>1330</v>
      </c>
      <c r="I691" s="15">
        <v>1</v>
      </c>
      <c r="J691" s="24" t="s">
        <v>39</v>
      </c>
      <c r="K691" s="35">
        <v>36344</v>
      </c>
      <c r="L691" s="17">
        <f t="shared" si="79"/>
        <v>36344</v>
      </c>
      <c r="M691" s="173">
        <f t="shared" si="77"/>
        <v>3.6343999999999999E-3</v>
      </c>
      <c r="N691" s="160">
        <v>1.9159999999999999</v>
      </c>
      <c r="O691" s="162">
        <f t="shared" si="80"/>
        <v>69635.103999999992</v>
      </c>
      <c r="P691" s="160">
        <v>223.07</v>
      </c>
      <c r="Q691" s="162">
        <f t="shared" si="76"/>
        <v>8107256.0800000001</v>
      </c>
      <c r="R691" s="133">
        <f t="shared" si="78"/>
        <v>0.81072560800000004</v>
      </c>
      <c r="S691" s="23" t="s">
        <v>1499</v>
      </c>
      <c r="T691" s="24" t="s">
        <v>275</v>
      </c>
      <c r="AA691"/>
    </row>
    <row r="692" spans="1:27" s="16" customFormat="1" ht="12.75" x14ac:dyDescent="0.2">
      <c r="A692" s="24" t="s">
        <v>1502</v>
      </c>
      <c r="B692" s="174">
        <v>44652</v>
      </c>
      <c r="C692" s="23" t="s">
        <v>1149</v>
      </c>
      <c r="D692" s="106">
        <v>5500154</v>
      </c>
      <c r="E692" s="24" t="s">
        <v>71</v>
      </c>
      <c r="F692" s="29" t="s">
        <v>425</v>
      </c>
      <c r="G692" s="101" t="s">
        <v>1505</v>
      </c>
      <c r="H692" s="24" t="s">
        <v>1331</v>
      </c>
      <c r="I692" s="15">
        <v>1</v>
      </c>
      <c r="J692" s="24" t="s">
        <v>39</v>
      </c>
      <c r="K692" s="35">
        <v>29330</v>
      </c>
      <c r="L692" s="17">
        <f t="shared" si="79"/>
        <v>29330</v>
      </c>
      <c r="M692" s="173">
        <f t="shared" si="77"/>
        <v>2.9329999999999998E-3</v>
      </c>
      <c r="N692" s="160">
        <v>1.9159999999999999</v>
      </c>
      <c r="O692" s="162">
        <f t="shared" si="80"/>
        <v>56196.28</v>
      </c>
      <c r="P692" s="160">
        <v>152.36003804994056</v>
      </c>
      <c r="Q692" s="162">
        <f t="shared" si="76"/>
        <v>4468719.9160047565</v>
      </c>
      <c r="R692" s="133">
        <f t="shared" si="78"/>
        <v>0.44687199160047564</v>
      </c>
      <c r="S692" s="23" t="s">
        <v>1499</v>
      </c>
      <c r="T692" s="24" t="s">
        <v>275</v>
      </c>
      <c r="AA692"/>
    </row>
    <row r="693" spans="1:27" s="16" customFormat="1" ht="12.75" x14ac:dyDescent="0.2">
      <c r="A693" s="24" t="s">
        <v>1502</v>
      </c>
      <c r="B693" s="174">
        <v>44652</v>
      </c>
      <c r="C693" s="23" t="s">
        <v>1149</v>
      </c>
      <c r="D693" s="106">
        <v>8000118</v>
      </c>
      <c r="E693" s="24" t="s">
        <v>1202</v>
      </c>
      <c r="F693" s="29" t="s">
        <v>425</v>
      </c>
      <c r="G693" s="101" t="s">
        <v>1505</v>
      </c>
      <c r="H693" s="24" t="s">
        <v>1331</v>
      </c>
      <c r="I693" s="15">
        <v>1</v>
      </c>
      <c r="J693" s="24" t="s">
        <v>39</v>
      </c>
      <c r="K693" s="35">
        <v>13006</v>
      </c>
      <c r="L693" s="17">
        <f t="shared" si="79"/>
        <v>13006</v>
      </c>
      <c r="M693" s="173">
        <f t="shared" si="77"/>
        <v>1.3006000000000001E-3</v>
      </c>
      <c r="N693" s="160">
        <v>1.92</v>
      </c>
      <c r="O693" s="162">
        <f t="shared" si="80"/>
        <v>24971.52</v>
      </c>
      <c r="P693" s="160">
        <v>0</v>
      </c>
      <c r="Q693" s="162">
        <f t="shared" si="76"/>
        <v>0</v>
      </c>
      <c r="R693" s="133">
        <f t="shared" si="78"/>
        <v>0</v>
      </c>
      <c r="S693" s="23" t="s">
        <v>1499</v>
      </c>
      <c r="T693" s="24" t="s">
        <v>275</v>
      </c>
      <c r="AA693"/>
    </row>
    <row r="694" spans="1:27" s="16" customFormat="1" ht="12.75" x14ac:dyDescent="0.2">
      <c r="A694" s="24" t="s">
        <v>1502</v>
      </c>
      <c r="B694" s="174">
        <v>44652</v>
      </c>
      <c r="C694" s="23" t="s">
        <v>1149</v>
      </c>
      <c r="D694" s="106">
        <v>5000685</v>
      </c>
      <c r="E694" s="24" t="s">
        <v>1205</v>
      </c>
      <c r="F694" s="29" t="s">
        <v>424</v>
      </c>
      <c r="G694" s="101" t="s">
        <v>1505</v>
      </c>
      <c r="H694" s="24" t="s">
        <v>1343</v>
      </c>
      <c r="I694" s="15">
        <v>1</v>
      </c>
      <c r="J694" s="24" t="s">
        <v>39</v>
      </c>
      <c r="K694" s="35">
        <v>17850</v>
      </c>
      <c r="L694" s="17">
        <f t="shared" si="79"/>
        <v>17850</v>
      </c>
      <c r="M694" s="173">
        <f t="shared" si="77"/>
        <v>1.7849999999999999E-3</v>
      </c>
      <c r="N694" s="160">
        <v>1.92</v>
      </c>
      <c r="O694" s="162">
        <f t="shared" si="80"/>
        <v>34272</v>
      </c>
      <c r="P694" s="160">
        <v>651.5918999999999</v>
      </c>
      <c r="Q694" s="162">
        <f t="shared" si="76"/>
        <v>11630915.414999997</v>
      </c>
      <c r="R694" s="133">
        <f t="shared" si="78"/>
        <v>1.1630915414999998</v>
      </c>
      <c r="S694" s="23" t="s">
        <v>1499</v>
      </c>
      <c r="T694" s="24" t="s">
        <v>275</v>
      </c>
      <c r="AA694"/>
    </row>
    <row r="695" spans="1:27" s="16" customFormat="1" ht="12.75" x14ac:dyDescent="0.2">
      <c r="A695" s="24" t="s">
        <v>1502</v>
      </c>
      <c r="B695" s="174">
        <v>44652</v>
      </c>
      <c r="C695" s="23" t="s">
        <v>1156</v>
      </c>
      <c r="D695" s="106">
        <v>5001232</v>
      </c>
      <c r="E695" s="24" t="s">
        <v>289</v>
      </c>
      <c r="F695" s="29" t="s">
        <v>424</v>
      </c>
      <c r="G695" s="101" t="s">
        <v>1505</v>
      </c>
      <c r="H695" s="24" t="s">
        <v>1345</v>
      </c>
      <c r="I695" s="15">
        <v>1</v>
      </c>
      <c r="J695" s="24" t="s">
        <v>39</v>
      </c>
      <c r="K695" s="35">
        <v>9375</v>
      </c>
      <c r="L695" s="17">
        <f t="shared" si="79"/>
        <v>9375</v>
      </c>
      <c r="M695" s="173">
        <f t="shared" si="77"/>
        <v>9.3749999999999997E-4</v>
      </c>
      <c r="N695" s="160">
        <v>2.36</v>
      </c>
      <c r="O695" s="162">
        <f t="shared" si="80"/>
        <v>22125</v>
      </c>
      <c r="P695" s="160">
        <v>109.89549892473119</v>
      </c>
      <c r="Q695" s="162">
        <f t="shared" si="76"/>
        <v>1030270.3024193549</v>
      </c>
      <c r="R695" s="133">
        <f t="shared" si="78"/>
        <v>0.10302703024193549</v>
      </c>
      <c r="S695" s="23" t="s">
        <v>1499</v>
      </c>
      <c r="T695" s="24" t="s">
        <v>279</v>
      </c>
      <c r="AA695"/>
    </row>
    <row r="696" spans="1:27" s="16" customFormat="1" ht="12.75" x14ac:dyDescent="0.2">
      <c r="A696" s="24" t="s">
        <v>1502</v>
      </c>
      <c r="B696" s="174">
        <v>44652</v>
      </c>
      <c r="C696" s="23" t="s">
        <v>1156</v>
      </c>
      <c r="D696" s="106">
        <v>5001232</v>
      </c>
      <c r="E696" s="24" t="s">
        <v>289</v>
      </c>
      <c r="F696" s="29" t="s">
        <v>424</v>
      </c>
      <c r="G696" s="101" t="s">
        <v>1505</v>
      </c>
      <c r="H696" s="24" t="s">
        <v>1346</v>
      </c>
      <c r="I696" s="15">
        <v>1</v>
      </c>
      <c r="J696" s="24" t="s">
        <v>39</v>
      </c>
      <c r="K696" s="35">
        <v>9550</v>
      </c>
      <c r="L696" s="17">
        <f t="shared" si="79"/>
        <v>9550</v>
      </c>
      <c r="M696" s="173">
        <f t="shared" si="77"/>
        <v>9.5500000000000001E-4</v>
      </c>
      <c r="N696" s="160">
        <v>2.36</v>
      </c>
      <c r="O696" s="162">
        <f t="shared" si="80"/>
        <v>22538</v>
      </c>
      <c r="P696" s="160">
        <v>109.89549892473119</v>
      </c>
      <c r="Q696" s="162">
        <f t="shared" si="76"/>
        <v>1049502.0147311827</v>
      </c>
      <c r="R696" s="133">
        <f t="shared" si="78"/>
        <v>0.10495020147311827</v>
      </c>
      <c r="S696" s="23" t="s">
        <v>1499</v>
      </c>
      <c r="T696" s="24" t="s">
        <v>279</v>
      </c>
      <c r="AA696"/>
    </row>
    <row r="697" spans="1:27" s="16" customFormat="1" ht="12.75" x14ac:dyDescent="0.2">
      <c r="A697" s="24" t="s">
        <v>1502</v>
      </c>
      <c r="B697" s="174">
        <v>44652</v>
      </c>
      <c r="C697" s="23" t="s">
        <v>1156</v>
      </c>
      <c r="D697" s="106">
        <v>5001232</v>
      </c>
      <c r="E697" s="24" t="s">
        <v>289</v>
      </c>
      <c r="F697" s="29" t="s">
        <v>424</v>
      </c>
      <c r="G697" s="101" t="s">
        <v>1505</v>
      </c>
      <c r="H697" s="24" t="s">
        <v>1347</v>
      </c>
      <c r="I697" s="15">
        <v>1</v>
      </c>
      <c r="J697" s="24" t="s">
        <v>39</v>
      </c>
      <c r="K697" s="35">
        <v>9425</v>
      </c>
      <c r="L697" s="17">
        <f t="shared" si="79"/>
        <v>9425</v>
      </c>
      <c r="M697" s="173">
        <f t="shared" si="77"/>
        <v>9.4249999999999998E-4</v>
      </c>
      <c r="N697" s="160">
        <v>2.36</v>
      </c>
      <c r="O697" s="162">
        <f t="shared" si="80"/>
        <v>22243</v>
      </c>
      <c r="P697" s="160">
        <v>109.89549892473119</v>
      </c>
      <c r="Q697" s="162">
        <f t="shared" si="76"/>
        <v>1035765.0773655914</v>
      </c>
      <c r="R697" s="133">
        <f t="shared" si="78"/>
        <v>0.10357650773655915</v>
      </c>
      <c r="S697" s="23" t="s">
        <v>1499</v>
      </c>
      <c r="T697" s="24" t="s">
        <v>279</v>
      </c>
      <c r="AA697"/>
    </row>
    <row r="698" spans="1:27" s="16" customFormat="1" ht="12.75" x14ac:dyDescent="0.2">
      <c r="A698" s="24" t="s">
        <v>1502</v>
      </c>
      <c r="B698" s="174">
        <v>44652</v>
      </c>
      <c r="C698" s="23" t="s">
        <v>1149</v>
      </c>
      <c r="D698" s="106">
        <v>5001848</v>
      </c>
      <c r="E698" s="24" t="s">
        <v>1206</v>
      </c>
      <c r="F698" s="29" t="s">
        <v>424</v>
      </c>
      <c r="G698" s="101" t="s">
        <v>1505</v>
      </c>
      <c r="H698" s="24" t="s">
        <v>1349</v>
      </c>
      <c r="I698" s="15">
        <v>1</v>
      </c>
      <c r="J698" s="24" t="s">
        <v>39</v>
      </c>
      <c r="K698" s="35">
        <v>13175</v>
      </c>
      <c r="L698" s="17">
        <f t="shared" si="79"/>
        <v>13175</v>
      </c>
      <c r="M698" s="173">
        <f t="shared" si="77"/>
        <v>1.3175000000000001E-3</v>
      </c>
      <c r="N698" s="160">
        <v>1.9159999999999999</v>
      </c>
      <c r="O698" s="162">
        <f t="shared" si="80"/>
        <v>25243.3</v>
      </c>
      <c r="P698" s="160">
        <v>355.36499999999995</v>
      </c>
      <c r="Q698" s="162">
        <f t="shared" si="76"/>
        <v>4681933.8749999991</v>
      </c>
      <c r="R698" s="133">
        <f t="shared" si="78"/>
        <v>0.46819338749999989</v>
      </c>
      <c r="S698" s="23" t="s">
        <v>1499</v>
      </c>
      <c r="T698" s="24" t="s">
        <v>275</v>
      </c>
      <c r="AA698"/>
    </row>
    <row r="699" spans="1:27" s="16" customFormat="1" ht="12.75" x14ac:dyDescent="0.2">
      <c r="A699" s="24" t="s">
        <v>1502</v>
      </c>
      <c r="B699" s="174">
        <v>44652</v>
      </c>
      <c r="C699" s="23" t="s">
        <v>1149</v>
      </c>
      <c r="D699" s="106">
        <v>5001849</v>
      </c>
      <c r="E699" s="24" t="s">
        <v>296</v>
      </c>
      <c r="F699" s="29" t="s">
        <v>424</v>
      </c>
      <c r="G699" s="101" t="s">
        <v>1505</v>
      </c>
      <c r="H699" s="24" t="s">
        <v>1350</v>
      </c>
      <c r="I699" s="15">
        <v>1</v>
      </c>
      <c r="J699" s="24" t="s">
        <v>39</v>
      </c>
      <c r="K699" s="35">
        <v>9000</v>
      </c>
      <c r="L699" s="17">
        <f t="shared" si="79"/>
        <v>9000</v>
      </c>
      <c r="M699" s="173">
        <f t="shared" si="77"/>
        <v>8.9999999999999998E-4</v>
      </c>
      <c r="N699" s="160">
        <v>1.9159999999999999</v>
      </c>
      <c r="O699" s="162">
        <f t="shared" si="80"/>
        <v>17244</v>
      </c>
      <c r="P699" s="160">
        <v>295.683187657784</v>
      </c>
      <c r="Q699" s="162">
        <f t="shared" si="76"/>
        <v>2661148.688920056</v>
      </c>
      <c r="R699" s="133">
        <f t="shared" si="78"/>
        <v>0.26611486889200558</v>
      </c>
      <c r="S699" s="23" t="s">
        <v>1499</v>
      </c>
      <c r="T699" s="24" t="s">
        <v>275</v>
      </c>
      <c r="AA699"/>
    </row>
    <row r="700" spans="1:27" s="16" customFormat="1" ht="12.75" x14ac:dyDescent="0.2">
      <c r="A700" s="24" t="s">
        <v>1502</v>
      </c>
      <c r="B700" s="174">
        <v>44652</v>
      </c>
      <c r="C700" s="23" t="s">
        <v>1149</v>
      </c>
      <c r="D700" s="106">
        <v>5500142</v>
      </c>
      <c r="E700" s="24" t="s">
        <v>1207</v>
      </c>
      <c r="F700" s="29" t="s">
        <v>425</v>
      </c>
      <c r="G700" s="101" t="s">
        <v>1505</v>
      </c>
      <c r="H700" s="24" t="s">
        <v>1351</v>
      </c>
      <c r="I700" s="15">
        <v>1</v>
      </c>
      <c r="J700" s="24" t="s">
        <v>39</v>
      </c>
      <c r="K700" s="35">
        <v>17682</v>
      </c>
      <c r="L700" s="17">
        <f t="shared" si="79"/>
        <v>17682</v>
      </c>
      <c r="M700" s="173">
        <f t="shared" si="77"/>
        <v>1.7681999999999999E-3</v>
      </c>
      <c r="N700" s="160">
        <v>1.9159999999999999</v>
      </c>
      <c r="O700" s="162">
        <f t="shared" si="80"/>
        <v>33878.712</v>
      </c>
      <c r="P700" s="160">
        <v>244.93</v>
      </c>
      <c r="Q700" s="162">
        <f t="shared" si="76"/>
        <v>4330852.26</v>
      </c>
      <c r="R700" s="133">
        <f t="shared" si="78"/>
        <v>0.43308522599999999</v>
      </c>
      <c r="S700" s="23" t="s">
        <v>1499</v>
      </c>
      <c r="T700" s="24" t="s">
        <v>275</v>
      </c>
      <c r="AA700"/>
    </row>
    <row r="701" spans="1:27" s="16" customFormat="1" ht="12.75" x14ac:dyDescent="0.2">
      <c r="A701" s="24" t="s">
        <v>1502</v>
      </c>
      <c r="B701" s="174">
        <v>44652</v>
      </c>
      <c r="C701" s="23" t="s">
        <v>1149</v>
      </c>
      <c r="D701" s="106">
        <v>5500152</v>
      </c>
      <c r="E701" s="24" t="s">
        <v>69</v>
      </c>
      <c r="F701" s="29" t="s">
        <v>425</v>
      </c>
      <c r="G701" s="101" t="s">
        <v>1505</v>
      </c>
      <c r="H701" s="24" t="s">
        <v>1352</v>
      </c>
      <c r="I701" s="15">
        <v>1</v>
      </c>
      <c r="J701" s="24" t="s">
        <v>39</v>
      </c>
      <c r="K701" s="35">
        <v>36820</v>
      </c>
      <c r="L701" s="17">
        <f t="shared" si="79"/>
        <v>36820</v>
      </c>
      <c r="M701" s="173">
        <f t="shared" si="77"/>
        <v>3.6819999999999999E-3</v>
      </c>
      <c r="N701" s="160">
        <v>1.92</v>
      </c>
      <c r="O701" s="162">
        <f t="shared" si="80"/>
        <v>70694.399999999994</v>
      </c>
      <c r="P701" s="160">
        <v>70.069995368226074</v>
      </c>
      <c r="Q701" s="162">
        <f t="shared" si="76"/>
        <v>2579977.2294580839</v>
      </c>
      <c r="R701" s="133">
        <f t="shared" si="78"/>
        <v>0.25799772294580836</v>
      </c>
      <c r="S701" s="23" t="s">
        <v>1499</v>
      </c>
      <c r="T701" s="24" t="s">
        <v>275</v>
      </c>
      <c r="AA701"/>
    </row>
    <row r="702" spans="1:27" s="16" customFormat="1" ht="12.75" x14ac:dyDescent="0.2">
      <c r="A702" s="24" t="s">
        <v>1502</v>
      </c>
      <c r="B702" s="174">
        <v>44652</v>
      </c>
      <c r="C702" s="23" t="s">
        <v>1149</v>
      </c>
      <c r="D702" s="106">
        <v>8000175</v>
      </c>
      <c r="E702" s="24" t="s">
        <v>106</v>
      </c>
      <c r="F702" s="29" t="s">
        <v>425</v>
      </c>
      <c r="G702" s="101" t="s">
        <v>1505</v>
      </c>
      <c r="H702" s="24" t="s">
        <v>1368</v>
      </c>
      <c r="I702" s="15">
        <v>1</v>
      </c>
      <c r="J702" s="24" t="s">
        <v>39</v>
      </c>
      <c r="K702" s="35">
        <v>56448</v>
      </c>
      <c r="L702" s="17">
        <f t="shared" si="79"/>
        <v>56448</v>
      </c>
      <c r="M702" s="173">
        <f t="shared" si="77"/>
        <v>5.6448000000000002E-3</v>
      </c>
      <c r="N702" s="160">
        <v>0.95799999999999996</v>
      </c>
      <c r="O702" s="162">
        <f t="shared" si="80"/>
        <v>54077.184000000001</v>
      </c>
      <c r="P702" s="160">
        <v>0</v>
      </c>
      <c r="Q702" s="162">
        <f t="shared" si="76"/>
        <v>0</v>
      </c>
      <c r="R702" s="133">
        <f t="shared" si="78"/>
        <v>0</v>
      </c>
      <c r="S702" s="23" t="s">
        <v>1499</v>
      </c>
      <c r="T702" s="24" t="s">
        <v>275</v>
      </c>
      <c r="AA702"/>
    </row>
    <row r="703" spans="1:27" s="16" customFormat="1" ht="12.75" x14ac:dyDescent="0.2">
      <c r="A703" s="24" t="s">
        <v>1502</v>
      </c>
      <c r="B703" s="174">
        <v>44652</v>
      </c>
      <c r="C703" s="23" t="s">
        <v>1162</v>
      </c>
      <c r="D703" s="106">
        <v>5500063</v>
      </c>
      <c r="E703" s="24" t="s">
        <v>54</v>
      </c>
      <c r="F703" s="29" t="s">
        <v>425</v>
      </c>
      <c r="G703" s="101" t="s">
        <v>1505</v>
      </c>
      <c r="H703" s="24" t="s">
        <v>1376</v>
      </c>
      <c r="I703" s="15">
        <v>1</v>
      </c>
      <c r="J703" s="24" t="s">
        <v>39</v>
      </c>
      <c r="K703" s="35">
        <v>37632</v>
      </c>
      <c r="L703" s="17">
        <f t="shared" si="79"/>
        <v>37632</v>
      </c>
      <c r="M703" s="173">
        <f t="shared" si="77"/>
        <v>3.7632E-3</v>
      </c>
      <c r="N703" s="160">
        <v>1.9159999999999999</v>
      </c>
      <c r="O703" s="162">
        <f t="shared" si="80"/>
        <v>72102.911999999997</v>
      </c>
      <c r="P703" s="160">
        <v>124.71002320928358</v>
      </c>
      <c r="Q703" s="162">
        <f t="shared" si="76"/>
        <v>4693087.5934117595</v>
      </c>
      <c r="R703" s="133">
        <f t="shared" si="78"/>
        <v>0.46930875934117594</v>
      </c>
      <c r="S703" s="23" t="s">
        <v>1499</v>
      </c>
      <c r="T703" s="24" t="s">
        <v>277</v>
      </c>
      <c r="AA703"/>
    </row>
    <row r="704" spans="1:27" s="16" customFormat="1" ht="12.75" x14ac:dyDescent="0.2">
      <c r="A704" s="24" t="s">
        <v>1502</v>
      </c>
      <c r="B704" s="174">
        <v>44652</v>
      </c>
      <c r="C704" s="23" t="s">
        <v>1162</v>
      </c>
      <c r="D704" s="106">
        <v>5500063</v>
      </c>
      <c r="E704" s="24" t="s">
        <v>54</v>
      </c>
      <c r="F704" s="29" t="s">
        <v>425</v>
      </c>
      <c r="G704" s="101" t="s">
        <v>1505</v>
      </c>
      <c r="H704" s="24" t="s">
        <v>1377</v>
      </c>
      <c r="I704" s="15">
        <v>1</v>
      </c>
      <c r="J704" s="24" t="s">
        <v>39</v>
      </c>
      <c r="K704" s="35">
        <v>37632</v>
      </c>
      <c r="L704" s="17">
        <f t="shared" si="79"/>
        <v>37632</v>
      </c>
      <c r="M704" s="173">
        <f t="shared" si="77"/>
        <v>3.7632E-3</v>
      </c>
      <c r="N704" s="160">
        <v>1.9159999999999999</v>
      </c>
      <c r="O704" s="162">
        <f t="shared" si="80"/>
        <v>72102.911999999997</v>
      </c>
      <c r="P704" s="160">
        <v>124.71002320928358</v>
      </c>
      <c r="Q704" s="162">
        <f t="shared" si="76"/>
        <v>4693087.5934117595</v>
      </c>
      <c r="R704" s="133">
        <f t="shared" si="78"/>
        <v>0.46930875934117594</v>
      </c>
      <c r="S704" s="23" t="s">
        <v>1499</v>
      </c>
      <c r="T704" s="24" t="s">
        <v>277</v>
      </c>
      <c r="AA704"/>
    </row>
    <row r="705" spans="1:27" s="16" customFormat="1" ht="12.75" x14ac:dyDescent="0.2">
      <c r="A705" s="24" t="s">
        <v>1502</v>
      </c>
      <c r="B705" s="174">
        <v>44652</v>
      </c>
      <c r="C705" s="23" t="s">
        <v>1149</v>
      </c>
      <c r="D705" s="106">
        <v>5500486</v>
      </c>
      <c r="E705" s="24" t="s">
        <v>288</v>
      </c>
      <c r="F705" s="29" t="s">
        <v>425</v>
      </c>
      <c r="G705" s="101" t="s">
        <v>1505</v>
      </c>
      <c r="H705" s="24" t="s">
        <v>359</v>
      </c>
      <c r="I705" s="15">
        <v>1</v>
      </c>
      <c r="J705" s="24" t="s">
        <v>39</v>
      </c>
      <c r="K705" s="35">
        <v>120</v>
      </c>
      <c r="L705" s="17">
        <f t="shared" si="79"/>
        <v>120</v>
      </c>
      <c r="M705" s="173">
        <f t="shared" si="77"/>
        <v>1.2E-5</v>
      </c>
      <c r="N705" s="160">
        <v>1.9157894736842105</v>
      </c>
      <c r="O705" s="162">
        <f t="shared" si="80"/>
        <v>229.89473684210526</v>
      </c>
      <c r="P705" s="160">
        <v>306.50961400359046</v>
      </c>
      <c r="Q705" s="162">
        <f t="shared" si="76"/>
        <v>36781.153680430856</v>
      </c>
      <c r="R705" s="133">
        <f t="shared" si="78"/>
        <v>3.6781153680430856E-3</v>
      </c>
      <c r="S705" s="23" t="s">
        <v>1499</v>
      </c>
      <c r="T705" s="24" t="s">
        <v>275</v>
      </c>
      <c r="AA705"/>
    </row>
    <row r="706" spans="1:27" s="16" customFormat="1" ht="12.75" x14ac:dyDescent="0.2">
      <c r="A706" s="24" t="s">
        <v>1502</v>
      </c>
      <c r="B706" s="174">
        <v>44652</v>
      </c>
      <c r="C706" s="23" t="s">
        <v>1146</v>
      </c>
      <c r="D706" s="106">
        <v>5000650</v>
      </c>
      <c r="E706" s="24" t="s">
        <v>1174</v>
      </c>
      <c r="F706" s="29" t="s">
        <v>424</v>
      </c>
      <c r="G706" s="80" t="s">
        <v>192</v>
      </c>
      <c r="H706" s="24" t="s">
        <v>1224</v>
      </c>
      <c r="I706" s="15">
        <v>1</v>
      </c>
      <c r="J706" s="24" t="s">
        <v>39</v>
      </c>
      <c r="K706" s="35">
        <v>42360</v>
      </c>
      <c r="L706" s="17">
        <f>K706*I706</f>
        <v>42360</v>
      </c>
      <c r="M706" s="173">
        <f t="shared" si="77"/>
        <v>4.2360000000000002E-3</v>
      </c>
      <c r="N706" s="160">
        <v>1.0620000000000001</v>
      </c>
      <c r="O706" s="162">
        <f t="shared" ref="O706:O707" si="81">+K706*N706</f>
        <v>44986.32</v>
      </c>
      <c r="P706" s="160">
        <v>98.426111701662279</v>
      </c>
      <c r="Q706" s="162">
        <f t="shared" ref="Q706:Q769" si="82">+K706*P706</f>
        <v>4169330.0916824141</v>
      </c>
      <c r="R706" s="133">
        <f t="shared" si="78"/>
        <v>0.41693300916824139</v>
      </c>
      <c r="S706" s="23" t="s">
        <v>1499</v>
      </c>
      <c r="T706" s="24" t="s">
        <v>1169</v>
      </c>
      <c r="AA706"/>
    </row>
    <row r="707" spans="1:27" s="16" customFormat="1" ht="12.75" x14ac:dyDescent="0.2">
      <c r="A707" s="24" t="s">
        <v>1502</v>
      </c>
      <c r="B707" s="174">
        <v>44652</v>
      </c>
      <c r="C707" s="23" t="s">
        <v>1146</v>
      </c>
      <c r="D707" s="106">
        <v>5000650</v>
      </c>
      <c r="E707" s="24" t="s">
        <v>1174</v>
      </c>
      <c r="F707" s="29" t="s">
        <v>424</v>
      </c>
      <c r="G707" s="80" t="s">
        <v>192</v>
      </c>
      <c r="H707" s="24" t="s">
        <v>1224</v>
      </c>
      <c r="I707" s="15">
        <v>1</v>
      </c>
      <c r="J707" s="24" t="s">
        <v>39</v>
      </c>
      <c r="K707" s="35">
        <v>50040</v>
      </c>
      <c r="L707" s="17">
        <f>K707*I707</f>
        <v>50040</v>
      </c>
      <c r="M707" s="173">
        <f t="shared" ref="M707:M770" si="83">L707/10^7</f>
        <v>5.0039999999999998E-3</v>
      </c>
      <c r="N707" s="160">
        <v>1.0620000000000001</v>
      </c>
      <c r="O707" s="162">
        <f t="shared" si="81"/>
        <v>53142.48</v>
      </c>
      <c r="P707" s="160">
        <v>98.426111701662279</v>
      </c>
      <c r="Q707" s="162">
        <f t="shared" si="82"/>
        <v>4925242.6295511806</v>
      </c>
      <c r="R707" s="133">
        <f t="shared" ref="R707:R770" si="84">Q707/10^7</f>
        <v>0.49252426295511809</v>
      </c>
      <c r="S707" s="23" t="s">
        <v>1499</v>
      </c>
      <c r="T707" s="24" t="s">
        <v>1169</v>
      </c>
      <c r="AA707"/>
    </row>
    <row r="708" spans="1:27" s="16" customFormat="1" ht="12.75" x14ac:dyDescent="0.2">
      <c r="A708" s="24" t="s">
        <v>1502</v>
      </c>
      <c r="B708" s="174">
        <v>44652</v>
      </c>
      <c r="C708" s="23" t="s">
        <v>1147</v>
      </c>
      <c r="D708" s="106">
        <v>5000927</v>
      </c>
      <c r="E708" s="24" t="s">
        <v>1176</v>
      </c>
      <c r="F708" s="29" t="s">
        <v>424</v>
      </c>
      <c r="G708" s="34" t="s">
        <v>1503</v>
      </c>
      <c r="H708" s="24" t="s">
        <v>1236</v>
      </c>
      <c r="I708" s="15">
        <v>1</v>
      </c>
      <c r="J708" s="24" t="s">
        <v>7</v>
      </c>
      <c r="K708" s="35">
        <v>4900</v>
      </c>
      <c r="L708" s="17">
        <f t="shared" ref="L708:L713" si="85">K708*I708</f>
        <v>4900</v>
      </c>
      <c r="M708" s="173">
        <f t="shared" si="83"/>
        <v>4.8999999999999998E-4</v>
      </c>
      <c r="N708" s="160">
        <v>3.2320000000000002</v>
      </c>
      <c r="O708" s="162">
        <f t="shared" ref="O708:O713" si="86">+K708*N708</f>
        <v>15836.800000000001</v>
      </c>
      <c r="P708" s="160">
        <v>104.3</v>
      </c>
      <c r="Q708" s="162">
        <f t="shared" si="82"/>
        <v>511070</v>
      </c>
      <c r="R708" s="133">
        <f t="shared" si="84"/>
        <v>5.1107E-2</v>
      </c>
      <c r="S708" s="23" t="s">
        <v>1499</v>
      </c>
      <c r="T708" s="24" t="s">
        <v>272</v>
      </c>
      <c r="AA708"/>
    </row>
    <row r="709" spans="1:27" s="16" customFormat="1" ht="12.75" x14ac:dyDescent="0.2">
      <c r="A709" s="24" t="s">
        <v>1502</v>
      </c>
      <c r="B709" s="174">
        <v>44652</v>
      </c>
      <c r="C709" s="23" t="s">
        <v>1147</v>
      </c>
      <c r="D709" s="106">
        <v>5000927</v>
      </c>
      <c r="E709" s="24" t="s">
        <v>1176</v>
      </c>
      <c r="F709" s="29" t="s">
        <v>424</v>
      </c>
      <c r="G709" s="34" t="s">
        <v>1503</v>
      </c>
      <c r="H709" s="24" t="s">
        <v>1237</v>
      </c>
      <c r="I709" s="15">
        <v>1</v>
      </c>
      <c r="J709" s="24" t="s">
        <v>7</v>
      </c>
      <c r="K709" s="35">
        <v>4920</v>
      </c>
      <c r="L709" s="17">
        <f t="shared" si="85"/>
        <v>4920</v>
      </c>
      <c r="M709" s="173">
        <f t="shared" si="83"/>
        <v>4.9200000000000003E-4</v>
      </c>
      <c r="N709" s="160">
        <v>3.2320000000000002</v>
      </c>
      <c r="O709" s="162">
        <f t="shared" si="86"/>
        <v>15901.44</v>
      </c>
      <c r="P709" s="160">
        <v>104.3</v>
      </c>
      <c r="Q709" s="162">
        <f t="shared" si="82"/>
        <v>513156</v>
      </c>
      <c r="R709" s="133">
        <f t="shared" si="84"/>
        <v>5.1315600000000003E-2</v>
      </c>
      <c r="S709" s="23" t="s">
        <v>1499</v>
      </c>
      <c r="T709" s="24" t="s">
        <v>272</v>
      </c>
      <c r="AA709"/>
    </row>
    <row r="710" spans="1:27" s="16" customFormat="1" ht="12.75" x14ac:dyDescent="0.2">
      <c r="A710" s="24" t="s">
        <v>1502</v>
      </c>
      <c r="B710" s="174">
        <v>44652</v>
      </c>
      <c r="C710" s="23" t="s">
        <v>1147</v>
      </c>
      <c r="D710" s="106">
        <v>5500038</v>
      </c>
      <c r="E710" s="24" t="s">
        <v>47</v>
      </c>
      <c r="F710" s="29" t="s">
        <v>425</v>
      </c>
      <c r="G710" s="34" t="s">
        <v>1503</v>
      </c>
      <c r="H710" s="24" t="s">
        <v>1241</v>
      </c>
      <c r="I710" s="15">
        <v>1</v>
      </c>
      <c r="J710" s="24" t="s">
        <v>7</v>
      </c>
      <c r="K710" s="35">
        <v>4920</v>
      </c>
      <c r="L710" s="17">
        <f t="shared" si="85"/>
        <v>4920</v>
      </c>
      <c r="M710" s="173">
        <f t="shared" si="83"/>
        <v>4.9200000000000003E-4</v>
      </c>
      <c r="N710" s="160">
        <v>3.2320000000000002</v>
      </c>
      <c r="O710" s="162">
        <f t="shared" si="86"/>
        <v>15901.44</v>
      </c>
      <c r="P710" s="160">
        <v>171.45917410714284</v>
      </c>
      <c r="Q710" s="162">
        <f t="shared" si="82"/>
        <v>843579.13660714275</v>
      </c>
      <c r="R710" s="133">
        <f t="shared" si="84"/>
        <v>8.4357913660714282E-2</v>
      </c>
      <c r="S710" s="23" t="s">
        <v>1499</v>
      </c>
      <c r="T710" s="24" t="s">
        <v>272</v>
      </c>
      <c r="AA710"/>
    </row>
    <row r="711" spans="1:27" s="16" customFormat="1" ht="12.75" x14ac:dyDescent="0.2">
      <c r="A711" s="24" t="s">
        <v>1502</v>
      </c>
      <c r="B711" s="174">
        <v>44652</v>
      </c>
      <c r="C711" s="23" t="s">
        <v>1147</v>
      </c>
      <c r="D711" s="106">
        <v>5500052</v>
      </c>
      <c r="E711" s="24" t="s">
        <v>287</v>
      </c>
      <c r="F711" s="29" t="s">
        <v>425</v>
      </c>
      <c r="G711" s="34" t="s">
        <v>1503</v>
      </c>
      <c r="H711" s="24" t="s">
        <v>1242</v>
      </c>
      <c r="I711" s="15">
        <v>1</v>
      </c>
      <c r="J711" s="24" t="s">
        <v>7</v>
      </c>
      <c r="K711" s="35">
        <v>2460</v>
      </c>
      <c r="L711" s="17">
        <f t="shared" si="85"/>
        <v>2460</v>
      </c>
      <c r="M711" s="173">
        <f t="shared" si="83"/>
        <v>2.4600000000000002E-4</v>
      </c>
      <c r="N711" s="160">
        <v>6.1180000000000003</v>
      </c>
      <c r="O711" s="162">
        <f t="shared" si="86"/>
        <v>15050.28</v>
      </c>
      <c r="P711" s="160">
        <v>257.49</v>
      </c>
      <c r="Q711" s="162">
        <f t="shared" si="82"/>
        <v>633425.4</v>
      </c>
      <c r="R711" s="133">
        <f t="shared" si="84"/>
        <v>6.3342540000000003E-2</v>
      </c>
      <c r="S711" s="23" t="s">
        <v>1499</v>
      </c>
      <c r="T711" s="24" t="s">
        <v>272</v>
      </c>
      <c r="AA711"/>
    </row>
    <row r="712" spans="1:27" s="16" customFormat="1" ht="12.75" x14ac:dyDescent="0.2">
      <c r="A712" s="24" t="s">
        <v>1502</v>
      </c>
      <c r="B712" s="174">
        <v>44652</v>
      </c>
      <c r="C712" s="23" t="s">
        <v>1147</v>
      </c>
      <c r="D712" s="106">
        <v>5000927</v>
      </c>
      <c r="E712" s="24" t="s">
        <v>1176</v>
      </c>
      <c r="F712" s="29" t="s">
        <v>424</v>
      </c>
      <c r="G712" s="34" t="s">
        <v>1503</v>
      </c>
      <c r="H712" s="24" t="s">
        <v>1276</v>
      </c>
      <c r="I712" s="15">
        <v>1</v>
      </c>
      <c r="J712" s="24" t="s">
        <v>7</v>
      </c>
      <c r="K712" s="35">
        <v>4920</v>
      </c>
      <c r="L712" s="17">
        <f t="shared" si="85"/>
        <v>4920</v>
      </c>
      <c r="M712" s="173">
        <f t="shared" si="83"/>
        <v>4.9200000000000003E-4</v>
      </c>
      <c r="N712" s="160">
        <v>3.2320000000000002</v>
      </c>
      <c r="O712" s="162">
        <f t="shared" si="86"/>
        <v>15901.44</v>
      </c>
      <c r="P712" s="160">
        <v>104.3</v>
      </c>
      <c r="Q712" s="162">
        <f t="shared" si="82"/>
        <v>513156</v>
      </c>
      <c r="R712" s="133">
        <f t="shared" si="84"/>
        <v>5.1315600000000003E-2</v>
      </c>
      <c r="S712" s="23" t="s">
        <v>1499</v>
      </c>
      <c r="T712" s="24" t="s">
        <v>272</v>
      </c>
      <c r="AA712"/>
    </row>
    <row r="713" spans="1:27" s="16" customFormat="1" ht="12.75" x14ac:dyDescent="0.2">
      <c r="A713" s="24" t="s">
        <v>1502</v>
      </c>
      <c r="B713" s="174">
        <v>44652</v>
      </c>
      <c r="C713" s="23" t="s">
        <v>1147</v>
      </c>
      <c r="D713" s="106">
        <v>5000927</v>
      </c>
      <c r="E713" s="24" t="s">
        <v>1176</v>
      </c>
      <c r="F713" s="29" t="s">
        <v>424</v>
      </c>
      <c r="G713" s="34" t="s">
        <v>1503</v>
      </c>
      <c r="H713" s="24" t="s">
        <v>1277</v>
      </c>
      <c r="I713" s="15">
        <v>1</v>
      </c>
      <c r="J713" s="24" t="s">
        <v>7</v>
      </c>
      <c r="K713" s="35">
        <v>4770</v>
      </c>
      <c r="L713" s="17">
        <f t="shared" si="85"/>
        <v>4770</v>
      </c>
      <c r="M713" s="173">
        <f t="shared" si="83"/>
        <v>4.7699999999999999E-4</v>
      </c>
      <c r="N713" s="160">
        <v>3.2320000000000002</v>
      </c>
      <c r="O713" s="162">
        <f t="shared" si="86"/>
        <v>15416.640000000001</v>
      </c>
      <c r="P713" s="160">
        <v>104.3</v>
      </c>
      <c r="Q713" s="162">
        <f t="shared" si="82"/>
        <v>497511</v>
      </c>
      <c r="R713" s="133">
        <f t="shared" si="84"/>
        <v>4.9751099999999999E-2</v>
      </c>
      <c r="S713" s="23" t="s">
        <v>1499</v>
      </c>
      <c r="T713" s="24" t="s">
        <v>272</v>
      </c>
      <c r="AA713"/>
    </row>
    <row r="714" spans="1:27" s="16" customFormat="1" ht="12.75" x14ac:dyDescent="0.2">
      <c r="A714" s="24" t="s">
        <v>1502</v>
      </c>
      <c r="B714" s="174">
        <v>44652</v>
      </c>
      <c r="C714" s="23" t="s">
        <v>1147</v>
      </c>
      <c r="D714" s="106">
        <v>5500040</v>
      </c>
      <c r="E714" s="24" t="s">
        <v>48</v>
      </c>
      <c r="F714" s="29" t="s">
        <v>425</v>
      </c>
      <c r="G714" s="34" t="s">
        <v>1503</v>
      </c>
      <c r="H714" s="24" t="s">
        <v>1225</v>
      </c>
      <c r="I714" s="15">
        <v>1</v>
      </c>
      <c r="J714" s="24" t="s">
        <v>7</v>
      </c>
      <c r="K714" s="35">
        <v>21360</v>
      </c>
      <c r="L714" s="17">
        <f t="shared" ref="L714:L737" si="87">K714*I714</f>
        <v>21360</v>
      </c>
      <c r="M714" s="173">
        <f t="shared" si="83"/>
        <v>2.1359999999999999E-3</v>
      </c>
      <c r="N714" s="160">
        <v>1.512</v>
      </c>
      <c r="O714" s="162">
        <f t="shared" ref="O714:O737" si="88">+K714*N714</f>
        <v>32296.32</v>
      </c>
      <c r="P714" s="160">
        <v>75.359683042789229</v>
      </c>
      <c r="Q714" s="162">
        <f t="shared" si="82"/>
        <v>1609682.829793978</v>
      </c>
      <c r="R714" s="133">
        <f t="shared" si="84"/>
        <v>0.1609682829793978</v>
      </c>
      <c r="S714" s="23" t="s">
        <v>1499</v>
      </c>
      <c r="T714" s="24" t="s">
        <v>272</v>
      </c>
      <c r="AA714"/>
    </row>
    <row r="715" spans="1:27" s="16" customFormat="1" ht="12.75" x14ac:dyDescent="0.2">
      <c r="A715" s="24" t="s">
        <v>1502</v>
      </c>
      <c r="B715" s="174">
        <v>44652</v>
      </c>
      <c r="C715" s="23" t="s">
        <v>1147</v>
      </c>
      <c r="D715" s="106">
        <v>5500040</v>
      </c>
      <c r="E715" s="24" t="s">
        <v>48</v>
      </c>
      <c r="F715" s="29" t="s">
        <v>425</v>
      </c>
      <c r="G715" s="34" t="s">
        <v>1503</v>
      </c>
      <c r="H715" s="24" t="s">
        <v>1226</v>
      </c>
      <c r="I715" s="15">
        <v>1</v>
      </c>
      <c r="J715" s="24" t="s">
        <v>7</v>
      </c>
      <c r="K715" s="35">
        <v>21360</v>
      </c>
      <c r="L715" s="17">
        <f t="shared" si="87"/>
        <v>21360</v>
      </c>
      <c r="M715" s="173">
        <f t="shared" si="83"/>
        <v>2.1359999999999999E-3</v>
      </c>
      <c r="N715" s="160">
        <v>1.512</v>
      </c>
      <c r="O715" s="162">
        <f t="shared" si="88"/>
        <v>32296.32</v>
      </c>
      <c r="P715" s="160">
        <v>75.359683042789229</v>
      </c>
      <c r="Q715" s="162">
        <f t="shared" si="82"/>
        <v>1609682.829793978</v>
      </c>
      <c r="R715" s="133">
        <f t="shared" si="84"/>
        <v>0.1609682829793978</v>
      </c>
      <c r="S715" s="23" t="s">
        <v>1499</v>
      </c>
      <c r="T715" s="24" t="s">
        <v>272</v>
      </c>
      <c r="AA715"/>
    </row>
    <row r="716" spans="1:27" s="16" customFormat="1" ht="12.75" x14ac:dyDescent="0.2">
      <c r="A716" s="24" t="s">
        <v>1502</v>
      </c>
      <c r="B716" s="174">
        <v>44652</v>
      </c>
      <c r="C716" s="23" t="s">
        <v>1147</v>
      </c>
      <c r="D716" s="106">
        <v>5500040</v>
      </c>
      <c r="E716" s="24" t="s">
        <v>48</v>
      </c>
      <c r="F716" s="29" t="s">
        <v>425</v>
      </c>
      <c r="G716" s="34" t="s">
        <v>1503</v>
      </c>
      <c r="H716" s="24" t="s">
        <v>1227</v>
      </c>
      <c r="I716" s="15">
        <v>1</v>
      </c>
      <c r="J716" s="24" t="s">
        <v>7</v>
      </c>
      <c r="K716" s="35">
        <v>21360</v>
      </c>
      <c r="L716" s="17">
        <f t="shared" si="87"/>
        <v>21360</v>
      </c>
      <c r="M716" s="173">
        <f t="shared" si="83"/>
        <v>2.1359999999999999E-3</v>
      </c>
      <c r="N716" s="160">
        <v>1.512</v>
      </c>
      <c r="O716" s="162">
        <f t="shared" si="88"/>
        <v>32296.32</v>
      </c>
      <c r="P716" s="160">
        <v>75.359683042789229</v>
      </c>
      <c r="Q716" s="162">
        <f t="shared" si="82"/>
        <v>1609682.829793978</v>
      </c>
      <c r="R716" s="133">
        <f t="shared" si="84"/>
        <v>0.1609682829793978</v>
      </c>
      <c r="S716" s="23" t="s">
        <v>1499</v>
      </c>
      <c r="T716" s="24" t="s">
        <v>272</v>
      </c>
      <c r="AA716"/>
    </row>
    <row r="717" spans="1:27" s="16" customFormat="1" ht="12.75" x14ac:dyDescent="0.2">
      <c r="A717" s="24" t="s">
        <v>1502</v>
      </c>
      <c r="B717" s="174">
        <v>44652</v>
      </c>
      <c r="C717" s="23" t="s">
        <v>1148</v>
      </c>
      <c r="D717" s="106">
        <v>5500040</v>
      </c>
      <c r="E717" s="24" t="s">
        <v>48</v>
      </c>
      <c r="F717" s="29" t="s">
        <v>425</v>
      </c>
      <c r="G717" s="34" t="s">
        <v>1503</v>
      </c>
      <c r="H717" s="24" t="s">
        <v>1228</v>
      </c>
      <c r="I717" s="15">
        <v>1</v>
      </c>
      <c r="J717" s="24" t="s">
        <v>7</v>
      </c>
      <c r="K717" s="35">
        <v>90</v>
      </c>
      <c r="L717" s="17">
        <f t="shared" si="87"/>
        <v>90</v>
      </c>
      <c r="M717" s="173">
        <f t="shared" si="83"/>
        <v>9.0000000000000002E-6</v>
      </c>
      <c r="N717" s="160">
        <v>1.512</v>
      </c>
      <c r="O717" s="162">
        <f t="shared" si="88"/>
        <v>136.08000000000001</v>
      </c>
      <c r="P717" s="160">
        <v>75.359683042789229</v>
      </c>
      <c r="Q717" s="162">
        <f t="shared" si="82"/>
        <v>6782.3714738510307</v>
      </c>
      <c r="R717" s="133">
        <f t="shared" si="84"/>
        <v>6.7823714738510308E-4</v>
      </c>
      <c r="S717" s="23" t="s">
        <v>1499</v>
      </c>
      <c r="T717" s="24" t="s">
        <v>280</v>
      </c>
      <c r="AA717"/>
    </row>
    <row r="718" spans="1:27" s="16" customFormat="1" ht="12.75" x14ac:dyDescent="0.2">
      <c r="A718" s="24" t="s">
        <v>1502</v>
      </c>
      <c r="B718" s="174">
        <v>44652</v>
      </c>
      <c r="C718" s="23" t="s">
        <v>1148</v>
      </c>
      <c r="D718" s="106">
        <v>5500040</v>
      </c>
      <c r="E718" s="24" t="s">
        <v>48</v>
      </c>
      <c r="F718" s="29" t="s">
        <v>425</v>
      </c>
      <c r="G718" s="34" t="s">
        <v>1503</v>
      </c>
      <c r="H718" s="24" t="s">
        <v>1229</v>
      </c>
      <c r="I718" s="15">
        <v>1</v>
      </c>
      <c r="J718" s="24" t="s">
        <v>7</v>
      </c>
      <c r="K718" s="35">
        <v>15840</v>
      </c>
      <c r="L718" s="17">
        <f t="shared" si="87"/>
        <v>15840</v>
      </c>
      <c r="M718" s="173">
        <f t="shared" si="83"/>
        <v>1.5839999999999999E-3</v>
      </c>
      <c r="N718" s="160">
        <v>1.512</v>
      </c>
      <c r="O718" s="162">
        <f t="shared" si="88"/>
        <v>23950.080000000002</v>
      </c>
      <c r="P718" s="160">
        <v>75.359683042789229</v>
      </c>
      <c r="Q718" s="162">
        <f t="shared" si="82"/>
        <v>1193697.3793977813</v>
      </c>
      <c r="R718" s="133">
        <f t="shared" si="84"/>
        <v>0.11936973793977813</v>
      </c>
      <c r="S718" s="23" t="s">
        <v>1499</v>
      </c>
      <c r="T718" s="24" t="s">
        <v>280</v>
      </c>
      <c r="AA718"/>
    </row>
    <row r="719" spans="1:27" s="16" customFormat="1" ht="12.75" x14ac:dyDescent="0.2">
      <c r="A719" s="24" t="s">
        <v>1502</v>
      </c>
      <c r="B719" s="174">
        <v>44652</v>
      </c>
      <c r="C719" s="23" t="s">
        <v>1148</v>
      </c>
      <c r="D719" s="106">
        <v>5500040</v>
      </c>
      <c r="E719" s="24" t="s">
        <v>48</v>
      </c>
      <c r="F719" s="29" t="s">
        <v>425</v>
      </c>
      <c r="G719" s="34" t="s">
        <v>1503</v>
      </c>
      <c r="H719" s="24" t="s">
        <v>1229</v>
      </c>
      <c r="I719" s="15">
        <v>1</v>
      </c>
      <c r="J719" s="24" t="s">
        <v>7</v>
      </c>
      <c r="K719" s="35">
        <v>90</v>
      </c>
      <c r="L719" s="17">
        <f t="shared" si="87"/>
        <v>90</v>
      </c>
      <c r="M719" s="173">
        <f t="shared" si="83"/>
        <v>9.0000000000000002E-6</v>
      </c>
      <c r="N719" s="160">
        <v>1.512</v>
      </c>
      <c r="O719" s="162">
        <f t="shared" si="88"/>
        <v>136.08000000000001</v>
      </c>
      <c r="P719" s="160">
        <v>75.359683042789229</v>
      </c>
      <c r="Q719" s="162">
        <f t="shared" si="82"/>
        <v>6782.3714738510307</v>
      </c>
      <c r="R719" s="133">
        <f t="shared" si="84"/>
        <v>6.7823714738510308E-4</v>
      </c>
      <c r="S719" s="23" t="s">
        <v>1499</v>
      </c>
      <c r="T719" s="24" t="s">
        <v>280</v>
      </c>
      <c r="AA719"/>
    </row>
    <row r="720" spans="1:27" s="16" customFormat="1" ht="12.75" x14ac:dyDescent="0.2">
      <c r="A720" s="24" t="s">
        <v>1502</v>
      </c>
      <c r="B720" s="174">
        <v>44652</v>
      </c>
      <c r="C720" s="23" t="s">
        <v>1148</v>
      </c>
      <c r="D720" s="106">
        <v>5500040</v>
      </c>
      <c r="E720" s="24" t="s">
        <v>48</v>
      </c>
      <c r="F720" s="29" t="s">
        <v>425</v>
      </c>
      <c r="G720" s="34" t="s">
        <v>1503</v>
      </c>
      <c r="H720" s="24" t="s">
        <v>1230</v>
      </c>
      <c r="I720" s="15">
        <v>1</v>
      </c>
      <c r="J720" s="24" t="s">
        <v>7</v>
      </c>
      <c r="K720" s="35">
        <v>15840</v>
      </c>
      <c r="L720" s="17">
        <f t="shared" si="87"/>
        <v>15840</v>
      </c>
      <c r="M720" s="173">
        <f t="shared" si="83"/>
        <v>1.5839999999999999E-3</v>
      </c>
      <c r="N720" s="160">
        <v>1.512</v>
      </c>
      <c r="O720" s="162">
        <f t="shared" si="88"/>
        <v>23950.080000000002</v>
      </c>
      <c r="P720" s="160">
        <v>75.359683042789229</v>
      </c>
      <c r="Q720" s="162">
        <f t="shared" si="82"/>
        <v>1193697.3793977813</v>
      </c>
      <c r="R720" s="133">
        <f t="shared" si="84"/>
        <v>0.11936973793977813</v>
      </c>
      <c r="S720" s="23" t="s">
        <v>1499</v>
      </c>
      <c r="T720" s="24" t="s">
        <v>280</v>
      </c>
      <c r="AA720"/>
    </row>
    <row r="721" spans="1:27" s="16" customFormat="1" ht="12.75" x14ac:dyDescent="0.2">
      <c r="A721" s="24" t="s">
        <v>1502</v>
      </c>
      <c r="B721" s="174">
        <v>44652</v>
      </c>
      <c r="C721" s="23" t="s">
        <v>1148</v>
      </c>
      <c r="D721" s="106">
        <v>5500040</v>
      </c>
      <c r="E721" s="24" t="s">
        <v>48</v>
      </c>
      <c r="F721" s="29" t="s">
        <v>425</v>
      </c>
      <c r="G721" s="34" t="s">
        <v>1503</v>
      </c>
      <c r="H721" s="24" t="s">
        <v>1230</v>
      </c>
      <c r="I721" s="15">
        <v>1</v>
      </c>
      <c r="J721" s="24" t="s">
        <v>7</v>
      </c>
      <c r="K721" s="35">
        <v>120</v>
      </c>
      <c r="L721" s="17">
        <f t="shared" si="87"/>
        <v>120</v>
      </c>
      <c r="M721" s="173">
        <f t="shared" si="83"/>
        <v>1.2E-5</v>
      </c>
      <c r="N721" s="160">
        <v>1.512</v>
      </c>
      <c r="O721" s="162">
        <f t="shared" si="88"/>
        <v>181.44</v>
      </c>
      <c r="P721" s="160">
        <v>75.359683042789229</v>
      </c>
      <c r="Q721" s="162">
        <f t="shared" si="82"/>
        <v>9043.1619651347082</v>
      </c>
      <c r="R721" s="133">
        <f t="shared" si="84"/>
        <v>9.0431619651347081E-4</v>
      </c>
      <c r="S721" s="23" t="s">
        <v>1499</v>
      </c>
      <c r="T721" s="24" t="s">
        <v>280</v>
      </c>
      <c r="AA721"/>
    </row>
    <row r="722" spans="1:27" s="16" customFormat="1" ht="12.75" x14ac:dyDescent="0.2">
      <c r="A722" s="24" t="s">
        <v>1502</v>
      </c>
      <c r="B722" s="174">
        <v>44652</v>
      </c>
      <c r="C722" s="23" t="s">
        <v>1148</v>
      </c>
      <c r="D722" s="106">
        <v>5500040</v>
      </c>
      <c r="E722" s="24" t="s">
        <v>48</v>
      </c>
      <c r="F722" s="29" t="s">
        <v>425</v>
      </c>
      <c r="G722" s="34" t="s">
        <v>1503</v>
      </c>
      <c r="H722" s="24" t="s">
        <v>1228</v>
      </c>
      <c r="I722" s="15">
        <v>1</v>
      </c>
      <c r="J722" s="24" t="s">
        <v>7</v>
      </c>
      <c r="K722" s="35">
        <v>15840</v>
      </c>
      <c r="L722" s="17">
        <f t="shared" si="87"/>
        <v>15840</v>
      </c>
      <c r="M722" s="173">
        <f t="shared" si="83"/>
        <v>1.5839999999999999E-3</v>
      </c>
      <c r="N722" s="160">
        <v>1.512</v>
      </c>
      <c r="O722" s="162">
        <f t="shared" si="88"/>
        <v>23950.080000000002</v>
      </c>
      <c r="P722" s="160">
        <v>75.359683042789229</v>
      </c>
      <c r="Q722" s="162">
        <f t="shared" si="82"/>
        <v>1193697.3793977813</v>
      </c>
      <c r="R722" s="133">
        <f t="shared" si="84"/>
        <v>0.11936973793977813</v>
      </c>
      <c r="S722" s="23" t="s">
        <v>1499</v>
      </c>
      <c r="T722" s="24" t="s">
        <v>280</v>
      </c>
      <c r="AA722"/>
    </row>
    <row r="723" spans="1:27" s="16" customFormat="1" ht="12.75" x14ac:dyDescent="0.2">
      <c r="A723" s="24" t="s">
        <v>1502</v>
      </c>
      <c r="B723" s="174">
        <v>44652</v>
      </c>
      <c r="C723" s="23" t="s">
        <v>1147</v>
      </c>
      <c r="D723" s="106">
        <v>5500614</v>
      </c>
      <c r="E723" s="24" t="s">
        <v>1188</v>
      </c>
      <c r="F723" s="29" t="s">
        <v>425</v>
      </c>
      <c r="G723" s="34" t="s">
        <v>1503</v>
      </c>
      <c r="H723" s="24" t="s">
        <v>1280</v>
      </c>
      <c r="I723" s="15">
        <v>1</v>
      </c>
      <c r="J723" s="24" t="s">
        <v>7</v>
      </c>
      <c r="K723" s="35">
        <v>8550</v>
      </c>
      <c r="L723" s="17">
        <f t="shared" si="87"/>
        <v>8550</v>
      </c>
      <c r="M723" s="173">
        <f t="shared" si="83"/>
        <v>8.5499999999999997E-4</v>
      </c>
      <c r="N723" s="160">
        <v>1.464</v>
      </c>
      <c r="O723" s="162">
        <f t="shared" si="88"/>
        <v>12517.199999999999</v>
      </c>
      <c r="P723" s="160">
        <v>192.19984615384615</v>
      </c>
      <c r="Q723" s="162">
        <f t="shared" si="82"/>
        <v>1643308.6846153846</v>
      </c>
      <c r="R723" s="133">
        <f t="shared" si="84"/>
        <v>0.16433086846153847</v>
      </c>
      <c r="S723" s="23" t="s">
        <v>1499</v>
      </c>
      <c r="T723" s="24" t="s">
        <v>272</v>
      </c>
      <c r="AA723"/>
    </row>
    <row r="724" spans="1:27" s="16" customFormat="1" ht="12.75" x14ac:dyDescent="0.2">
      <c r="A724" s="24" t="s">
        <v>1502</v>
      </c>
      <c r="B724" s="174">
        <v>44652</v>
      </c>
      <c r="C724" s="23" t="s">
        <v>1147</v>
      </c>
      <c r="D724" s="106">
        <v>5500614</v>
      </c>
      <c r="E724" s="24" t="s">
        <v>1188</v>
      </c>
      <c r="F724" s="29" t="s">
        <v>425</v>
      </c>
      <c r="G724" s="34" t="s">
        <v>1503</v>
      </c>
      <c r="H724" s="24" t="s">
        <v>1281</v>
      </c>
      <c r="I724" s="15">
        <v>1</v>
      </c>
      <c r="J724" s="24" t="s">
        <v>7</v>
      </c>
      <c r="K724" s="35">
        <v>8550</v>
      </c>
      <c r="L724" s="17">
        <f t="shared" si="87"/>
        <v>8550</v>
      </c>
      <c r="M724" s="173">
        <f t="shared" si="83"/>
        <v>8.5499999999999997E-4</v>
      </c>
      <c r="N724" s="160">
        <v>1.464</v>
      </c>
      <c r="O724" s="162">
        <f t="shared" si="88"/>
        <v>12517.199999999999</v>
      </c>
      <c r="P724" s="160">
        <v>192.19984615384615</v>
      </c>
      <c r="Q724" s="162">
        <f t="shared" si="82"/>
        <v>1643308.6846153846</v>
      </c>
      <c r="R724" s="133">
        <f t="shared" si="84"/>
        <v>0.16433086846153847</v>
      </c>
      <c r="S724" s="23" t="s">
        <v>1499</v>
      </c>
      <c r="T724" s="24" t="s">
        <v>272</v>
      </c>
      <c r="AA724"/>
    </row>
    <row r="725" spans="1:27" s="16" customFormat="1" ht="12.75" x14ac:dyDescent="0.2">
      <c r="A725" s="24" t="s">
        <v>1502</v>
      </c>
      <c r="B725" s="174">
        <v>44652</v>
      </c>
      <c r="C725" s="23" t="s">
        <v>1147</v>
      </c>
      <c r="D725" s="106">
        <v>5500614</v>
      </c>
      <c r="E725" s="24" t="s">
        <v>1188</v>
      </c>
      <c r="F725" s="29" t="s">
        <v>425</v>
      </c>
      <c r="G725" s="34" t="s">
        <v>1503</v>
      </c>
      <c r="H725" s="24" t="s">
        <v>1292</v>
      </c>
      <c r="I725" s="15">
        <v>1</v>
      </c>
      <c r="J725" s="24" t="s">
        <v>7</v>
      </c>
      <c r="K725" s="35">
        <v>8550</v>
      </c>
      <c r="L725" s="17">
        <f t="shared" si="87"/>
        <v>8550</v>
      </c>
      <c r="M725" s="173">
        <f t="shared" si="83"/>
        <v>8.5499999999999997E-4</v>
      </c>
      <c r="N725" s="160">
        <v>1.464</v>
      </c>
      <c r="O725" s="162">
        <f t="shared" si="88"/>
        <v>12517.199999999999</v>
      </c>
      <c r="P725" s="160">
        <v>192.19984615384615</v>
      </c>
      <c r="Q725" s="162">
        <f t="shared" si="82"/>
        <v>1643308.6846153846</v>
      </c>
      <c r="R725" s="133">
        <f t="shared" si="84"/>
        <v>0.16433086846153847</v>
      </c>
      <c r="S725" s="23" t="s">
        <v>1499</v>
      </c>
      <c r="T725" s="24" t="s">
        <v>272</v>
      </c>
      <c r="AA725"/>
    </row>
    <row r="726" spans="1:27" s="16" customFormat="1" ht="12.75" x14ac:dyDescent="0.2">
      <c r="A726" s="24" t="s">
        <v>1502</v>
      </c>
      <c r="B726" s="174">
        <v>44652</v>
      </c>
      <c r="C726" s="23" t="s">
        <v>1147</v>
      </c>
      <c r="D726" s="106">
        <v>5500614</v>
      </c>
      <c r="E726" s="24" t="s">
        <v>1188</v>
      </c>
      <c r="F726" s="29" t="s">
        <v>425</v>
      </c>
      <c r="G726" s="34" t="s">
        <v>1503</v>
      </c>
      <c r="H726" s="24" t="s">
        <v>1293</v>
      </c>
      <c r="I726" s="15">
        <v>1</v>
      </c>
      <c r="J726" s="24" t="s">
        <v>7</v>
      </c>
      <c r="K726" s="35">
        <v>8550</v>
      </c>
      <c r="L726" s="17">
        <f t="shared" si="87"/>
        <v>8550</v>
      </c>
      <c r="M726" s="173">
        <f t="shared" si="83"/>
        <v>8.5499999999999997E-4</v>
      </c>
      <c r="N726" s="160">
        <v>1.464</v>
      </c>
      <c r="O726" s="162">
        <f t="shared" si="88"/>
        <v>12517.199999999999</v>
      </c>
      <c r="P726" s="160">
        <v>192.19984615384615</v>
      </c>
      <c r="Q726" s="162">
        <f t="shared" si="82"/>
        <v>1643308.6846153846</v>
      </c>
      <c r="R726" s="133">
        <f t="shared" si="84"/>
        <v>0.16433086846153847</v>
      </c>
      <c r="S726" s="23" t="s">
        <v>1499</v>
      </c>
      <c r="T726" s="24" t="s">
        <v>272</v>
      </c>
      <c r="AA726"/>
    </row>
    <row r="727" spans="1:27" s="16" customFormat="1" ht="12.75" x14ac:dyDescent="0.2">
      <c r="A727" s="24" t="s">
        <v>1502</v>
      </c>
      <c r="B727" s="174">
        <v>44652</v>
      </c>
      <c r="C727" s="23" t="s">
        <v>1147</v>
      </c>
      <c r="D727" s="106">
        <v>5500614</v>
      </c>
      <c r="E727" s="24" t="s">
        <v>1188</v>
      </c>
      <c r="F727" s="29" t="s">
        <v>425</v>
      </c>
      <c r="G727" s="34" t="s">
        <v>1503</v>
      </c>
      <c r="H727" s="24" t="s">
        <v>1294</v>
      </c>
      <c r="I727" s="15">
        <v>1</v>
      </c>
      <c r="J727" s="24" t="s">
        <v>7</v>
      </c>
      <c r="K727" s="35">
        <v>8550</v>
      </c>
      <c r="L727" s="17">
        <f t="shared" si="87"/>
        <v>8550</v>
      </c>
      <c r="M727" s="173">
        <f t="shared" si="83"/>
        <v>8.5499999999999997E-4</v>
      </c>
      <c r="N727" s="160">
        <v>1.464</v>
      </c>
      <c r="O727" s="162">
        <f t="shared" si="88"/>
        <v>12517.199999999999</v>
      </c>
      <c r="P727" s="160">
        <v>192.19984615384615</v>
      </c>
      <c r="Q727" s="162">
        <f t="shared" si="82"/>
        <v>1643308.6846153846</v>
      </c>
      <c r="R727" s="133">
        <f t="shared" si="84"/>
        <v>0.16433086846153847</v>
      </c>
      <c r="S727" s="23" t="s">
        <v>1499</v>
      </c>
      <c r="T727" s="24" t="s">
        <v>272</v>
      </c>
      <c r="AA727"/>
    </row>
    <row r="728" spans="1:27" s="16" customFormat="1" ht="12.75" x14ac:dyDescent="0.2">
      <c r="A728" s="24" t="s">
        <v>1502</v>
      </c>
      <c r="B728" s="174">
        <v>44652</v>
      </c>
      <c r="C728" s="23" t="s">
        <v>1147</v>
      </c>
      <c r="D728" s="106">
        <v>5500614</v>
      </c>
      <c r="E728" s="24" t="s">
        <v>1188</v>
      </c>
      <c r="F728" s="29" t="s">
        <v>425</v>
      </c>
      <c r="G728" s="34" t="s">
        <v>1503</v>
      </c>
      <c r="H728" s="24" t="s">
        <v>1319</v>
      </c>
      <c r="I728" s="15">
        <v>1</v>
      </c>
      <c r="J728" s="24" t="s">
        <v>7</v>
      </c>
      <c r="K728" s="35">
        <v>8525</v>
      </c>
      <c r="L728" s="17">
        <f t="shared" si="87"/>
        <v>8525</v>
      </c>
      <c r="M728" s="173">
        <f t="shared" si="83"/>
        <v>8.5249999999999996E-4</v>
      </c>
      <c r="N728" s="160">
        <v>1.464</v>
      </c>
      <c r="O728" s="162">
        <f t="shared" si="88"/>
        <v>12480.6</v>
      </c>
      <c r="P728" s="160">
        <v>192.19984615384615</v>
      </c>
      <c r="Q728" s="162">
        <f t="shared" si="82"/>
        <v>1638503.6884615384</v>
      </c>
      <c r="R728" s="133">
        <f t="shared" si="84"/>
        <v>0.16385036884615384</v>
      </c>
      <c r="S728" s="23" t="s">
        <v>1499</v>
      </c>
      <c r="T728" s="24" t="s">
        <v>272</v>
      </c>
      <c r="AA728"/>
    </row>
    <row r="729" spans="1:27" s="16" customFormat="1" ht="12.75" x14ac:dyDescent="0.2">
      <c r="A729" s="24" t="s">
        <v>1502</v>
      </c>
      <c r="B729" s="174">
        <v>44652</v>
      </c>
      <c r="C729" s="23" t="s">
        <v>1147</v>
      </c>
      <c r="D729" s="106">
        <v>5500614</v>
      </c>
      <c r="E729" s="24" t="s">
        <v>1188</v>
      </c>
      <c r="F729" s="29" t="s">
        <v>425</v>
      </c>
      <c r="G729" s="34" t="s">
        <v>1503</v>
      </c>
      <c r="H729" s="24" t="s">
        <v>1320</v>
      </c>
      <c r="I729" s="15">
        <v>1</v>
      </c>
      <c r="J729" s="24" t="s">
        <v>7</v>
      </c>
      <c r="K729" s="35">
        <v>8550</v>
      </c>
      <c r="L729" s="17">
        <f t="shared" si="87"/>
        <v>8550</v>
      </c>
      <c r="M729" s="173">
        <f t="shared" si="83"/>
        <v>8.5499999999999997E-4</v>
      </c>
      <c r="N729" s="160">
        <v>1.464</v>
      </c>
      <c r="O729" s="162">
        <f t="shared" si="88"/>
        <v>12517.199999999999</v>
      </c>
      <c r="P729" s="160">
        <v>192.19984615384615</v>
      </c>
      <c r="Q729" s="162">
        <f t="shared" si="82"/>
        <v>1643308.6846153846</v>
      </c>
      <c r="R729" s="133">
        <f t="shared" si="84"/>
        <v>0.16433086846153847</v>
      </c>
      <c r="S729" s="23" t="s">
        <v>1499</v>
      </c>
      <c r="T729" s="24" t="s">
        <v>272</v>
      </c>
      <c r="AA729"/>
    </row>
    <row r="730" spans="1:27" s="16" customFormat="1" ht="12.75" x14ac:dyDescent="0.2">
      <c r="A730" s="24" t="s">
        <v>1502</v>
      </c>
      <c r="B730" s="174">
        <v>44652</v>
      </c>
      <c r="C730" s="23" t="s">
        <v>1147</v>
      </c>
      <c r="D730" s="106">
        <v>5500614</v>
      </c>
      <c r="E730" s="24" t="s">
        <v>1188</v>
      </c>
      <c r="F730" s="29" t="s">
        <v>425</v>
      </c>
      <c r="G730" s="34" t="s">
        <v>1503</v>
      </c>
      <c r="H730" s="24" t="s">
        <v>1321</v>
      </c>
      <c r="I730" s="15">
        <v>1</v>
      </c>
      <c r="J730" s="24" t="s">
        <v>7</v>
      </c>
      <c r="K730" s="35">
        <v>8550</v>
      </c>
      <c r="L730" s="17">
        <f t="shared" si="87"/>
        <v>8550</v>
      </c>
      <c r="M730" s="173">
        <f t="shared" si="83"/>
        <v>8.5499999999999997E-4</v>
      </c>
      <c r="N730" s="160">
        <v>1.464</v>
      </c>
      <c r="O730" s="162">
        <f t="shared" si="88"/>
        <v>12517.199999999999</v>
      </c>
      <c r="P730" s="160">
        <v>192.19984615384615</v>
      </c>
      <c r="Q730" s="162">
        <f t="shared" si="82"/>
        <v>1643308.6846153846</v>
      </c>
      <c r="R730" s="133">
        <f t="shared" si="84"/>
        <v>0.16433086846153847</v>
      </c>
      <c r="S730" s="23" t="s">
        <v>1499</v>
      </c>
      <c r="T730" s="24" t="s">
        <v>272</v>
      </c>
      <c r="AA730"/>
    </row>
    <row r="731" spans="1:27" s="16" customFormat="1" ht="12.75" x14ac:dyDescent="0.2">
      <c r="A731" s="24" t="s">
        <v>1502</v>
      </c>
      <c r="B731" s="174">
        <v>44652</v>
      </c>
      <c r="C731" s="23" t="s">
        <v>1147</v>
      </c>
      <c r="D731" s="106">
        <v>5500614</v>
      </c>
      <c r="E731" s="24" t="s">
        <v>1188</v>
      </c>
      <c r="F731" s="29" t="s">
        <v>425</v>
      </c>
      <c r="G731" s="34" t="s">
        <v>1503</v>
      </c>
      <c r="H731" s="24" t="s">
        <v>1322</v>
      </c>
      <c r="I731" s="15">
        <v>1</v>
      </c>
      <c r="J731" s="24" t="s">
        <v>7</v>
      </c>
      <c r="K731" s="35">
        <v>8550</v>
      </c>
      <c r="L731" s="17">
        <f t="shared" si="87"/>
        <v>8550</v>
      </c>
      <c r="M731" s="173">
        <f t="shared" si="83"/>
        <v>8.5499999999999997E-4</v>
      </c>
      <c r="N731" s="160">
        <v>1.464</v>
      </c>
      <c r="O731" s="162">
        <f t="shared" si="88"/>
        <v>12517.199999999999</v>
      </c>
      <c r="P731" s="160">
        <v>192.19984615384615</v>
      </c>
      <c r="Q731" s="162">
        <f t="shared" si="82"/>
        <v>1643308.6846153846</v>
      </c>
      <c r="R731" s="133">
        <f t="shared" si="84"/>
        <v>0.16433086846153847</v>
      </c>
      <c r="S731" s="23" t="s">
        <v>1499</v>
      </c>
      <c r="T731" s="24" t="s">
        <v>272</v>
      </c>
      <c r="AA731"/>
    </row>
    <row r="732" spans="1:27" s="16" customFormat="1" ht="12.75" x14ac:dyDescent="0.2">
      <c r="A732" s="24" t="s">
        <v>1502</v>
      </c>
      <c r="B732" s="174">
        <v>44652</v>
      </c>
      <c r="C732" s="23" t="s">
        <v>1147</v>
      </c>
      <c r="D732" s="106">
        <v>5500614</v>
      </c>
      <c r="E732" s="24" t="s">
        <v>1188</v>
      </c>
      <c r="F732" s="29" t="s">
        <v>425</v>
      </c>
      <c r="G732" s="34" t="s">
        <v>1503</v>
      </c>
      <c r="H732" s="24" t="s">
        <v>1323</v>
      </c>
      <c r="I732" s="15">
        <v>1</v>
      </c>
      <c r="J732" s="24" t="s">
        <v>7</v>
      </c>
      <c r="K732" s="35">
        <v>8550</v>
      </c>
      <c r="L732" s="17">
        <f t="shared" si="87"/>
        <v>8550</v>
      </c>
      <c r="M732" s="173">
        <f t="shared" si="83"/>
        <v>8.5499999999999997E-4</v>
      </c>
      <c r="N732" s="160">
        <v>1.464</v>
      </c>
      <c r="O732" s="162">
        <f t="shared" si="88"/>
        <v>12517.199999999999</v>
      </c>
      <c r="P732" s="160">
        <v>192.19984615384615</v>
      </c>
      <c r="Q732" s="162">
        <f t="shared" si="82"/>
        <v>1643308.6846153846</v>
      </c>
      <c r="R732" s="133">
        <f t="shared" si="84"/>
        <v>0.16433086846153847</v>
      </c>
      <c r="S732" s="23" t="s">
        <v>1499</v>
      </c>
      <c r="T732" s="24" t="s">
        <v>272</v>
      </c>
      <c r="AA732"/>
    </row>
    <row r="733" spans="1:27" s="16" customFormat="1" ht="12.75" x14ac:dyDescent="0.2">
      <c r="A733" s="24" t="s">
        <v>1502</v>
      </c>
      <c r="B733" s="174">
        <v>44652</v>
      </c>
      <c r="C733" s="23" t="s">
        <v>1147</v>
      </c>
      <c r="D733" s="106">
        <v>5500040</v>
      </c>
      <c r="E733" s="24" t="s">
        <v>48</v>
      </c>
      <c r="F733" s="29" t="s">
        <v>425</v>
      </c>
      <c r="G733" s="34" t="s">
        <v>1503</v>
      </c>
      <c r="H733" s="24" t="s">
        <v>1337</v>
      </c>
      <c r="I733" s="15">
        <v>1</v>
      </c>
      <c r="J733" s="24" t="s">
        <v>7</v>
      </c>
      <c r="K733" s="35">
        <v>21360</v>
      </c>
      <c r="L733" s="17">
        <f t="shared" si="87"/>
        <v>21360</v>
      </c>
      <c r="M733" s="173">
        <f t="shared" si="83"/>
        <v>2.1359999999999999E-3</v>
      </c>
      <c r="N733" s="160">
        <v>1.512</v>
      </c>
      <c r="O733" s="162">
        <f t="shared" si="88"/>
        <v>32296.32</v>
      </c>
      <c r="P733" s="160">
        <v>75.359683042789229</v>
      </c>
      <c r="Q733" s="162">
        <f t="shared" si="82"/>
        <v>1609682.829793978</v>
      </c>
      <c r="R733" s="133">
        <f t="shared" si="84"/>
        <v>0.1609682829793978</v>
      </c>
      <c r="S733" s="23" t="s">
        <v>1499</v>
      </c>
      <c r="T733" s="24" t="s">
        <v>272</v>
      </c>
      <c r="AA733"/>
    </row>
    <row r="734" spans="1:27" s="16" customFormat="1" ht="12.75" x14ac:dyDescent="0.2">
      <c r="A734" s="24" t="s">
        <v>1502</v>
      </c>
      <c r="B734" s="174">
        <v>44652</v>
      </c>
      <c r="C734" s="23" t="s">
        <v>1147</v>
      </c>
      <c r="D734" s="106">
        <v>5500040</v>
      </c>
      <c r="E734" s="24" t="s">
        <v>48</v>
      </c>
      <c r="F734" s="29" t="s">
        <v>425</v>
      </c>
      <c r="G734" s="34" t="s">
        <v>1503</v>
      </c>
      <c r="H734" s="24" t="s">
        <v>1338</v>
      </c>
      <c r="I734" s="15">
        <v>1</v>
      </c>
      <c r="J734" s="24" t="s">
        <v>7</v>
      </c>
      <c r="K734" s="35">
        <v>21360</v>
      </c>
      <c r="L734" s="17">
        <f t="shared" si="87"/>
        <v>21360</v>
      </c>
      <c r="M734" s="173">
        <f t="shared" si="83"/>
        <v>2.1359999999999999E-3</v>
      </c>
      <c r="N734" s="160">
        <v>1.512</v>
      </c>
      <c r="O734" s="162">
        <f t="shared" si="88"/>
        <v>32296.32</v>
      </c>
      <c r="P734" s="160">
        <v>75.359683042789229</v>
      </c>
      <c r="Q734" s="162">
        <f t="shared" si="82"/>
        <v>1609682.829793978</v>
      </c>
      <c r="R734" s="133">
        <f t="shared" si="84"/>
        <v>0.1609682829793978</v>
      </c>
      <c r="S734" s="23" t="s">
        <v>1499</v>
      </c>
      <c r="T734" s="24" t="s">
        <v>272</v>
      </c>
      <c r="AA734"/>
    </row>
    <row r="735" spans="1:27" s="16" customFormat="1" ht="12.75" x14ac:dyDescent="0.2">
      <c r="A735" s="24" t="s">
        <v>1502</v>
      </c>
      <c r="B735" s="174">
        <v>44652</v>
      </c>
      <c r="C735" s="23" t="s">
        <v>1147</v>
      </c>
      <c r="D735" s="106">
        <v>5500040</v>
      </c>
      <c r="E735" s="24" t="s">
        <v>48</v>
      </c>
      <c r="F735" s="29" t="s">
        <v>425</v>
      </c>
      <c r="G735" s="34" t="s">
        <v>1503</v>
      </c>
      <c r="H735" s="24" t="s">
        <v>1339</v>
      </c>
      <c r="I735" s="15">
        <v>1</v>
      </c>
      <c r="J735" s="24" t="s">
        <v>7</v>
      </c>
      <c r="K735" s="35">
        <v>21360</v>
      </c>
      <c r="L735" s="17">
        <f t="shared" si="87"/>
        <v>21360</v>
      </c>
      <c r="M735" s="173">
        <f t="shared" si="83"/>
        <v>2.1359999999999999E-3</v>
      </c>
      <c r="N735" s="160">
        <v>1.512</v>
      </c>
      <c r="O735" s="162">
        <f t="shared" si="88"/>
        <v>32296.32</v>
      </c>
      <c r="P735" s="160">
        <v>75.359683042789229</v>
      </c>
      <c r="Q735" s="162">
        <f t="shared" si="82"/>
        <v>1609682.829793978</v>
      </c>
      <c r="R735" s="133">
        <f t="shared" si="84"/>
        <v>0.1609682829793978</v>
      </c>
      <c r="S735" s="23" t="s">
        <v>1499</v>
      </c>
      <c r="T735" s="24" t="s">
        <v>272</v>
      </c>
      <c r="AA735"/>
    </row>
    <row r="736" spans="1:27" s="16" customFormat="1" ht="12.75" x14ac:dyDescent="0.2">
      <c r="A736" s="24" t="s">
        <v>1502</v>
      </c>
      <c r="B736" s="174">
        <v>44652</v>
      </c>
      <c r="C736" s="23" t="s">
        <v>1147</v>
      </c>
      <c r="D736" s="106">
        <v>5500040</v>
      </c>
      <c r="E736" s="24" t="s">
        <v>48</v>
      </c>
      <c r="F736" s="29" t="s">
        <v>425</v>
      </c>
      <c r="G736" s="34" t="s">
        <v>1503</v>
      </c>
      <c r="H736" s="24" t="s">
        <v>1361</v>
      </c>
      <c r="I736" s="15">
        <v>1</v>
      </c>
      <c r="J736" s="24" t="s">
        <v>7</v>
      </c>
      <c r="K736" s="35">
        <v>21300</v>
      </c>
      <c r="L736" s="17">
        <f t="shared" si="87"/>
        <v>21300</v>
      </c>
      <c r="M736" s="173">
        <f t="shared" si="83"/>
        <v>2.1299999999999999E-3</v>
      </c>
      <c r="N736" s="160">
        <v>1.512</v>
      </c>
      <c r="O736" s="162">
        <f t="shared" si="88"/>
        <v>32205.599999999999</v>
      </c>
      <c r="P736" s="160">
        <v>75.359683042789229</v>
      </c>
      <c r="Q736" s="162">
        <f t="shared" si="82"/>
        <v>1605161.2488114105</v>
      </c>
      <c r="R736" s="133">
        <f t="shared" si="84"/>
        <v>0.16051612488114106</v>
      </c>
      <c r="S736" s="23" t="s">
        <v>1499</v>
      </c>
      <c r="T736" s="24" t="s">
        <v>272</v>
      </c>
      <c r="AA736"/>
    </row>
    <row r="737" spans="1:27" s="16" customFormat="1" ht="12.75" x14ac:dyDescent="0.2">
      <c r="A737" s="24" t="s">
        <v>1502</v>
      </c>
      <c r="B737" s="174">
        <v>44652</v>
      </c>
      <c r="C737" s="23" t="s">
        <v>1147</v>
      </c>
      <c r="D737" s="106">
        <v>5500040</v>
      </c>
      <c r="E737" s="24" t="s">
        <v>48</v>
      </c>
      <c r="F737" s="29" t="s">
        <v>425</v>
      </c>
      <c r="G737" s="34" t="s">
        <v>1503</v>
      </c>
      <c r="H737" s="24" t="s">
        <v>1362</v>
      </c>
      <c r="I737" s="15">
        <v>1</v>
      </c>
      <c r="J737" s="24" t="s">
        <v>7</v>
      </c>
      <c r="K737" s="35">
        <v>21360</v>
      </c>
      <c r="L737" s="17">
        <f t="shared" si="87"/>
        <v>21360</v>
      </c>
      <c r="M737" s="173">
        <f t="shared" si="83"/>
        <v>2.1359999999999999E-3</v>
      </c>
      <c r="N737" s="160">
        <v>1.512</v>
      </c>
      <c r="O737" s="162">
        <f t="shared" si="88"/>
        <v>32296.32</v>
      </c>
      <c r="P737" s="160">
        <v>75.359683042789229</v>
      </c>
      <c r="Q737" s="162">
        <f t="shared" si="82"/>
        <v>1609682.829793978</v>
      </c>
      <c r="R737" s="133">
        <f t="shared" si="84"/>
        <v>0.1609682829793978</v>
      </c>
      <c r="S737" s="23" t="s">
        <v>1499</v>
      </c>
      <c r="T737" s="24" t="s">
        <v>272</v>
      </c>
      <c r="AA737"/>
    </row>
    <row r="738" spans="1:27" s="16" customFormat="1" ht="12.75" x14ac:dyDescent="0.2">
      <c r="A738" s="24" t="s">
        <v>1502</v>
      </c>
      <c r="B738" s="174">
        <v>44652</v>
      </c>
      <c r="C738" s="23" t="s">
        <v>1154</v>
      </c>
      <c r="D738" s="106">
        <v>5000746</v>
      </c>
      <c r="E738" s="24" t="s">
        <v>21</v>
      </c>
      <c r="F738" s="29" t="s">
        <v>424</v>
      </c>
      <c r="G738" s="34" t="s">
        <v>1503</v>
      </c>
      <c r="H738" s="24" t="s">
        <v>1248</v>
      </c>
      <c r="I738" s="15">
        <v>1</v>
      </c>
      <c r="J738" s="24" t="s">
        <v>9</v>
      </c>
      <c r="K738" s="35">
        <v>2940</v>
      </c>
      <c r="L738" s="17">
        <f t="shared" ref="L738:L747" si="89">K738*I738</f>
        <v>2940</v>
      </c>
      <c r="M738" s="173">
        <f t="shared" si="83"/>
        <v>2.9399999999999999E-4</v>
      </c>
      <c r="N738" s="160">
        <v>2.61</v>
      </c>
      <c r="O738" s="162">
        <f t="shared" ref="O738:O747" si="90">+K738*N738</f>
        <v>7673.4</v>
      </c>
      <c r="P738" s="160">
        <v>104.3</v>
      </c>
      <c r="Q738" s="162">
        <f t="shared" si="82"/>
        <v>306642</v>
      </c>
      <c r="R738" s="133">
        <f t="shared" si="84"/>
        <v>3.0664199999999999E-2</v>
      </c>
      <c r="S738" s="23" t="s">
        <v>1499</v>
      </c>
      <c r="T738" s="24" t="s">
        <v>283</v>
      </c>
      <c r="AA738"/>
    </row>
    <row r="739" spans="1:27" s="16" customFormat="1" ht="12.75" x14ac:dyDescent="0.2">
      <c r="A739" s="24" t="s">
        <v>1502</v>
      </c>
      <c r="B739" s="174">
        <v>44652</v>
      </c>
      <c r="C739" s="23" t="s">
        <v>1154</v>
      </c>
      <c r="D739" s="106">
        <v>5000746</v>
      </c>
      <c r="E739" s="24" t="s">
        <v>21</v>
      </c>
      <c r="F739" s="29" t="s">
        <v>424</v>
      </c>
      <c r="G739" s="34" t="s">
        <v>1503</v>
      </c>
      <c r="H739" s="24" t="s">
        <v>1249</v>
      </c>
      <c r="I739" s="15">
        <v>1</v>
      </c>
      <c r="J739" s="24" t="s">
        <v>9</v>
      </c>
      <c r="K739" s="35">
        <v>2940</v>
      </c>
      <c r="L739" s="17">
        <f t="shared" si="89"/>
        <v>2940</v>
      </c>
      <c r="M739" s="173">
        <f t="shared" si="83"/>
        <v>2.9399999999999999E-4</v>
      </c>
      <c r="N739" s="160">
        <v>2.61</v>
      </c>
      <c r="O739" s="162">
        <f t="shared" si="90"/>
        <v>7673.4</v>
      </c>
      <c r="P739" s="160">
        <v>104.3</v>
      </c>
      <c r="Q739" s="162">
        <f t="shared" si="82"/>
        <v>306642</v>
      </c>
      <c r="R739" s="133">
        <f t="shared" si="84"/>
        <v>3.0664199999999999E-2</v>
      </c>
      <c r="S739" s="23" t="s">
        <v>1499</v>
      </c>
      <c r="T739" s="24" t="s">
        <v>283</v>
      </c>
      <c r="AA739"/>
    </row>
    <row r="740" spans="1:27" s="16" customFormat="1" ht="12.75" x14ac:dyDescent="0.2">
      <c r="A740" s="24" t="s">
        <v>1502</v>
      </c>
      <c r="B740" s="174">
        <v>44652</v>
      </c>
      <c r="C740" s="23" t="s">
        <v>1154</v>
      </c>
      <c r="D740" s="106">
        <v>5000746</v>
      </c>
      <c r="E740" s="24" t="s">
        <v>21</v>
      </c>
      <c r="F740" s="29" t="s">
        <v>424</v>
      </c>
      <c r="G740" s="34" t="s">
        <v>1503</v>
      </c>
      <c r="H740" s="24" t="s">
        <v>1250</v>
      </c>
      <c r="I740" s="15">
        <v>1</v>
      </c>
      <c r="J740" s="24" t="s">
        <v>9</v>
      </c>
      <c r="K740" s="35">
        <v>2940</v>
      </c>
      <c r="L740" s="17">
        <f t="shared" si="89"/>
        <v>2940</v>
      </c>
      <c r="M740" s="173">
        <f t="shared" si="83"/>
        <v>2.9399999999999999E-4</v>
      </c>
      <c r="N740" s="160">
        <v>2.61</v>
      </c>
      <c r="O740" s="162">
        <f t="shared" si="90"/>
        <v>7673.4</v>
      </c>
      <c r="P740" s="160">
        <v>104.3</v>
      </c>
      <c r="Q740" s="162">
        <f t="shared" si="82"/>
        <v>306642</v>
      </c>
      <c r="R740" s="133">
        <f t="shared" si="84"/>
        <v>3.0664199999999999E-2</v>
      </c>
      <c r="S740" s="23" t="s">
        <v>1499</v>
      </c>
      <c r="T740" s="24" t="s">
        <v>283</v>
      </c>
      <c r="AA740"/>
    </row>
    <row r="741" spans="1:27" s="16" customFormat="1" ht="12.75" x14ac:dyDescent="0.2">
      <c r="A741" s="24" t="s">
        <v>1502</v>
      </c>
      <c r="B741" s="174">
        <v>44652</v>
      </c>
      <c r="C741" s="23" t="s">
        <v>1154</v>
      </c>
      <c r="D741" s="106">
        <v>5000746</v>
      </c>
      <c r="E741" s="24" t="s">
        <v>21</v>
      </c>
      <c r="F741" s="29" t="s">
        <v>424</v>
      </c>
      <c r="G741" s="34" t="s">
        <v>1503</v>
      </c>
      <c r="H741" s="24" t="s">
        <v>1251</v>
      </c>
      <c r="I741" s="15">
        <v>1</v>
      </c>
      <c r="J741" s="24" t="s">
        <v>9</v>
      </c>
      <c r="K741" s="35">
        <v>2940</v>
      </c>
      <c r="L741" s="17">
        <f t="shared" si="89"/>
        <v>2940</v>
      </c>
      <c r="M741" s="173">
        <f t="shared" si="83"/>
        <v>2.9399999999999999E-4</v>
      </c>
      <c r="N741" s="160">
        <v>2.61</v>
      </c>
      <c r="O741" s="162">
        <f t="shared" si="90"/>
        <v>7673.4</v>
      </c>
      <c r="P741" s="160">
        <v>104.3</v>
      </c>
      <c r="Q741" s="162">
        <f t="shared" si="82"/>
        <v>306642</v>
      </c>
      <c r="R741" s="133">
        <f t="shared" si="84"/>
        <v>3.0664199999999999E-2</v>
      </c>
      <c r="S741" s="23" t="s">
        <v>1499</v>
      </c>
      <c r="T741" s="24" t="s">
        <v>283</v>
      </c>
      <c r="AA741"/>
    </row>
    <row r="742" spans="1:27" s="16" customFormat="1" ht="12.75" x14ac:dyDescent="0.2">
      <c r="A742" s="24" t="s">
        <v>1502</v>
      </c>
      <c r="B742" s="174">
        <v>44652</v>
      </c>
      <c r="C742" s="23" t="s">
        <v>1154</v>
      </c>
      <c r="D742" s="106">
        <v>5000746</v>
      </c>
      <c r="E742" s="24" t="s">
        <v>21</v>
      </c>
      <c r="F742" s="29" t="s">
        <v>424</v>
      </c>
      <c r="G742" s="34" t="s">
        <v>1503</v>
      </c>
      <c r="H742" s="24" t="s">
        <v>1252</v>
      </c>
      <c r="I742" s="15">
        <v>1</v>
      </c>
      <c r="J742" s="24" t="s">
        <v>9</v>
      </c>
      <c r="K742" s="35">
        <v>2940</v>
      </c>
      <c r="L742" s="17">
        <f t="shared" si="89"/>
        <v>2940</v>
      </c>
      <c r="M742" s="173">
        <f t="shared" si="83"/>
        <v>2.9399999999999999E-4</v>
      </c>
      <c r="N742" s="160">
        <v>2.61</v>
      </c>
      <c r="O742" s="162">
        <f t="shared" si="90"/>
        <v>7673.4</v>
      </c>
      <c r="P742" s="160">
        <v>104.3</v>
      </c>
      <c r="Q742" s="162">
        <f t="shared" si="82"/>
        <v>306642</v>
      </c>
      <c r="R742" s="133">
        <f t="shared" si="84"/>
        <v>3.0664199999999999E-2</v>
      </c>
      <c r="S742" s="23" t="s">
        <v>1499</v>
      </c>
      <c r="T742" s="24" t="s">
        <v>283</v>
      </c>
      <c r="AA742"/>
    </row>
    <row r="743" spans="1:27" s="16" customFormat="1" ht="12.75" x14ac:dyDescent="0.2">
      <c r="A743" s="24" t="s">
        <v>1502</v>
      </c>
      <c r="B743" s="174">
        <v>44652</v>
      </c>
      <c r="C743" s="23" t="s">
        <v>1158</v>
      </c>
      <c r="D743" s="106">
        <v>5000753</v>
      </c>
      <c r="E743" s="24" t="s">
        <v>292</v>
      </c>
      <c r="F743" s="29" t="s">
        <v>424</v>
      </c>
      <c r="G743" s="34" t="s">
        <v>1503</v>
      </c>
      <c r="H743" s="24" t="s">
        <v>1260</v>
      </c>
      <c r="I743" s="15">
        <v>1</v>
      </c>
      <c r="J743" s="24" t="s">
        <v>9</v>
      </c>
      <c r="K743" s="35">
        <v>25860</v>
      </c>
      <c r="L743" s="17">
        <f t="shared" si="89"/>
        <v>25860</v>
      </c>
      <c r="M743" s="173">
        <f t="shared" si="83"/>
        <v>2.5860000000000002E-3</v>
      </c>
      <c r="N743" s="160">
        <v>1.8129999999999999</v>
      </c>
      <c r="O743" s="162">
        <f t="shared" si="90"/>
        <v>46884.18</v>
      </c>
      <c r="P743" s="160">
        <v>81.853200000000001</v>
      </c>
      <c r="Q743" s="162">
        <f t="shared" si="82"/>
        <v>2116723.7519999999</v>
      </c>
      <c r="R743" s="133">
        <f t="shared" si="84"/>
        <v>0.21167237519999998</v>
      </c>
      <c r="S743" s="23" t="s">
        <v>1499</v>
      </c>
      <c r="T743" s="24" t="s">
        <v>348</v>
      </c>
      <c r="AA743"/>
    </row>
    <row r="744" spans="1:27" s="16" customFormat="1" ht="12.75" x14ac:dyDescent="0.2">
      <c r="A744" s="24" t="s">
        <v>1502</v>
      </c>
      <c r="B744" s="174">
        <v>44652</v>
      </c>
      <c r="C744" s="23" t="s">
        <v>1158</v>
      </c>
      <c r="D744" s="106">
        <v>5000753</v>
      </c>
      <c r="E744" s="24" t="s">
        <v>292</v>
      </c>
      <c r="F744" s="29" t="s">
        <v>424</v>
      </c>
      <c r="G744" s="34" t="s">
        <v>1503</v>
      </c>
      <c r="H744" s="24" t="s">
        <v>1261</v>
      </c>
      <c r="I744" s="15">
        <v>1</v>
      </c>
      <c r="J744" s="24" t="s">
        <v>9</v>
      </c>
      <c r="K744" s="35">
        <v>25870</v>
      </c>
      <c r="L744" s="17">
        <f t="shared" si="89"/>
        <v>25870</v>
      </c>
      <c r="M744" s="173">
        <f t="shared" si="83"/>
        <v>2.5869999999999999E-3</v>
      </c>
      <c r="N744" s="160">
        <v>1.8129999999999999</v>
      </c>
      <c r="O744" s="162">
        <f t="shared" si="90"/>
        <v>46902.31</v>
      </c>
      <c r="P744" s="160">
        <v>81.853200000000001</v>
      </c>
      <c r="Q744" s="162">
        <f t="shared" si="82"/>
        <v>2117542.284</v>
      </c>
      <c r="R744" s="133">
        <f t="shared" si="84"/>
        <v>0.21175422839999999</v>
      </c>
      <c r="S744" s="23" t="s">
        <v>1499</v>
      </c>
      <c r="T744" s="24" t="s">
        <v>348</v>
      </c>
      <c r="AA744"/>
    </row>
    <row r="745" spans="1:27" s="16" customFormat="1" ht="12.75" x14ac:dyDescent="0.2">
      <c r="A745" s="24" t="s">
        <v>1502</v>
      </c>
      <c r="B745" s="174">
        <v>44652</v>
      </c>
      <c r="C745" s="23" t="s">
        <v>1158</v>
      </c>
      <c r="D745" s="106">
        <v>5000753</v>
      </c>
      <c r="E745" s="24" t="s">
        <v>292</v>
      </c>
      <c r="F745" s="29" t="s">
        <v>424</v>
      </c>
      <c r="G745" s="34" t="s">
        <v>1503</v>
      </c>
      <c r="H745" s="24" t="s">
        <v>1300</v>
      </c>
      <c r="I745" s="15">
        <v>1</v>
      </c>
      <c r="J745" s="24" t="s">
        <v>9</v>
      </c>
      <c r="K745" s="35">
        <v>25860</v>
      </c>
      <c r="L745" s="17">
        <f t="shared" si="89"/>
        <v>25860</v>
      </c>
      <c r="M745" s="173">
        <f t="shared" si="83"/>
        <v>2.5860000000000002E-3</v>
      </c>
      <c r="N745" s="160">
        <v>1.8129999999999999</v>
      </c>
      <c r="O745" s="162">
        <f t="shared" si="90"/>
        <v>46884.18</v>
      </c>
      <c r="P745" s="160">
        <v>81.853200000000001</v>
      </c>
      <c r="Q745" s="162">
        <f t="shared" si="82"/>
        <v>2116723.7519999999</v>
      </c>
      <c r="R745" s="133">
        <f t="shared" si="84"/>
        <v>0.21167237519999998</v>
      </c>
      <c r="S745" s="23" t="s">
        <v>1499</v>
      </c>
      <c r="T745" s="24" t="s">
        <v>348</v>
      </c>
      <c r="AA745"/>
    </row>
    <row r="746" spans="1:27" s="16" customFormat="1" ht="12.75" x14ac:dyDescent="0.2">
      <c r="A746" s="24" t="s">
        <v>1502</v>
      </c>
      <c r="B746" s="174">
        <v>44652</v>
      </c>
      <c r="C746" s="23" t="s">
        <v>1158</v>
      </c>
      <c r="D746" s="106">
        <v>5000753</v>
      </c>
      <c r="E746" s="24" t="s">
        <v>292</v>
      </c>
      <c r="F746" s="29" t="s">
        <v>424</v>
      </c>
      <c r="G746" s="34" t="s">
        <v>1503</v>
      </c>
      <c r="H746" s="24" t="s">
        <v>1310</v>
      </c>
      <c r="I746" s="15">
        <v>1</v>
      </c>
      <c r="J746" s="24" t="s">
        <v>9</v>
      </c>
      <c r="K746" s="35">
        <v>25860</v>
      </c>
      <c r="L746" s="17">
        <f t="shared" si="89"/>
        <v>25860</v>
      </c>
      <c r="M746" s="173">
        <f t="shared" si="83"/>
        <v>2.5860000000000002E-3</v>
      </c>
      <c r="N746" s="160">
        <v>1.8129999999999999</v>
      </c>
      <c r="O746" s="162">
        <f t="shared" si="90"/>
        <v>46884.18</v>
      </c>
      <c r="P746" s="160">
        <v>81.853200000000001</v>
      </c>
      <c r="Q746" s="162">
        <f t="shared" si="82"/>
        <v>2116723.7519999999</v>
      </c>
      <c r="R746" s="133">
        <f t="shared" si="84"/>
        <v>0.21167237519999998</v>
      </c>
      <c r="S746" s="23" t="s">
        <v>1499</v>
      </c>
      <c r="T746" s="24" t="s">
        <v>348</v>
      </c>
      <c r="AA746"/>
    </row>
    <row r="747" spans="1:27" s="16" customFormat="1" ht="12.75" x14ac:dyDescent="0.2">
      <c r="A747" s="24" t="s">
        <v>1502</v>
      </c>
      <c r="B747" s="174">
        <v>44652</v>
      </c>
      <c r="C747" s="23" t="s">
        <v>1158</v>
      </c>
      <c r="D747" s="106">
        <v>5000753</v>
      </c>
      <c r="E747" s="24" t="s">
        <v>292</v>
      </c>
      <c r="F747" s="29" t="s">
        <v>424</v>
      </c>
      <c r="G747" s="34" t="s">
        <v>1503</v>
      </c>
      <c r="H747" s="24" t="s">
        <v>1311</v>
      </c>
      <c r="I747" s="15">
        <v>1</v>
      </c>
      <c r="J747" s="24" t="s">
        <v>9</v>
      </c>
      <c r="K747" s="35">
        <v>25860</v>
      </c>
      <c r="L747" s="17">
        <f t="shared" si="89"/>
        <v>25860</v>
      </c>
      <c r="M747" s="173">
        <f t="shared" si="83"/>
        <v>2.5860000000000002E-3</v>
      </c>
      <c r="N747" s="160">
        <v>1.8129999999999999</v>
      </c>
      <c r="O747" s="162">
        <f t="shared" si="90"/>
        <v>46884.18</v>
      </c>
      <c r="P747" s="160">
        <v>81.853200000000001</v>
      </c>
      <c r="Q747" s="162">
        <f t="shared" si="82"/>
        <v>2116723.7519999999</v>
      </c>
      <c r="R747" s="133">
        <f t="shared" si="84"/>
        <v>0.21167237519999998</v>
      </c>
      <c r="S747" s="23" t="s">
        <v>1499</v>
      </c>
      <c r="T747" s="24" t="s">
        <v>348</v>
      </c>
      <c r="AA747"/>
    </row>
    <row r="748" spans="1:27" s="16" customFormat="1" ht="12.75" x14ac:dyDescent="0.2">
      <c r="A748" s="24" t="s">
        <v>1502</v>
      </c>
      <c r="B748" s="174">
        <v>44652</v>
      </c>
      <c r="C748" s="23" t="s">
        <v>1153</v>
      </c>
      <c r="D748" s="106">
        <v>5000665</v>
      </c>
      <c r="E748" s="24" t="s">
        <v>17</v>
      </c>
      <c r="F748" s="29" t="s">
        <v>424</v>
      </c>
      <c r="G748" s="29" t="s">
        <v>1507</v>
      </c>
      <c r="H748" s="24" t="s">
        <v>1246</v>
      </c>
      <c r="I748" s="15">
        <v>1</v>
      </c>
      <c r="J748" s="24" t="s">
        <v>7</v>
      </c>
      <c r="K748" s="35">
        <v>26040</v>
      </c>
      <c r="L748" s="17">
        <f t="shared" ref="L748:L773" si="91">K748*I748</f>
        <v>26040</v>
      </c>
      <c r="M748" s="173">
        <f t="shared" si="83"/>
        <v>2.604E-3</v>
      </c>
      <c r="N748" s="160">
        <v>1.82</v>
      </c>
      <c r="O748" s="162">
        <f t="shared" ref="O748:O773" si="92">+K748*N748</f>
        <v>47392.800000000003</v>
      </c>
      <c r="P748" s="160">
        <v>56.772970873786399</v>
      </c>
      <c r="Q748" s="162">
        <f t="shared" si="82"/>
        <v>1478368.1615533978</v>
      </c>
      <c r="R748" s="133">
        <f t="shared" si="84"/>
        <v>0.14783681615533978</v>
      </c>
      <c r="S748" s="23" t="s">
        <v>1499</v>
      </c>
      <c r="T748" s="24" t="s">
        <v>345</v>
      </c>
      <c r="AA748"/>
    </row>
    <row r="749" spans="1:27" s="16" customFormat="1" ht="12.75" x14ac:dyDescent="0.2">
      <c r="A749" s="24" t="s">
        <v>1502</v>
      </c>
      <c r="B749" s="174">
        <v>44652</v>
      </c>
      <c r="C749" s="23" t="s">
        <v>1153</v>
      </c>
      <c r="D749" s="106">
        <v>5000665</v>
      </c>
      <c r="E749" s="24" t="s">
        <v>17</v>
      </c>
      <c r="F749" s="29" t="s">
        <v>424</v>
      </c>
      <c r="G749" s="29" t="s">
        <v>1507</v>
      </c>
      <c r="H749" s="24" t="s">
        <v>1246</v>
      </c>
      <c r="I749" s="15">
        <v>1</v>
      </c>
      <c r="J749" s="24" t="s">
        <v>7</v>
      </c>
      <c r="K749" s="35">
        <v>13020</v>
      </c>
      <c r="L749" s="17">
        <f t="shared" si="91"/>
        <v>13020</v>
      </c>
      <c r="M749" s="173">
        <f t="shared" si="83"/>
        <v>1.302E-3</v>
      </c>
      <c r="N749" s="160">
        <v>1.82</v>
      </c>
      <c r="O749" s="162">
        <f t="shared" si="92"/>
        <v>23696.400000000001</v>
      </c>
      <c r="P749" s="160">
        <v>56.772970873786399</v>
      </c>
      <c r="Q749" s="162">
        <f t="shared" si="82"/>
        <v>739184.08077669889</v>
      </c>
      <c r="R749" s="133">
        <f t="shared" si="84"/>
        <v>7.3918408077669889E-2</v>
      </c>
      <c r="S749" s="23" t="s">
        <v>1499</v>
      </c>
      <c r="T749" s="24" t="s">
        <v>345</v>
      </c>
      <c r="AA749"/>
    </row>
    <row r="750" spans="1:27" s="16" customFormat="1" ht="12.75" x14ac:dyDescent="0.2">
      <c r="A750" s="24" t="s">
        <v>1502</v>
      </c>
      <c r="B750" s="174">
        <v>44652</v>
      </c>
      <c r="C750" s="23" t="s">
        <v>1153</v>
      </c>
      <c r="D750" s="106">
        <v>5000665</v>
      </c>
      <c r="E750" s="24" t="s">
        <v>17</v>
      </c>
      <c r="F750" s="29" t="s">
        <v>424</v>
      </c>
      <c r="G750" s="29" t="s">
        <v>1507</v>
      </c>
      <c r="H750" s="24" t="s">
        <v>1247</v>
      </c>
      <c r="I750" s="15">
        <v>1</v>
      </c>
      <c r="J750" s="24" t="s">
        <v>7</v>
      </c>
      <c r="K750" s="35">
        <v>13020</v>
      </c>
      <c r="L750" s="17">
        <f t="shared" si="91"/>
        <v>13020</v>
      </c>
      <c r="M750" s="173">
        <f t="shared" si="83"/>
        <v>1.302E-3</v>
      </c>
      <c r="N750" s="160">
        <v>1.82</v>
      </c>
      <c r="O750" s="162">
        <f t="shared" si="92"/>
        <v>23696.400000000001</v>
      </c>
      <c r="P750" s="160">
        <v>56.772970873786399</v>
      </c>
      <c r="Q750" s="162">
        <f t="shared" si="82"/>
        <v>739184.08077669889</v>
      </c>
      <c r="R750" s="133">
        <f t="shared" si="84"/>
        <v>7.3918408077669889E-2</v>
      </c>
      <c r="S750" s="23" t="s">
        <v>1499</v>
      </c>
      <c r="T750" s="24" t="s">
        <v>345</v>
      </c>
      <c r="AA750"/>
    </row>
    <row r="751" spans="1:27" s="16" customFormat="1" ht="12.75" x14ac:dyDescent="0.2">
      <c r="A751" s="24" t="s">
        <v>1502</v>
      </c>
      <c r="B751" s="174">
        <v>44652</v>
      </c>
      <c r="C751" s="23" t="s">
        <v>1153</v>
      </c>
      <c r="D751" s="106">
        <v>5000665</v>
      </c>
      <c r="E751" s="24" t="s">
        <v>17</v>
      </c>
      <c r="F751" s="29" t="s">
        <v>424</v>
      </c>
      <c r="G751" s="29" t="s">
        <v>1507</v>
      </c>
      <c r="H751" s="24" t="s">
        <v>1247</v>
      </c>
      <c r="I751" s="15">
        <v>1</v>
      </c>
      <c r="J751" s="24" t="s">
        <v>7</v>
      </c>
      <c r="K751" s="35">
        <v>26040</v>
      </c>
      <c r="L751" s="17">
        <f t="shared" si="91"/>
        <v>26040</v>
      </c>
      <c r="M751" s="173">
        <f t="shared" si="83"/>
        <v>2.604E-3</v>
      </c>
      <c r="N751" s="160">
        <v>1.82</v>
      </c>
      <c r="O751" s="162">
        <f t="shared" si="92"/>
        <v>47392.800000000003</v>
      </c>
      <c r="P751" s="160">
        <v>56.772970873786399</v>
      </c>
      <c r="Q751" s="162">
        <f t="shared" si="82"/>
        <v>1478368.1615533978</v>
      </c>
      <c r="R751" s="133">
        <f t="shared" si="84"/>
        <v>0.14783681615533978</v>
      </c>
      <c r="S751" s="23" t="s">
        <v>1499</v>
      </c>
      <c r="T751" s="24" t="s">
        <v>345</v>
      </c>
      <c r="AA751"/>
    </row>
    <row r="752" spans="1:27" s="16" customFormat="1" ht="12.75" x14ac:dyDescent="0.2">
      <c r="A752" s="24" t="s">
        <v>1502</v>
      </c>
      <c r="B752" s="174">
        <v>44652</v>
      </c>
      <c r="C752" s="23" t="s">
        <v>1153</v>
      </c>
      <c r="D752" s="106">
        <v>5000665</v>
      </c>
      <c r="E752" s="24" t="s">
        <v>17</v>
      </c>
      <c r="F752" s="29" t="s">
        <v>424</v>
      </c>
      <c r="G752" s="29" t="s">
        <v>1507</v>
      </c>
      <c r="H752" s="24" t="s">
        <v>1259</v>
      </c>
      <c r="I752" s="15">
        <v>1</v>
      </c>
      <c r="J752" s="24" t="s">
        <v>7</v>
      </c>
      <c r="K752" s="35">
        <v>19500</v>
      </c>
      <c r="L752" s="17">
        <f t="shared" si="91"/>
        <v>19500</v>
      </c>
      <c r="M752" s="173">
        <f t="shared" si="83"/>
        <v>1.9499999999999999E-3</v>
      </c>
      <c r="N752" s="160">
        <v>1.82</v>
      </c>
      <c r="O752" s="162">
        <f t="shared" si="92"/>
        <v>35490</v>
      </c>
      <c r="P752" s="160">
        <v>56.772970873786399</v>
      </c>
      <c r="Q752" s="162">
        <f t="shared" si="82"/>
        <v>1107072.9320388348</v>
      </c>
      <c r="R752" s="133">
        <f t="shared" si="84"/>
        <v>0.11070729320388348</v>
      </c>
      <c r="S752" s="23" t="s">
        <v>1499</v>
      </c>
      <c r="T752" s="24" t="s">
        <v>345</v>
      </c>
      <c r="AA752"/>
    </row>
    <row r="753" spans="1:27" s="16" customFormat="1" ht="12.75" x14ac:dyDescent="0.2">
      <c r="A753" s="24" t="s">
        <v>1502</v>
      </c>
      <c r="B753" s="174">
        <v>44652</v>
      </c>
      <c r="C753" s="23" t="s">
        <v>1153</v>
      </c>
      <c r="D753" s="106">
        <v>5000665</v>
      </c>
      <c r="E753" s="24" t="s">
        <v>17</v>
      </c>
      <c r="F753" s="29" t="s">
        <v>424</v>
      </c>
      <c r="G753" s="29" t="s">
        <v>1507</v>
      </c>
      <c r="H753" s="24" t="s">
        <v>1259</v>
      </c>
      <c r="I753" s="15">
        <v>1</v>
      </c>
      <c r="J753" s="24" t="s">
        <v>7</v>
      </c>
      <c r="K753" s="35">
        <v>19500</v>
      </c>
      <c r="L753" s="17">
        <f t="shared" si="91"/>
        <v>19500</v>
      </c>
      <c r="M753" s="173">
        <f t="shared" si="83"/>
        <v>1.9499999999999999E-3</v>
      </c>
      <c r="N753" s="160">
        <v>1.82</v>
      </c>
      <c r="O753" s="162">
        <f t="shared" si="92"/>
        <v>35490</v>
      </c>
      <c r="P753" s="160">
        <v>56.772970873786399</v>
      </c>
      <c r="Q753" s="162">
        <f t="shared" si="82"/>
        <v>1107072.9320388348</v>
      </c>
      <c r="R753" s="133">
        <f t="shared" si="84"/>
        <v>0.11070729320388348</v>
      </c>
      <c r="S753" s="23" t="s">
        <v>1499</v>
      </c>
      <c r="T753" s="24" t="s">
        <v>345</v>
      </c>
      <c r="AA753"/>
    </row>
    <row r="754" spans="1:27" s="16" customFormat="1" ht="12.75" x14ac:dyDescent="0.2">
      <c r="A754" s="24" t="s">
        <v>1502</v>
      </c>
      <c r="B754" s="174">
        <v>44652</v>
      </c>
      <c r="C754" s="23" t="s">
        <v>1153</v>
      </c>
      <c r="D754" s="106">
        <v>5000460</v>
      </c>
      <c r="E754" s="24" t="s">
        <v>10</v>
      </c>
      <c r="F754" s="29" t="s">
        <v>424</v>
      </c>
      <c r="G754" s="29" t="s">
        <v>1507</v>
      </c>
      <c r="H754" s="24" t="s">
        <v>1309</v>
      </c>
      <c r="I754" s="15">
        <v>1</v>
      </c>
      <c r="J754" s="24" t="s">
        <v>7</v>
      </c>
      <c r="K754" s="35">
        <v>9744</v>
      </c>
      <c r="L754" s="17">
        <f t="shared" si="91"/>
        <v>9744</v>
      </c>
      <c r="M754" s="173">
        <f t="shared" si="83"/>
        <v>9.7440000000000005E-4</v>
      </c>
      <c r="N754" s="160">
        <v>2.06</v>
      </c>
      <c r="O754" s="162">
        <f t="shared" si="92"/>
        <v>20072.64</v>
      </c>
      <c r="P754" s="160">
        <v>99.505603164817103</v>
      </c>
      <c r="Q754" s="162">
        <f t="shared" si="82"/>
        <v>969582.5972379779</v>
      </c>
      <c r="R754" s="133">
        <f t="shared" si="84"/>
        <v>9.6958259723797791E-2</v>
      </c>
      <c r="S754" s="23" t="s">
        <v>1499</v>
      </c>
      <c r="T754" s="24" t="s">
        <v>345</v>
      </c>
      <c r="AA754"/>
    </row>
    <row r="755" spans="1:27" s="16" customFormat="1" ht="12.75" x14ac:dyDescent="0.2">
      <c r="A755" s="24" t="s">
        <v>1502</v>
      </c>
      <c r="B755" s="174">
        <v>44652</v>
      </c>
      <c r="C755" s="23" t="s">
        <v>1153</v>
      </c>
      <c r="D755" s="106">
        <v>5000460</v>
      </c>
      <c r="E755" s="24" t="s">
        <v>10</v>
      </c>
      <c r="F755" s="29" t="s">
        <v>424</v>
      </c>
      <c r="G755" s="29" t="s">
        <v>1507</v>
      </c>
      <c r="H755" s="24" t="s">
        <v>1309</v>
      </c>
      <c r="I755" s="15">
        <v>1</v>
      </c>
      <c r="J755" s="24" t="s">
        <v>7</v>
      </c>
      <c r="K755" s="35">
        <v>9744</v>
      </c>
      <c r="L755" s="17">
        <f t="shared" si="91"/>
        <v>9744</v>
      </c>
      <c r="M755" s="173">
        <f t="shared" si="83"/>
        <v>9.7440000000000005E-4</v>
      </c>
      <c r="N755" s="160">
        <v>2.06</v>
      </c>
      <c r="O755" s="162">
        <f t="shared" si="92"/>
        <v>20072.64</v>
      </c>
      <c r="P755" s="160">
        <v>99.505603164817103</v>
      </c>
      <c r="Q755" s="162">
        <f t="shared" si="82"/>
        <v>969582.5972379779</v>
      </c>
      <c r="R755" s="133">
        <f t="shared" si="84"/>
        <v>9.6958259723797791E-2</v>
      </c>
      <c r="S755" s="23" t="s">
        <v>1499</v>
      </c>
      <c r="T755" s="24" t="s">
        <v>345</v>
      </c>
      <c r="AA755"/>
    </row>
    <row r="756" spans="1:27" s="16" customFormat="1" ht="12.75" x14ac:dyDescent="0.2">
      <c r="A756" s="24" t="s">
        <v>1502</v>
      </c>
      <c r="B756" s="174">
        <v>44652</v>
      </c>
      <c r="C756" s="23" t="s">
        <v>1153</v>
      </c>
      <c r="D756" s="106">
        <v>5000460</v>
      </c>
      <c r="E756" s="24" t="s">
        <v>10</v>
      </c>
      <c r="F756" s="29" t="s">
        <v>424</v>
      </c>
      <c r="G756" s="29" t="s">
        <v>1507</v>
      </c>
      <c r="H756" s="24" t="s">
        <v>1324</v>
      </c>
      <c r="I756" s="15">
        <v>1</v>
      </c>
      <c r="J756" s="24" t="s">
        <v>7</v>
      </c>
      <c r="K756" s="35">
        <v>12288</v>
      </c>
      <c r="L756" s="17">
        <f t="shared" si="91"/>
        <v>12288</v>
      </c>
      <c r="M756" s="173">
        <f t="shared" si="83"/>
        <v>1.2287999999999999E-3</v>
      </c>
      <c r="N756" s="160">
        <v>2.06</v>
      </c>
      <c r="O756" s="162">
        <f t="shared" si="92"/>
        <v>25313.279999999999</v>
      </c>
      <c r="P756" s="160">
        <v>99.505603164817103</v>
      </c>
      <c r="Q756" s="162">
        <f t="shared" si="82"/>
        <v>1222724.8516892726</v>
      </c>
      <c r="R756" s="133">
        <f t="shared" si="84"/>
        <v>0.12227248516892726</v>
      </c>
      <c r="S756" s="23" t="s">
        <v>1499</v>
      </c>
      <c r="T756" s="24" t="s">
        <v>345</v>
      </c>
      <c r="AA756"/>
    </row>
    <row r="757" spans="1:27" s="16" customFormat="1" ht="12.75" x14ac:dyDescent="0.2">
      <c r="A757" s="24" t="s">
        <v>1502</v>
      </c>
      <c r="B757" s="174">
        <v>44652</v>
      </c>
      <c r="C757" s="23" t="s">
        <v>1153</v>
      </c>
      <c r="D757" s="106">
        <v>5000460</v>
      </c>
      <c r="E757" s="24" t="s">
        <v>10</v>
      </c>
      <c r="F757" s="29" t="s">
        <v>424</v>
      </c>
      <c r="G757" s="29" t="s">
        <v>1507</v>
      </c>
      <c r="H757" s="24" t="s">
        <v>1324</v>
      </c>
      <c r="I757" s="15">
        <v>1</v>
      </c>
      <c r="J757" s="24" t="s">
        <v>7</v>
      </c>
      <c r="K757" s="35">
        <v>7200</v>
      </c>
      <c r="L757" s="17">
        <f t="shared" si="91"/>
        <v>7200</v>
      </c>
      <c r="M757" s="173">
        <f t="shared" si="83"/>
        <v>7.2000000000000005E-4</v>
      </c>
      <c r="N757" s="160">
        <v>2.06</v>
      </c>
      <c r="O757" s="162">
        <f t="shared" si="92"/>
        <v>14832</v>
      </c>
      <c r="P757" s="160">
        <v>99.505603164817103</v>
      </c>
      <c r="Q757" s="162">
        <f t="shared" si="82"/>
        <v>716440.34278668312</v>
      </c>
      <c r="R757" s="133">
        <f t="shared" si="84"/>
        <v>7.1644034278668306E-2</v>
      </c>
      <c r="S757" s="23" t="s">
        <v>1499</v>
      </c>
      <c r="T757" s="24" t="s">
        <v>345</v>
      </c>
      <c r="AA757"/>
    </row>
    <row r="758" spans="1:27" s="16" customFormat="1" ht="12.75" x14ac:dyDescent="0.2">
      <c r="A758" s="24" t="s">
        <v>1502</v>
      </c>
      <c r="B758" s="174">
        <v>44652</v>
      </c>
      <c r="C758" s="23" t="s">
        <v>1153</v>
      </c>
      <c r="D758" s="106">
        <v>5000460</v>
      </c>
      <c r="E758" s="24" t="s">
        <v>10</v>
      </c>
      <c r="F758" s="29" t="s">
        <v>424</v>
      </c>
      <c r="G758" s="29" t="s">
        <v>1507</v>
      </c>
      <c r="H758" s="24" t="s">
        <v>1328</v>
      </c>
      <c r="I758" s="15">
        <v>1</v>
      </c>
      <c r="J758" s="24" t="s">
        <v>7</v>
      </c>
      <c r="K758" s="35">
        <v>9744</v>
      </c>
      <c r="L758" s="17">
        <f t="shared" si="91"/>
        <v>9744</v>
      </c>
      <c r="M758" s="173">
        <f t="shared" si="83"/>
        <v>9.7440000000000005E-4</v>
      </c>
      <c r="N758" s="160">
        <v>2.06</v>
      </c>
      <c r="O758" s="162">
        <f t="shared" si="92"/>
        <v>20072.64</v>
      </c>
      <c r="P758" s="160">
        <v>99.505603164817103</v>
      </c>
      <c r="Q758" s="162">
        <f t="shared" si="82"/>
        <v>969582.5972379779</v>
      </c>
      <c r="R758" s="133">
        <f t="shared" si="84"/>
        <v>9.6958259723797791E-2</v>
      </c>
      <c r="S758" s="23" t="s">
        <v>1499</v>
      </c>
      <c r="T758" s="24" t="s">
        <v>345</v>
      </c>
      <c r="AA758"/>
    </row>
    <row r="759" spans="1:27" s="16" customFormat="1" ht="12.75" x14ac:dyDescent="0.2">
      <c r="A759" s="24" t="s">
        <v>1502</v>
      </c>
      <c r="B759" s="174">
        <v>44652</v>
      </c>
      <c r="C759" s="23" t="s">
        <v>1153</v>
      </c>
      <c r="D759" s="106">
        <v>5000460</v>
      </c>
      <c r="E759" s="24" t="s">
        <v>10</v>
      </c>
      <c r="F759" s="29" t="s">
        <v>424</v>
      </c>
      <c r="G759" s="29" t="s">
        <v>1507</v>
      </c>
      <c r="H759" s="24" t="s">
        <v>1328</v>
      </c>
      <c r="I759" s="15">
        <v>1</v>
      </c>
      <c r="J759" s="24" t="s">
        <v>7</v>
      </c>
      <c r="K759" s="35">
        <v>9744</v>
      </c>
      <c r="L759" s="17">
        <f t="shared" si="91"/>
        <v>9744</v>
      </c>
      <c r="M759" s="173">
        <f t="shared" si="83"/>
        <v>9.7440000000000005E-4</v>
      </c>
      <c r="N759" s="160">
        <v>2.06</v>
      </c>
      <c r="O759" s="162">
        <f t="shared" si="92"/>
        <v>20072.64</v>
      </c>
      <c r="P759" s="160">
        <v>99.505603164817103</v>
      </c>
      <c r="Q759" s="162">
        <f t="shared" si="82"/>
        <v>969582.5972379779</v>
      </c>
      <c r="R759" s="133">
        <f t="shared" si="84"/>
        <v>9.6958259723797791E-2</v>
      </c>
      <c r="S759" s="23" t="s">
        <v>1499</v>
      </c>
      <c r="T759" s="24" t="s">
        <v>345</v>
      </c>
      <c r="AA759"/>
    </row>
    <row r="760" spans="1:27" s="16" customFormat="1" ht="12.75" x14ac:dyDescent="0.2">
      <c r="A760" s="24" t="s">
        <v>1502</v>
      </c>
      <c r="B760" s="174">
        <v>44652</v>
      </c>
      <c r="C760" s="23" t="s">
        <v>1153</v>
      </c>
      <c r="D760" s="106">
        <v>5000460</v>
      </c>
      <c r="E760" s="24" t="s">
        <v>10</v>
      </c>
      <c r="F760" s="29" t="s">
        <v>424</v>
      </c>
      <c r="G760" s="29" t="s">
        <v>1507</v>
      </c>
      <c r="H760" s="24" t="s">
        <v>1329</v>
      </c>
      <c r="I760" s="15">
        <v>1</v>
      </c>
      <c r="J760" s="24" t="s">
        <v>7</v>
      </c>
      <c r="K760" s="35">
        <v>9744</v>
      </c>
      <c r="L760" s="17">
        <f t="shared" si="91"/>
        <v>9744</v>
      </c>
      <c r="M760" s="173">
        <f t="shared" si="83"/>
        <v>9.7440000000000005E-4</v>
      </c>
      <c r="N760" s="160">
        <v>2.06</v>
      </c>
      <c r="O760" s="162">
        <f t="shared" si="92"/>
        <v>20072.64</v>
      </c>
      <c r="P760" s="160">
        <v>99.505603164817103</v>
      </c>
      <c r="Q760" s="162">
        <f t="shared" si="82"/>
        <v>969582.5972379779</v>
      </c>
      <c r="R760" s="133">
        <f t="shared" si="84"/>
        <v>9.6958259723797791E-2</v>
      </c>
      <c r="S760" s="23" t="s">
        <v>1499</v>
      </c>
      <c r="T760" s="24" t="s">
        <v>345</v>
      </c>
      <c r="AA760"/>
    </row>
    <row r="761" spans="1:27" s="16" customFormat="1" ht="12.75" x14ac:dyDescent="0.2">
      <c r="A761" s="24" t="s">
        <v>1502</v>
      </c>
      <c r="B761" s="174">
        <v>44652</v>
      </c>
      <c r="C761" s="23" t="s">
        <v>1153</v>
      </c>
      <c r="D761" s="106">
        <v>5000460</v>
      </c>
      <c r="E761" s="24" t="s">
        <v>10</v>
      </c>
      <c r="F761" s="29" t="s">
        <v>424</v>
      </c>
      <c r="G761" s="29" t="s">
        <v>1507</v>
      </c>
      <c r="H761" s="24" t="s">
        <v>1329</v>
      </c>
      <c r="I761" s="15">
        <v>1</v>
      </c>
      <c r="J761" s="24" t="s">
        <v>7</v>
      </c>
      <c r="K761" s="35">
        <v>9744</v>
      </c>
      <c r="L761" s="17">
        <f t="shared" si="91"/>
        <v>9744</v>
      </c>
      <c r="M761" s="173">
        <f t="shared" si="83"/>
        <v>9.7440000000000005E-4</v>
      </c>
      <c r="N761" s="160">
        <v>2.06</v>
      </c>
      <c r="O761" s="162">
        <f t="shared" si="92"/>
        <v>20072.64</v>
      </c>
      <c r="P761" s="160">
        <v>99.505603164817103</v>
      </c>
      <c r="Q761" s="162">
        <f t="shared" si="82"/>
        <v>969582.5972379779</v>
      </c>
      <c r="R761" s="133">
        <f t="shared" si="84"/>
        <v>9.6958259723797791E-2</v>
      </c>
      <c r="S761" s="23" t="s">
        <v>1499</v>
      </c>
      <c r="T761" s="24" t="s">
        <v>345</v>
      </c>
      <c r="AA761"/>
    </row>
    <row r="762" spans="1:27" s="16" customFormat="1" ht="12.75" x14ac:dyDescent="0.2">
      <c r="A762" s="24" t="s">
        <v>1502</v>
      </c>
      <c r="B762" s="174">
        <v>44652</v>
      </c>
      <c r="C762" s="23" t="s">
        <v>1153</v>
      </c>
      <c r="D762" s="106">
        <v>5000460</v>
      </c>
      <c r="E762" s="24" t="s">
        <v>10</v>
      </c>
      <c r="F762" s="29" t="s">
        <v>424</v>
      </c>
      <c r="G762" s="29" t="s">
        <v>1507</v>
      </c>
      <c r="H762" s="24" t="s">
        <v>1333</v>
      </c>
      <c r="I762" s="15">
        <v>1</v>
      </c>
      <c r="J762" s="24" t="s">
        <v>7</v>
      </c>
      <c r="K762" s="35">
        <v>12216</v>
      </c>
      <c r="L762" s="17">
        <f t="shared" si="91"/>
        <v>12216</v>
      </c>
      <c r="M762" s="173">
        <f t="shared" si="83"/>
        <v>1.2216E-3</v>
      </c>
      <c r="N762" s="160">
        <v>2.06</v>
      </c>
      <c r="O762" s="162">
        <f t="shared" si="92"/>
        <v>25164.959999999999</v>
      </c>
      <c r="P762" s="160">
        <v>99.505603164817103</v>
      </c>
      <c r="Q762" s="162">
        <f t="shared" si="82"/>
        <v>1215560.4482614058</v>
      </c>
      <c r="R762" s="133">
        <f t="shared" si="84"/>
        <v>0.12155604482614057</v>
      </c>
      <c r="S762" s="23" t="s">
        <v>1499</v>
      </c>
      <c r="T762" s="24" t="s">
        <v>345</v>
      </c>
      <c r="AA762"/>
    </row>
    <row r="763" spans="1:27" s="16" customFormat="1" ht="12.75" x14ac:dyDescent="0.2">
      <c r="A763" s="24" t="s">
        <v>1502</v>
      </c>
      <c r="B763" s="174">
        <v>44652</v>
      </c>
      <c r="C763" s="23" t="s">
        <v>1153</v>
      </c>
      <c r="D763" s="106">
        <v>5000460</v>
      </c>
      <c r="E763" s="24" t="s">
        <v>10</v>
      </c>
      <c r="F763" s="29" t="s">
        <v>424</v>
      </c>
      <c r="G763" s="29" t="s">
        <v>1507</v>
      </c>
      <c r="H763" s="24" t="s">
        <v>1333</v>
      </c>
      <c r="I763" s="15">
        <v>1</v>
      </c>
      <c r="J763" s="24" t="s">
        <v>7</v>
      </c>
      <c r="K763" s="35">
        <v>7200</v>
      </c>
      <c r="L763" s="17">
        <f t="shared" si="91"/>
        <v>7200</v>
      </c>
      <c r="M763" s="173">
        <f t="shared" si="83"/>
        <v>7.2000000000000005E-4</v>
      </c>
      <c r="N763" s="160">
        <v>2.06</v>
      </c>
      <c r="O763" s="162">
        <f t="shared" si="92"/>
        <v>14832</v>
      </c>
      <c r="P763" s="160">
        <v>99.505603164817103</v>
      </c>
      <c r="Q763" s="162">
        <f t="shared" si="82"/>
        <v>716440.34278668312</v>
      </c>
      <c r="R763" s="133">
        <f t="shared" si="84"/>
        <v>7.1644034278668306E-2</v>
      </c>
      <c r="S763" s="23" t="s">
        <v>1499</v>
      </c>
      <c r="T763" s="24" t="s">
        <v>345</v>
      </c>
      <c r="AA763"/>
    </row>
    <row r="764" spans="1:27" s="16" customFormat="1" ht="12.75" x14ac:dyDescent="0.2">
      <c r="A764" s="24" t="s">
        <v>1502</v>
      </c>
      <c r="B764" s="174">
        <v>44652</v>
      </c>
      <c r="C764" s="23" t="s">
        <v>1153</v>
      </c>
      <c r="D764" s="106">
        <v>5000665</v>
      </c>
      <c r="E764" s="24" t="s">
        <v>17</v>
      </c>
      <c r="F764" s="29" t="s">
        <v>424</v>
      </c>
      <c r="G764" s="29" t="s">
        <v>1507</v>
      </c>
      <c r="H764" s="24" t="s">
        <v>1364</v>
      </c>
      <c r="I764" s="15">
        <v>1</v>
      </c>
      <c r="J764" s="24" t="s">
        <v>7</v>
      </c>
      <c r="K764" s="35">
        <v>19560</v>
      </c>
      <c r="L764" s="17">
        <f t="shared" si="91"/>
        <v>19560</v>
      </c>
      <c r="M764" s="173">
        <f t="shared" si="83"/>
        <v>1.9559999999999998E-3</v>
      </c>
      <c r="N764" s="160">
        <v>1.82</v>
      </c>
      <c r="O764" s="162">
        <f t="shared" si="92"/>
        <v>35599.200000000004</v>
      </c>
      <c r="P764" s="160">
        <v>56.772970873786399</v>
      </c>
      <c r="Q764" s="162">
        <f t="shared" si="82"/>
        <v>1110479.3102912619</v>
      </c>
      <c r="R764" s="133">
        <f t="shared" si="84"/>
        <v>0.11104793102912619</v>
      </c>
      <c r="S764" s="23" t="s">
        <v>1499</v>
      </c>
      <c r="T764" s="24" t="s">
        <v>345</v>
      </c>
      <c r="AA764"/>
    </row>
    <row r="765" spans="1:27" s="16" customFormat="1" ht="12.75" x14ac:dyDescent="0.2">
      <c r="A765" s="24" t="s">
        <v>1502</v>
      </c>
      <c r="B765" s="174">
        <v>44652</v>
      </c>
      <c r="C765" s="23" t="s">
        <v>1153</v>
      </c>
      <c r="D765" s="106">
        <v>5000665</v>
      </c>
      <c r="E765" s="24" t="s">
        <v>17</v>
      </c>
      <c r="F765" s="29" t="s">
        <v>424</v>
      </c>
      <c r="G765" s="29" t="s">
        <v>1507</v>
      </c>
      <c r="H765" s="24" t="s">
        <v>1364</v>
      </c>
      <c r="I765" s="15">
        <v>1</v>
      </c>
      <c r="J765" s="24" t="s">
        <v>7</v>
      </c>
      <c r="K765" s="35">
        <v>19500</v>
      </c>
      <c r="L765" s="17">
        <f t="shared" si="91"/>
        <v>19500</v>
      </c>
      <c r="M765" s="173">
        <f t="shared" si="83"/>
        <v>1.9499999999999999E-3</v>
      </c>
      <c r="N765" s="160">
        <v>1.82</v>
      </c>
      <c r="O765" s="162">
        <f t="shared" si="92"/>
        <v>35490</v>
      </c>
      <c r="P765" s="160">
        <v>56.772970873786399</v>
      </c>
      <c r="Q765" s="162">
        <f t="shared" si="82"/>
        <v>1107072.9320388348</v>
      </c>
      <c r="R765" s="133">
        <f t="shared" si="84"/>
        <v>0.11070729320388348</v>
      </c>
      <c r="S765" s="23" t="s">
        <v>1499</v>
      </c>
      <c r="T765" s="24" t="s">
        <v>345</v>
      </c>
      <c r="AA765"/>
    </row>
    <row r="766" spans="1:27" s="16" customFormat="1" ht="12.75" x14ac:dyDescent="0.2">
      <c r="A766" s="24" t="s">
        <v>1502</v>
      </c>
      <c r="B766" s="174">
        <v>44652</v>
      </c>
      <c r="C766" s="23" t="s">
        <v>1153</v>
      </c>
      <c r="D766" s="106">
        <v>5000665</v>
      </c>
      <c r="E766" s="24" t="s">
        <v>17</v>
      </c>
      <c r="F766" s="29" t="s">
        <v>424</v>
      </c>
      <c r="G766" s="29" t="s">
        <v>1507</v>
      </c>
      <c r="H766" s="24" t="s">
        <v>1370</v>
      </c>
      <c r="I766" s="15">
        <v>1</v>
      </c>
      <c r="J766" s="24" t="s">
        <v>7</v>
      </c>
      <c r="K766" s="35">
        <v>13020</v>
      </c>
      <c r="L766" s="17">
        <f t="shared" si="91"/>
        <v>13020</v>
      </c>
      <c r="M766" s="173">
        <f t="shared" si="83"/>
        <v>1.302E-3</v>
      </c>
      <c r="N766" s="160">
        <v>1.82</v>
      </c>
      <c r="O766" s="162">
        <f t="shared" si="92"/>
        <v>23696.400000000001</v>
      </c>
      <c r="P766" s="160">
        <v>56.772970873786399</v>
      </c>
      <c r="Q766" s="162">
        <f t="shared" si="82"/>
        <v>739184.08077669889</v>
      </c>
      <c r="R766" s="133">
        <f t="shared" si="84"/>
        <v>7.3918408077669889E-2</v>
      </c>
      <c r="S766" s="23" t="s">
        <v>1499</v>
      </c>
      <c r="T766" s="24" t="s">
        <v>345</v>
      </c>
      <c r="AA766"/>
    </row>
    <row r="767" spans="1:27" s="16" customFormat="1" ht="12.75" x14ac:dyDescent="0.2">
      <c r="A767" s="24" t="s">
        <v>1502</v>
      </c>
      <c r="B767" s="174">
        <v>44652</v>
      </c>
      <c r="C767" s="23" t="s">
        <v>1153</v>
      </c>
      <c r="D767" s="106">
        <v>5000665</v>
      </c>
      <c r="E767" s="24" t="s">
        <v>17</v>
      </c>
      <c r="F767" s="29" t="s">
        <v>424</v>
      </c>
      <c r="G767" s="29" t="s">
        <v>1507</v>
      </c>
      <c r="H767" s="24" t="s">
        <v>1371</v>
      </c>
      <c r="I767" s="15">
        <v>1</v>
      </c>
      <c r="J767" s="24" t="s">
        <v>7</v>
      </c>
      <c r="K767" s="35">
        <v>13020</v>
      </c>
      <c r="L767" s="17">
        <f t="shared" si="91"/>
        <v>13020</v>
      </c>
      <c r="M767" s="173">
        <f t="shared" si="83"/>
        <v>1.302E-3</v>
      </c>
      <c r="N767" s="160">
        <v>1.82</v>
      </c>
      <c r="O767" s="162">
        <f t="shared" si="92"/>
        <v>23696.400000000001</v>
      </c>
      <c r="P767" s="160">
        <v>56.772970873786399</v>
      </c>
      <c r="Q767" s="162">
        <f t="shared" si="82"/>
        <v>739184.08077669889</v>
      </c>
      <c r="R767" s="133">
        <f t="shared" si="84"/>
        <v>7.3918408077669889E-2</v>
      </c>
      <c r="S767" s="23" t="s">
        <v>1499</v>
      </c>
      <c r="T767" s="24" t="s">
        <v>345</v>
      </c>
      <c r="AA767"/>
    </row>
    <row r="768" spans="1:27" s="16" customFormat="1" ht="12.75" x14ac:dyDescent="0.2">
      <c r="A768" s="24" t="s">
        <v>1502</v>
      </c>
      <c r="B768" s="174">
        <v>44652</v>
      </c>
      <c r="C768" s="23" t="s">
        <v>1153</v>
      </c>
      <c r="D768" s="106">
        <v>5000665</v>
      </c>
      <c r="E768" s="24" t="s">
        <v>17</v>
      </c>
      <c r="F768" s="29" t="s">
        <v>424</v>
      </c>
      <c r="G768" s="29" t="s">
        <v>1507</v>
      </c>
      <c r="H768" s="24" t="s">
        <v>1370</v>
      </c>
      <c r="I768" s="15">
        <v>1</v>
      </c>
      <c r="J768" s="24" t="s">
        <v>7</v>
      </c>
      <c r="K768" s="35">
        <v>26040</v>
      </c>
      <c r="L768" s="17">
        <f t="shared" si="91"/>
        <v>26040</v>
      </c>
      <c r="M768" s="173">
        <f t="shared" si="83"/>
        <v>2.604E-3</v>
      </c>
      <c r="N768" s="160">
        <v>1.82</v>
      </c>
      <c r="O768" s="162">
        <f t="shared" si="92"/>
        <v>47392.800000000003</v>
      </c>
      <c r="P768" s="160">
        <v>56.772970873786399</v>
      </c>
      <c r="Q768" s="162">
        <f t="shared" si="82"/>
        <v>1478368.1615533978</v>
      </c>
      <c r="R768" s="133">
        <f t="shared" si="84"/>
        <v>0.14783681615533978</v>
      </c>
      <c r="S768" s="23" t="s">
        <v>1499</v>
      </c>
      <c r="T768" s="24" t="s">
        <v>345</v>
      </c>
      <c r="AA768"/>
    </row>
    <row r="769" spans="1:27" s="16" customFormat="1" ht="12.75" x14ac:dyDescent="0.2">
      <c r="A769" s="24" t="s">
        <v>1502</v>
      </c>
      <c r="B769" s="174">
        <v>44652</v>
      </c>
      <c r="C769" s="23" t="s">
        <v>1153</v>
      </c>
      <c r="D769" s="106">
        <v>5000665</v>
      </c>
      <c r="E769" s="24" t="s">
        <v>17</v>
      </c>
      <c r="F769" s="29" t="s">
        <v>424</v>
      </c>
      <c r="G769" s="29" t="s">
        <v>1507</v>
      </c>
      <c r="H769" s="24" t="s">
        <v>1371</v>
      </c>
      <c r="I769" s="15">
        <v>1</v>
      </c>
      <c r="J769" s="24" t="s">
        <v>7</v>
      </c>
      <c r="K769" s="35">
        <v>26040</v>
      </c>
      <c r="L769" s="17">
        <f t="shared" si="91"/>
        <v>26040</v>
      </c>
      <c r="M769" s="173">
        <f t="shared" si="83"/>
        <v>2.604E-3</v>
      </c>
      <c r="N769" s="160">
        <v>1.82</v>
      </c>
      <c r="O769" s="162">
        <f t="shared" si="92"/>
        <v>47392.800000000003</v>
      </c>
      <c r="P769" s="160">
        <v>56.772970873786399</v>
      </c>
      <c r="Q769" s="162">
        <f t="shared" si="82"/>
        <v>1478368.1615533978</v>
      </c>
      <c r="R769" s="133">
        <f t="shared" si="84"/>
        <v>0.14783681615533978</v>
      </c>
      <c r="S769" s="23" t="s">
        <v>1499</v>
      </c>
      <c r="T769" s="24" t="s">
        <v>345</v>
      </c>
      <c r="AA769"/>
    </row>
    <row r="770" spans="1:27" s="16" customFormat="1" ht="12.75" x14ac:dyDescent="0.2">
      <c r="A770" s="24" t="s">
        <v>1502</v>
      </c>
      <c r="B770" s="174">
        <v>44652</v>
      </c>
      <c r="C770" s="23" t="s">
        <v>1153</v>
      </c>
      <c r="D770" s="106">
        <v>5000665</v>
      </c>
      <c r="E770" s="24" t="s">
        <v>17</v>
      </c>
      <c r="F770" s="29" t="s">
        <v>424</v>
      </c>
      <c r="G770" s="29" t="s">
        <v>1507</v>
      </c>
      <c r="H770" s="24" t="s">
        <v>1380</v>
      </c>
      <c r="I770" s="15">
        <v>1</v>
      </c>
      <c r="J770" s="24" t="s">
        <v>7</v>
      </c>
      <c r="K770" s="35">
        <v>26040</v>
      </c>
      <c r="L770" s="17">
        <f t="shared" si="91"/>
        <v>26040</v>
      </c>
      <c r="M770" s="173">
        <f t="shared" si="83"/>
        <v>2.604E-3</v>
      </c>
      <c r="N770" s="160">
        <v>1.82</v>
      </c>
      <c r="O770" s="162">
        <f t="shared" si="92"/>
        <v>47392.800000000003</v>
      </c>
      <c r="P770" s="160">
        <v>56.772970873786399</v>
      </c>
      <c r="Q770" s="162">
        <f t="shared" ref="Q770:Q833" si="93">+K770*P770</f>
        <v>1478368.1615533978</v>
      </c>
      <c r="R770" s="133">
        <f t="shared" si="84"/>
        <v>0.14783681615533978</v>
      </c>
      <c r="S770" s="23" t="s">
        <v>1499</v>
      </c>
      <c r="T770" s="24" t="s">
        <v>345</v>
      </c>
      <c r="AA770"/>
    </row>
    <row r="771" spans="1:27" s="16" customFormat="1" ht="12.75" x14ac:dyDescent="0.2">
      <c r="A771" s="24" t="s">
        <v>1502</v>
      </c>
      <c r="B771" s="174">
        <v>44652</v>
      </c>
      <c r="C771" s="23" t="s">
        <v>1153</v>
      </c>
      <c r="D771" s="106">
        <v>5000665</v>
      </c>
      <c r="E771" s="24" t="s">
        <v>17</v>
      </c>
      <c r="F771" s="29" t="s">
        <v>424</v>
      </c>
      <c r="G771" s="29" t="s">
        <v>1507</v>
      </c>
      <c r="H771" s="24" t="s">
        <v>1381</v>
      </c>
      <c r="I771" s="15">
        <v>1</v>
      </c>
      <c r="J771" s="24" t="s">
        <v>7</v>
      </c>
      <c r="K771" s="35">
        <v>26040</v>
      </c>
      <c r="L771" s="17">
        <f t="shared" si="91"/>
        <v>26040</v>
      </c>
      <c r="M771" s="173">
        <f t="shared" ref="M771:M834" si="94">L771/10^7</f>
        <v>2.604E-3</v>
      </c>
      <c r="N771" s="160">
        <v>1.82</v>
      </c>
      <c r="O771" s="162">
        <f t="shared" si="92"/>
        <v>47392.800000000003</v>
      </c>
      <c r="P771" s="160">
        <v>56.772970873786399</v>
      </c>
      <c r="Q771" s="162">
        <f t="shared" si="93"/>
        <v>1478368.1615533978</v>
      </c>
      <c r="R771" s="133">
        <f t="shared" ref="R771:R834" si="95">Q771/10^7</f>
        <v>0.14783681615533978</v>
      </c>
      <c r="S771" s="23" t="s">
        <v>1499</v>
      </c>
      <c r="T771" s="24" t="s">
        <v>345</v>
      </c>
      <c r="AA771"/>
    </row>
    <row r="772" spans="1:27" s="16" customFormat="1" ht="12.75" x14ac:dyDescent="0.2">
      <c r="A772" s="24" t="s">
        <v>1502</v>
      </c>
      <c r="B772" s="174">
        <v>44652</v>
      </c>
      <c r="C772" s="23" t="s">
        <v>1153</v>
      </c>
      <c r="D772" s="106">
        <v>5000665</v>
      </c>
      <c r="E772" s="24" t="s">
        <v>17</v>
      </c>
      <c r="F772" s="29" t="s">
        <v>424</v>
      </c>
      <c r="G772" s="29" t="s">
        <v>1507</v>
      </c>
      <c r="H772" s="24" t="s">
        <v>1380</v>
      </c>
      <c r="I772" s="15">
        <v>1</v>
      </c>
      <c r="J772" s="24" t="s">
        <v>7</v>
      </c>
      <c r="K772" s="35">
        <v>13020</v>
      </c>
      <c r="L772" s="17">
        <f t="shared" si="91"/>
        <v>13020</v>
      </c>
      <c r="M772" s="173">
        <f t="shared" si="94"/>
        <v>1.302E-3</v>
      </c>
      <c r="N772" s="160">
        <v>1.82</v>
      </c>
      <c r="O772" s="162">
        <f t="shared" si="92"/>
        <v>23696.400000000001</v>
      </c>
      <c r="P772" s="160">
        <v>56.772970873786399</v>
      </c>
      <c r="Q772" s="162">
        <f t="shared" si="93"/>
        <v>739184.08077669889</v>
      </c>
      <c r="R772" s="133">
        <f t="shared" si="95"/>
        <v>7.3918408077669889E-2</v>
      </c>
      <c r="S772" s="23" t="s">
        <v>1499</v>
      </c>
      <c r="T772" s="24" t="s">
        <v>345</v>
      </c>
      <c r="AA772"/>
    </row>
    <row r="773" spans="1:27" s="16" customFormat="1" ht="12.75" x14ac:dyDescent="0.2">
      <c r="A773" s="24" t="s">
        <v>1502</v>
      </c>
      <c r="B773" s="174">
        <v>44652</v>
      </c>
      <c r="C773" s="23" t="s">
        <v>1153</v>
      </c>
      <c r="D773" s="106">
        <v>5000665</v>
      </c>
      <c r="E773" s="24" t="s">
        <v>17</v>
      </c>
      <c r="F773" s="29" t="s">
        <v>424</v>
      </c>
      <c r="G773" s="29" t="s">
        <v>1507</v>
      </c>
      <c r="H773" s="24" t="s">
        <v>1381</v>
      </c>
      <c r="I773" s="15">
        <v>1</v>
      </c>
      <c r="J773" s="24" t="s">
        <v>7</v>
      </c>
      <c r="K773" s="35">
        <v>13020</v>
      </c>
      <c r="L773" s="17">
        <f t="shared" si="91"/>
        <v>13020</v>
      </c>
      <c r="M773" s="173">
        <f t="shared" si="94"/>
        <v>1.302E-3</v>
      </c>
      <c r="N773" s="160">
        <v>1.82</v>
      </c>
      <c r="O773" s="162">
        <f t="shared" si="92"/>
        <v>23696.400000000001</v>
      </c>
      <c r="P773" s="160">
        <v>56.772970873786399</v>
      </c>
      <c r="Q773" s="162">
        <f t="shared" si="93"/>
        <v>739184.08077669889</v>
      </c>
      <c r="R773" s="133">
        <f t="shared" si="95"/>
        <v>7.3918408077669889E-2</v>
      </c>
      <c r="S773" s="23" t="s">
        <v>1499</v>
      </c>
      <c r="T773" s="24" t="s">
        <v>345</v>
      </c>
      <c r="AA773"/>
    </row>
    <row r="774" spans="1:27" s="16" customFormat="1" ht="12.75" x14ac:dyDescent="0.2">
      <c r="A774" s="24" t="s">
        <v>1502</v>
      </c>
      <c r="B774" s="174">
        <v>44652</v>
      </c>
      <c r="C774" s="23" t="s">
        <v>1150</v>
      </c>
      <c r="D774" s="106">
        <v>5501211</v>
      </c>
      <c r="E774" s="24" t="s">
        <v>293</v>
      </c>
      <c r="F774" s="29" t="s">
        <v>425</v>
      </c>
      <c r="G774" s="47" t="s">
        <v>264</v>
      </c>
      <c r="H774" s="24" t="s">
        <v>1234</v>
      </c>
      <c r="I774" s="15">
        <v>10</v>
      </c>
      <c r="J774" s="24" t="s">
        <v>3</v>
      </c>
      <c r="K774" s="35">
        <v>47900</v>
      </c>
      <c r="L774" s="17">
        <f t="shared" ref="L774:L815" si="96">K774*I774</f>
        <v>479000</v>
      </c>
      <c r="M774" s="173">
        <f t="shared" si="94"/>
        <v>4.7899999999999998E-2</v>
      </c>
      <c r="N774" s="160">
        <v>0.61062499999999997</v>
      </c>
      <c r="O774" s="162">
        <f t="shared" ref="O774:O815" si="97">+K774*N774</f>
        <v>29248.9375</v>
      </c>
      <c r="P774" s="160">
        <v>31.329983333333335</v>
      </c>
      <c r="Q774" s="162">
        <f t="shared" si="93"/>
        <v>1500706.2016666667</v>
      </c>
      <c r="R774" s="133">
        <f t="shared" si="95"/>
        <v>0.15007062016666667</v>
      </c>
      <c r="S774" s="23" t="s">
        <v>1499</v>
      </c>
      <c r="T774" s="24" t="s">
        <v>271</v>
      </c>
      <c r="AA774"/>
    </row>
    <row r="775" spans="1:27" s="16" customFormat="1" ht="12.75" x14ac:dyDescent="0.2">
      <c r="A775" s="24" t="s">
        <v>1502</v>
      </c>
      <c r="B775" s="174">
        <v>44652</v>
      </c>
      <c r="C775" s="23" t="s">
        <v>1151</v>
      </c>
      <c r="D775" s="106">
        <v>5000679</v>
      </c>
      <c r="E775" s="24" t="s">
        <v>18</v>
      </c>
      <c r="F775" s="29" t="s">
        <v>424</v>
      </c>
      <c r="G775" s="47" t="s">
        <v>264</v>
      </c>
      <c r="H775" s="24" t="s">
        <v>1235</v>
      </c>
      <c r="I775" s="15">
        <v>10</v>
      </c>
      <c r="J775" s="24" t="s">
        <v>3</v>
      </c>
      <c r="K775" s="35">
        <v>58940</v>
      </c>
      <c r="L775" s="17">
        <f t="shared" si="96"/>
        <v>589400</v>
      </c>
      <c r="M775" s="173">
        <f t="shared" si="94"/>
        <v>5.8939999999999999E-2</v>
      </c>
      <c r="N775" s="160">
        <v>0.61</v>
      </c>
      <c r="O775" s="162">
        <f t="shared" si="97"/>
        <v>35953.4</v>
      </c>
      <c r="P775" s="160">
        <v>185.28630894549764</v>
      </c>
      <c r="Q775" s="162">
        <f t="shared" si="93"/>
        <v>10920775.04924763</v>
      </c>
      <c r="R775" s="133">
        <f t="shared" si="95"/>
        <v>1.0920775049247631</v>
      </c>
      <c r="S775" s="23" t="s">
        <v>1499</v>
      </c>
      <c r="T775" s="24" t="s">
        <v>278</v>
      </c>
      <c r="AA775"/>
    </row>
    <row r="776" spans="1:27" s="16" customFormat="1" ht="12.75" x14ac:dyDescent="0.2">
      <c r="A776" s="24" t="s">
        <v>1502</v>
      </c>
      <c r="B776" s="174">
        <v>44652</v>
      </c>
      <c r="C776" s="23" t="s">
        <v>1155</v>
      </c>
      <c r="D776" s="106">
        <v>5000596</v>
      </c>
      <c r="E776" s="24" t="s">
        <v>1182</v>
      </c>
      <c r="F776" s="29" t="s">
        <v>424</v>
      </c>
      <c r="G776" s="47" t="s">
        <v>264</v>
      </c>
      <c r="H776" s="24" t="s">
        <v>1267</v>
      </c>
      <c r="I776" s="15">
        <v>10</v>
      </c>
      <c r="J776" s="24" t="s">
        <v>3</v>
      </c>
      <c r="K776" s="35">
        <v>59040</v>
      </c>
      <c r="L776" s="17">
        <f t="shared" si="96"/>
        <v>590400</v>
      </c>
      <c r="M776" s="173">
        <f t="shared" si="94"/>
        <v>5.9040000000000002E-2</v>
      </c>
      <c r="N776" s="160">
        <v>0.46399999999999997</v>
      </c>
      <c r="O776" s="162">
        <f t="shared" si="97"/>
        <v>27394.559999999998</v>
      </c>
      <c r="P776" s="160">
        <v>28.682500000000001</v>
      </c>
      <c r="Q776" s="162">
        <f t="shared" si="93"/>
        <v>1693414.8</v>
      </c>
      <c r="R776" s="133">
        <f t="shared" si="95"/>
        <v>0.16934148000000002</v>
      </c>
      <c r="S776" s="23" t="s">
        <v>1499</v>
      </c>
      <c r="T776" s="24" t="s">
        <v>270</v>
      </c>
      <c r="AA776"/>
    </row>
    <row r="777" spans="1:27" s="16" customFormat="1" ht="12.75" x14ac:dyDescent="0.2">
      <c r="A777" s="24" t="s">
        <v>1502</v>
      </c>
      <c r="B777" s="174">
        <v>44652</v>
      </c>
      <c r="C777" s="23" t="s">
        <v>1155</v>
      </c>
      <c r="D777" s="106">
        <v>5000596</v>
      </c>
      <c r="E777" s="24" t="s">
        <v>1182</v>
      </c>
      <c r="F777" s="29" t="s">
        <v>424</v>
      </c>
      <c r="G777" s="47" t="s">
        <v>264</v>
      </c>
      <c r="H777" s="24" t="s">
        <v>1268</v>
      </c>
      <c r="I777" s="15">
        <v>10</v>
      </c>
      <c r="J777" s="24" t="s">
        <v>3</v>
      </c>
      <c r="K777" s="35">
        <v>59040</v>
      </c>
      <c r="L777" s="17">
        <f t="shared" si="96"/>
        <v>590400</v>
      </c>
      <c r="M777" s="173">
        <f t="shared" si="94"/>
        <v>5.9040000000000002E-2</v>
      </c>
      <c r="N777" s="160">
        <v>0.46399999999999997</v>
      </c>
      <c r="O777" s="162">
        <f t="shared" si="97"/>
        <v>27394.559999999998</v>
      </c>
      <c r="P777" s="160">
        <v>28.682500000000001</v>
      </c>
      <c r="Q777" s="162">
        <f t="shared" si="93"/>
        <v>1693414.8</v>
      </c>
      <c r="R777" s="133">
        <f t="shared" si="95"/>
        <v>0.16934148000000002</v>
      </c>
      <c r="S777" s="23" t="s">
        <v>1499</v>
      </c>
      <c r="T777" s="24" t="s">
        <v>270</v>
      </c>
      <c r="AA777"/>
    </row>
    <row r="778" spans="1:27" s="16" customFormat="1" ht="12.75" x14ac:dyDescent="0.2">
      <c r="A778" s="24" t="s">
        <v>1502</v>
      </c>
      <c r="B778" s="174">
        <v>44652</v>
      </c>
      <c r="C778" s="23" t="s">
        <v>1160</v>
      </c>
      <c r="D778" s="106">
        <v>5002007</v>
      </c>
      <c r="E778" s="24" t="s">
        <v>295</v>
      </c>
      <c r="F778" s="29" t="s">
        <v>424</v>
      </c>
      <c r="G778" s="47" t="s">
        <v>264</v>
      </c>
      <c r="H778" s="24" t="s">
        <v>1271</v>
      </c>
      <c r="I778" s="15">
        <v>8</v>
      </c>
      <c r="J778" s="24" t="s">
        <v>34</v>
      </c>
      <c r="K778" s="35">
        <v>18180</v>
      </c>
      <c r="L778" s="17">
        <f t="shared" si="96"/>
        <v>145440</v>
      </c>
      <c r="M778" s="173">
        <f t="shared" si="94"/>
        <v>1.4544E-2</v>
      </c>
      <c r="N778" s="160">
        <v>2</v>
      </c>
      <c r="O778" s="162">
        <f t="shared" si="97"/>
        <v>36360</v>
      </c>
      <c r="P778" s="160">
        <v>68.177013513513515</v>
      </c>
      <c r="Q778" s="162">
        <f t="shared" si="93"/>
        <v>1239458.1056756757</v>
      </c>
      <c r="R778" s="133">
        <f t="shared" si="95"/>
        <v>0.12394581056756757</v>
      </c>
      <c r="S778" s="23" t="s">
        <v>1499</v>
      </c>
      <c r="T778" s="24" t="s">
        <v>1170</v>
      </c>
      <c r="AA778"/>
    </row>
    <row r="779" spans="1:27" s="16" customFormat="1" ht="12.75" x14ac:dyDescent="0.2">
      <c r="A779" s="24" t="s">
        <v>1502</v>
      </c>
      <c r="B779" s="174">
        <v>44652</v>
      </c>
      <c r="C779" s="23" t="s">
        <v>1160</v>
      </c>
      <c r="D779" s="106">
        <v>5002007</v>
      </c>
      <c r="E779" s="24" t="s">
        <v>295</v>
      </c>
      <c r="F779" s="29" t="s">
        <v>424</v>
      </c>
      <c r="G779" s="47" t="s">
        <v>264</v>
      </c>
      <c r="H779" s="24" t="s">
        <v>1272</v>
      </c>
      <c r="I779" s="15">
        <v>8</v>
      </c>
      <c r="J779" s="24" t="s">
        <v>34</v>
      </c>
      <c r="K779" s="35">
        <v>18000</v>
      </c>
      <c r="L779" s="17">
        <f t="shared" si="96"/>
        <v>144000</v>
      </c>
      <c r="M779" s="173">
        <f t="shared" si="94"/>
        <v>1.44E-2</v>
      </c>
      <c r="N779" s="160">
        <v>2</v>
      </c>
      <c r="O779" s="162">
        <f t="shared" si="97"/>
        <v>36000</v>
      </c>
      <c r="P779" s="160">
        <v>68.177013513513515</v>
      </c>
      <c r="Q779" s="162">
        <f t="shared" si="93"/>
        <v>1227186.2432432433</v>
      </c>
      <c r="R779" s="133">
        <f t="shared" si="95"/>
        <v>0.12271862432432433</v>
      </c>
      <c r="S779" s="23" t="s">
        <v>1499</v>
      </c>
      <c r="T779" s="24" t="s">
        <v>1170</v>
      </c>
      <c r="AA779"/>
    </row>
    <row r="780" spans="1:27" s="16" customFormat="1" ht="12.75" x14ac:dyDescent="0.2">
      <c r="A780" s="24" t="s">
        <v>1502</v>
      </c>
      <c r="B780" s="174">
        <v>44652</v>
      </c>
      <c r="C780" s="23" t="s">
        <v>1150</v>
      </c>
      <c r="D780" s="106">
        <v>5500328</v>
      </c>
      <c r="E780" s="24" t="s">
        <v>1187</v>
      </c>
      <c r="F780" s="29" t="s">
        <v>425</v>
      </c>
      <c r="G780" s="47" t="s">
        <v>264</v>
      </c>
      <c r="H780" s="24" t="s">
        <v>1279</v>
      </c>
      <c r="I780" s="15">
        <v>10</v>
      </c>
      <c r="J780" s="24" t="s">
        <v>3</v>
      </c>
      <c r="K780" s="35">
        <v>28960</v>
      </c>
      <c r="L780" s="17">
        <f t="shared" si="96"/>
        <v>289600</v>
      </c>
      <c r="M780" s="173">
        <f t="shared" si="94"/>
        <v>2.896E-2</v>
      </c>
      <c r="N780" s="160">
        <v>0.29395833333333332</v>
      </c>
      <c r="O780" s="162">
        <f t="shared" si="97"/>
        <v>8513.0333333333328</v>
      </c>
      <c r="P780" s="160">
        <v>56.25</v>
      </c>
      <c r="Q780" s="162">
        <f t="shared" si="93"/>
        <v>1629000</v>
      </c>
      <c r="R780" s="133">
        <f t="shared" si="95"/>
        <v>0.16289999999999999</v>
      </c>
      <c r="S780" s="23" t="s">
        <v>1499</v>
      </c>
      <c r="T780" s="24" t="s">
        <v>271</v>
      </c>
      <c r="AA780"/>
    </row>
    <row r="781" spans="1:27" s="16" customFormat="1" ht="12.75" x14ac:dyDescent="0.2">
      <c r="A781" s="24" t="s">
        <v>1502</v>
      </c>
      <c r="B781" s="174">
        <v>44652</v>
      </c>
      <c r="C781" s="23" t="s">
        <v>1150</v>
      </c>
      <c r="D781" s="106">
        <v>5500665</v>
      </c>
      <c r="E781" s="24" t="s">
        <v>1189</v>
      </c>
      <c r="F781" s="29" t="s">
        <v>425</v>
      </c>
      <c r="G781" s="47" t="s">
        <v>264</v>
      </c>
      <c r="H781" s="24" t="s">
        <v>1282</v>
      </c>
      <c r="I781" s="15">
        <v>10</v>
      </c>
      <c r="J781" s="24" t="s">
        <v>3</v>
      </c>
      <c r="K781" s="35">
        <v>48180</v>
      </c>
      <c r="L781" s="17">
        <f t="shared" si="96"/>
        <v>481800</v>
      </c>
      <c r="M781" s="173">
        <f t="shared" si="94"/>
        <v>4.8180000000000001E-2</v>
      </c>
      <c r="N781" s="160">
        <v>0.34177083333333336</v>
      </c>
      <c r="O781" s="162">
        <f t="shared" si="97"/>
        <v>16466.518750000003</v>
      </c>
      <c r="P781" s="160">
        <v>84.21</v>
      </c>
      <c r="Q781" s="162">
        <f t="shared" si="93"/>
        <v>4057237.8</v>
      </c>
      <c r="R781" s="133">
        <f t="shared" si="95"/>
        <v>0.40572377999999998</v>
      </c>
      <c r="S781" s="23" t="s">
        <v>1499</v>
      </c>
      <c r="T781" s="24" t="s">
        <v>271</v>
      </c>
      <c r="AA781"/>
    </row>
    <row r="782" spans="1:27" s="16" customFormat="1" ht="12.75" x14ac:dyDescent="0.2">
      <c r="A782" s="24" t="s">
        <v>1502</v>
      </c>
      <c r="B782" s="174">
        <v>44652</v>
      </c>
      <c r="C782" s="23" t="s">
        <v>1150</v>
      </c>
      <c r="D782" s="106">
        <v>8001020</v>
      </c>
      <c r="E782" s="24" t="s">
        <v>1192</v>
      </c>
      <c r="F782" s="29" t="s">
        <v>425</v>
      </c>
      <c r="G782" s="47" t="s">
        <v>264</v>
      </c>
      <c r="H782" s="24" t="s">
        <v>1286</v>
      </c>
      <c r="I782" s="15">
        <v>2</v>
      </c>
      <c r="J782" s="24" t="s">
        <v>3</v>
      </c>
      <c r="K782" s="35">
        <v>19680</v>
      </c>
      <c r="L782" s="17">
        <f t="shared" si="96"/>
        <v>39360</v>
      </c>
      <c r="M782" s="173">
        <f t="shared" si="94"/>
        <v>3.9360000000000003E-3</v>
      </c>
      <c r="N782" s="160">
        <v>0.34177083333333336</v>
      </c>
      <c r="O782" s="162">
        <f t="shared" si="97"/>
        <v>6726.05</v>
      </c>
      <c r="P782" s="160">
        <v>0</v>
      </c>
      <c r="Q782" s="162">
        <f t="shared" si="93"/>
        <v>0</v>
      </c>
      <c r="R782" s="133">
        <f t="shared" si="95"/>
        <v>0</v>
      </c>
      <c r="S782" s="23" t="s">
        <v>1499</v>
      </c>
      <c r="T782" s="24" t="s">
        <v>271</v>
      </c>
      <c r="AA782"/>
    </row>
    <row r="783" spans="1:27" s="16" customFormat="1" ht="12.75" x14ac:dyDescent="0.2">
      <c r="A783" s="24" t="s">
        <v>1502</v>
      </c>
      <c r="B783" s="174">
        <v>44652</v>
      </c>
      <c r="C783" s="23" t="s">
        <v>1164</v>
      </c>
      <c r="D783" s="106">
        <v>5000391</v>
      </c>
      <c r="E783" s="24" t="s">
        <v>1195</v>
      </c>
      <c r="F783" s="29" t="s">
        <v>424</v>
      </c>
      <c r="G783" s="47" t="s">
        <v>264</v>
      </c>
      <c r="H783" s="24" t="s">
        <v>1295</v>
      </c>
      <c r="I783" s="15">
        <v>10</v>
      </c>
      <c r="J783" s="24" t="s">
        <v>3</v>
      </c>
      <c r="K783" s="35">
        <v>100</v>
      </c>
      <c r="L783" s="17">
        <f t="shared" si="96"/>
        <v>1000</v>
      </c>
      <c r="M783" s="173">
        <f t="shared" si="94"/>
        <v>1E-4</v>
      </c>
      <c r="N783" s="160">
        <v>0.42</v>
      </c>
      <c r="O783" s="162">
        <f t="shared" si="97"/>
        <v>42</v>
      </c>
      <c r="P783" s="160">
        <v>6.7794999999999996</v>
      </c>
      <c r="Q783" s="162">
        <f t="shared" si="93"/>
        <v>677.94999999999993</v>
      </c>
      <c r="R783" s="133">
        <f t="shared" si="95"/>
        <v>6.7794999999999997E-5</v>
      </c>
      <c r="S783" s="23" t="s">
        <v>1499</v>
      </c>
      <c r="T783" s="24" t="s">
        <v>1172</v>
      </c>
      <c r="AA783"/>
    </row>
    <row r="784" spans="1:27" s="16" customFormat="1" ht="12.75" x14ac:dyDescent="0.2">
      <c r="A784" s="24" t="s">
        <v>1502</v>
      </c>
      <c r="B784" s="174">
        <v>44652</v>
      </c>
      <c r="C784" s="23" t="s">
        <v>1164</v>
      </c>
      <c r="D784" s="106">
        <v>5000391</v>
      </c>
      <c r="E784" s="24" t="s">
        <v>1195</v>
      </c>
      <c r="F784" s="29" t="s">
        <v>424</v>
      </c>
      <c r="G784" s="47" t="s">
        <v>264</v>
      </c>
      <c r="H784" s="24" t="s">
        <v>1296</v>
      </c>
      <c r="I784" s="15">
        <v>10</v>
      </c>
      <c r="J784" s="24" t="s">
        <v>3</v>
      </c>
      <c r="K784" s="35">
        <v>200</v>
      </c>
      <c r="L784" s="17">
        <f t="shared" si="96"/>
        <v>2000</v>
      </c>
      <c r="M784" s="173">
        <f t="shared" si="94"/>
        <v>2.0000000000000001E-4</v>
      </c>
      <c r="N784" s="160">
        <v>0.42</v>
      </c>
      <c r="O784" s="162">
        <f t="shared" si="97"/>
        <v>84</v>
      </c>
      <c r="P784" s="160">
        <v>6.7794999999999996</v>
      </c>
      <c r="Q784" s="162">
        <f t="shared" si="93"/>
        <v>1355.8999999999999</v>
      </c>
      <c r="R784" s="133">
        <f t="shared" si="95"/>
        <v>1.3558999999999999E-4</v>
      </c>
      <c r="S784" s="23" t="s">
        <v>1499</v>
      </c>
      <c r="T784" s="24" t="s">
        <v>1172</v>
      </c>
      <c r="AA784"/>
    </row>
    <row r="785" spans="1:27" s="16" customFormat="1" ht="12.75" x14ac:dyDescent="0.2">
      <c r="A785" s="24" t="s">
        <v>1502</v>
      </c>
      <c r="B785" s="174">
        <v>44652</v>
      </c>
      <c r="C785" s="23" t="s">
        <v>1164</v>
      </c>
      <c r="D785" s="106">
        <v>5000391</v>
      </c>
      <c r="E785" s="24" t="s">
        <v>1195</v>
      </c>
      <c r="F785" s="29" t="s">
        <v>424</v>
      </c>
      <c r="G785" s="47" t="s">
        <v>264</v>
      </c>
      <c r="H785" s="24" t="s">
        <v>1297</v>
      </c>
      <c r="I785" s="15">
        <v>10</v>
      </c>
      <c r="J785" s="24" t="s">
        <v>3</v>
      </c>
      <c r="K785" s="35">
        <v>200</v>
      </c>
      <c r="L785" s="17">
        <f t="shared" si="96"/>
        <v>2000</v>
      </c>
      <c r="M785" s="173">
        <f t="shared" si="94"/>
        <v>2.0000000000000001E-4</v>
      </c>
      <c r="N785" s="160">
        <v>0.42</v>
      </c>
      <c r="O785" s="162">
        <f t="shared" si="97"/>
        <v>84</v>
      </c>
      <c r="P785" s="160">
        <v>6.7794999999999996</v>
      </c>
      <c r="Q785" s="162">
        <f t="shared" si="93"/>
        <v>1355.8999999999999</v>
      </c>
      <c r="R785" s="133">
        <f t="shared" si="95"/>
        <v>1.3558999999999999E-4</v>
      </c>
      <c r="S785" s="23" t="s">
        <v>1499</v>
      </c>
      <c r="T785" s="24" t="s">
        <v>1172</v>
      </c>
      <c r="AA785"/>
    </row>
    <row r="786" spans="1:27" s="16" customFormat="1" ht="12.75" x14ac:dyDescent="0.2">
      <c r="A786" s="24" t="s">
        <v>1502</v>
      </c>
      <c r="B786" s="174">
        <v>44652</v>
      </c>
      <c r="C786" s="23" t="s">
        <v>1164</v>
      </c>
      <c r="D786" s="106">
        <v>5000391</v>
      </c>
      <c r="E786" s="24" t="s">
        <v>1195</v>
      </c>
      <c r="F786" s="29" t="s">
        <v>424</v>
      </c>
      <c r="G786" s="47" t="s">
        <v>264</v>
      </c>
      <c r="H786" s="24" t="s">
        <v>1298</v>
      </c>
      <c r="I786" s="15">
        <v>10</v>
      </c>
      <c r="J786" s="24" t="s">
        <v>3</v>
      </c>
      <c r="K786" s="35">
        <v>300</v>
      </c>
      <c r="L786" s="17">
        <f t="shared" si="96"/>
        <v>3000</v>
      </c>
      <c r="M786" s="173">
        <f t="shared" si="94"/>
        <v>2.9999999999999997E-4</v>
      </c>
      <c r="N786" s="160">
        <v>0.42</v>
      </c>
      <c r="O786" s="162">
        <f t="shared" si="97"/>
        <v>126</v>
      </c>
      <c r="P786" s="160">
        <v>6.7794999999999996</v>
      </c>
      <c r="Q786" s="162">
        <f t="shared" si="93"/>
        <v>2033.85</v>
      </c>
      <c r="R786" s="133">
        <f t="shared" si="95"/>
        <v>2.0338499999999999E-4</v>
      </c>
      <c r="S786" s="23" t="s">
        <v>1499</v>
      </c>
      <c r="T786" s="24" t="s">
        <v>1172</v>
      </c>
      <c r="AA786"/>
    </row>
    <row r="787" spans="1:27" s="16" customFormat="1" ht="12.75" x14ac:dyDescent="0.2">
      <c r="A787" s="24" t="s">
        <v>1502</v>
      </c>
      <c r="B787" s="174">
        <v>44652</v>
      </c>
      <c r="C787" s="23" t="s">
        <v>1164</v>
      </c>
      <c r="D787" s="106">
        <v>5000391</v>
      </c>
      <c r="E787" s="24" t="s">
        <v>1195</v>
      </c>
      <c r="F787" s="29" t="s">
        <v>424</v>
      </c>
      <c r="G787" s="47" t="s">
        <v>264</v>
      </c>
      <c r="H787" s="24" t="s">
        <v>1299</v>
      </c>
      <c r="I787" s="15">
        <v>10</v>
      </c>
      <c r="J787" s="24" t="s">
        <v>3</v>
      </c>
      <c r="K787" s="35">
        <v>200</v>
      </c>
      <c r="L787" s="17">
        <f t="shared" si="96"/>
        <v>2000</v>
      </c>
      <c r="M787" s="173">
        <f t="shared" si="94"/>
        <v>2.0000000000000001E-4</v>
      </c>
      <c r="N787" s="160">
        <v>0.42</v>
      </c>
      <c r="O787" s="162">
        <f t="shared" si="97"/>
        <v>84</v>
      </c>
      <c r="P787" s="160">
        <v>6.7794999999999996</v>
      </c>
      <c r="Q787" s="162">
        <f t="shared" si="93"/>
        <v>1355.8999999999999</v>
      </c>
      <c r="R787" s="133">
        <f t="shared" si="95"/>
        <v>1.3558999999999999E-4</v>
      </c>
      <c r="S787" s="23" t="s">
        <v>1499</v>
      </c>
      <c r="T787" s="24" t="s">
        <v>1172</v>
      </c>
      <c r="AA787"/>
    </row>
    <row r="788" spans="1:27" s="16" customFormat="1" ht="12.75" x14ac:dyDescent="0.2">
      <c r="A788" s="24" t="s">
        <v>1502</v>
      </c>
      <c r="B788" s="174">
        <v>44652</v>
      </c>
      <c r="C788" s="23" t="s">
        <v>1151</v>
      </c>
      <c r="D788" s="106">
        <v>5000679</v>
      </c>
      <c r="E788" s="24" t="s">
        <v>18</v>
      </c>
      <c r="F788" s="29" t="s">
        <v>424</v>
      </c>
      <c r="G788" s="47" t="s">
        <v>264</v>
      </c>
      <c r="H788" s="24" t="s">
        <v>1303</v>
      </c>
      <c r="I788" s="15">
        <v>10</v>
      </c>
      <c r="J788" s="24" t="s">
        <v>3</v>
      </c>
      <c r="K788" s="35">
        <v>59040</v>
      </c>
      <c r="L788" s="17">
        <f t="shared" si="96"/>
        <v>590400</v>
      </c>
      <c r="M788" s="173">
        <f t="shared" si="94"/>
        <v>5.9040000000000002E-2</v>
      </c>
      <c r="N788" s="160">
        <v>0.61</v>
      </c>
      <c r="O788" s="162">
        <f t="shared" si="97"/>
        <v>36014.400000000001</v>
      </c>
      <c r="P788" s="160">
        <v>185.28630894549764</v>
      </c>
      <c r="Q788" s="162">
        <f t="shared" si="93"/>
        <v>10939303.680142181</v>
      </c>
      <c r="R788" s="133">
        <f t="shared" si="95"/>
        <v>1.0939303680142181</v>
      </c>
      <c r="S788" s="23" t="s">
        <v>1499</v>
      </c>
      <c r="T788" s="24" t="s">
        <v>278</v>
      </c>
      <c r="AA788"/>
    </row>
    <row r="789" spans="1:27" s="16" customFormat="1" ht="12.75" x14ac:dyDescent="0.2">
      <c r="A789" s="24" t="s">
        <v>1502</v>
      </c>
      <c r="B789" s="174">
        <v>44652</v>
      </c>
      <c r="C789" s="23" t="s">
        <v>1165</v>
      </c>
      <c r="D789" s="106">
        <v>5500138</v>
      </c>
      <c r="E789" s="24" t="s">
        <v>1196</v>
      </c>
      <c r="F789" s="29" t="s">
        <v>425</v>
      </c>
      <c r="G789" s="47" t="s">
        <v>264</v>
      </c>
      <c r="H789" s="24" t="s">
        <v>1306</v>
      </c>
      <c r="I789" s="15">
        <v>4</v>
      </c>
      <c r="J789" s="24" t="s">
        <v>3</v>
      </c>
      <c r="K789" s="35">
        <v>97920</v>
      </c>
      <c r="L789" s="17">
        <f t="shared" si="96"/>
        <v>391680</v>
      </c>
      <c r="M789" s="173">
        <f t="shared" si="94"/>
        <v>3.9168000000000001E-2</v>
      </c>
      <c r="N789" s="160">
        <v>0.24</v>
      </c>
      <c r="O789" s="162">
        <f t="shared" si="97"/>
        <v>23500.799999999999</v>
      </c>
      <c r="P789" s="160">
        <v>13.390004166666666</v>
      </c>
      <c r="Q789" s="162">
        <f t="shared" si="93"/>
        <v>1311149.2079999999</v>
      </c>
      <c r="R789" s="133">
        <f t="shared" si="95"/>
        <v>0.13111492079999998</v>
      </c>
      <c r="S789" s="23" t="s">
        <v>1499</v>
      </c>
      <c r="T789" s="24" t="s">
        <v>1173</v>
      </c>
      <c r="AA789"/>
    </row>
    <row r="790" spans="1:27" s="16" customFormat="1" ht="12.75" x14ac:dyDescent="0.2">
      <c r="A790" s="24" t="s">
        <v>1502</v>
      </c>
      <c r="B790" s="174">
        <v>44652</v>
      </c>
      <c r="C790" s="23" t="s">
        <v>1166</v>
      </c>
      <c r="D790" s="106">
        <v>5000312</v>
      </c>
      <c r="E790" s="24" t="s">
        <v>1198</v>
      </c>
      <c r="F790" s="29" t="s">
        <v>424</v>
      </c>
      <c r="G790" s="47" t="s">
        <v>264</v>
      </c>
      <c r="H790" s="24" t="s">
        <v>1308</v>
      </c>
      <c r="I790" s="15">
        <v>10</v>
      </c>
      <c r="J790" s="24" t="s">
        <v>3</v>
      </c>
      <c r="K790" s="35">
        <v>39060</v>
      </c>
      <c r="L790" s="17">
        <f t="shared" si="96"/>
        <v>390600</v>
      </c>
      <c r="M790" s="173">
        <f t="shared" si="94"/>
        <v>3.9059999999999997E-2</v>
      </c>
      <c r="N790" s="160">
        <v>0.40066666666666667</v>
      </c>
      <c r="O790" s="162">
        <f t="shared" si="97"/>
        <v>15650.04</v>
      </c>
      <c r="P790" s="160">
        <v>142.79166666666669</v>
      </c>
      <c r="Q790" s="162">
        <f t="shared" si="93"/>
        <v>5577442.5000000009</v>
      </c>
      <c r="R790" s="133">
        <f t="shared" si="95"/>
        <v>0.55774425000000005</v>
      </c>
      <c r="S790" s="23" t="s">
        <v>1499</v>
      </c>
      <c r="T790" s="24" t="s">
        <v>273</v>
      </c>
      <c r="AA790"/>
    </row>
    <row r="791" spans="1:27" s="16" customFormat="1" ht="12.75" x14ac:dyDescent="0.2">
      <c r="A791" s="24" t="s">
        <v>1502</v>
      </c>
      <c r="B791" s="174">
        <v>44652</v>
      </c>
      <c r="C791" s="23" t="s">
        <v>1164</v>
      </c>
      <c r="D791" s="106">
        <v>5000391</v>
      </c>
      <c r="E791" s="24" t="s">
        <v>1195</v>
      </c>
      <c r="F791" s="29" t="s">
        <v>424</v>
      </c>
      <c r="G791" s="47" t="s">
        <v>264</v>
      </c>
      <c r="H791" s="24" t="s">
        <v>1299</v>
      </c>
      <c r="I791" s="15">
        <v>10</v>
      </c>
      <c r="J791" s="24" t="s">
        <v>3</v>
      </c>
      <c r="K791" s="35">
        <v>78400</v>
      </c>
      <c r="L791" s="17">
        <f t="shared" si="96"/>
        <v>784000</v>
      </c>
      <c r="M791" s="173">
        <f t="shared" si="94"/>
        <v>7.8399999999999997E-2</v>
      </c>
      <c r="N791" s="160">
        <v>0.42</v>
      </c>
      <c r="O791" s="162">
        <f t="shared" si="97"/>
        <v>32928</v>
      </c>
      <c r="P791" s="160">
        <v>6.7794999999999996</v>
      </c>
      <c r="Q791" s="162">
        <f t="shared" si="93"/>
        <v>531512.79999999993</v>
      </c>
      <c r="R791" s="133">
        <f t="shared" si="95"/>
        <v>5.3151279999999995E-2</v>
      </c>
      <c r="S791" s="23" t="s">
        <v>1499</v>
      </c>
      <c r="T791" s="24" t="s">
        <v>1172</v>
      </c>
      <c r="AA791"/>
    </row>
    <row r="792" spans="1:27" s="16" customFormat="1" ht="12.75" x14ac:dyDescent="0.2">
      <c r="A792" s="24" t="s">
        <v>1502</v>
      </c>
      <c r="B792" s="174">
        <v>44652</v>
      </c>
      <c r="C792" s="23" t="s">
        <v>1164</v>
      </c>
      <c r="D792" s="106">
        <v>5000391</v>
      </c>
      <c r="E792" s="24" t="s">
        <v>1195</v>
      </c>
      <c r="F792" s="29" t="s">
        <v>424</v>
      </c>
      <c r="G792" s="47" t="s">
        <v>264</v>
      </c>
      <c r="H792" s="24" t="s">
        <v>1297</v>
      </c>
      <c r="I792" s="15">
        <v>10</v>
      </c>
      <c r="J792" s="24" t="s">
        <v>3</v>
      </c>
      <c r="K792" s="35">
        <v>78400</v>
      </c>
      <c r="L792" s="17">
        <f t="shared" si="96"/>
        <v>784000</v>
      </c>
      <c r="M792" s="173">
        <f t="shared" si="94"/>
        <v>7.8399999999999997E-2</v>
      </c>
      <c r="N792" s="160">
        <v>0.42</v>
      </c>
      <c r="O792" s="162">
        <f t="shared" si="97"/>
        <v>32928</v>
      </c>
      <c r="P792" s="160">
        <v>6.7794999999999996</v>
      </c>
      <c r="Q792" s="162">
        <f t="shared" si="93"/>
        <v>531512.79999999993</v>
      </c>
      <c r="R792" s="133">
        <f t="shared" si="95"/>
        <v>5.3151279999999995E-2</v>
      </c>
      <c r="S792" s="23" t="s">
        <v>1499</v>
      </c>
      <c r="T792" s="24" t="s">
        <v>1172</v>
      </c>
      <c r="AA792"/>
    </row>
    <row r="793" spans="1:27" s="16" customFormat="1" ht="12.75" x14ac:dyDescent="0.2">
      <c r="A793" s="24" t="s">
        <v>1502</v>
      </c>
      <c r="B793" s="174">
        <v>44652</v>
      </c>
      <c r="C793" s="23" t="s">
        <v>1164</v>
      </c>
      <c r="D793" s="106">
        <v>5000391</v>
      </c>
      <c r="E793" s="24" t="s">
        <v>1195</v>
      </c>
      <c r="F793" s="29" t="s">
        <v>424</v>
      </c>
      <c r="G793" s="47" t="s">
        <v>264</v>
      </c>
      <c r="H793" s="24" t="s">
        <v>1298</v>
      </c>
      <c r="I793" s="15">
        <v>10</v>
      </c>
      <c r="J793" s="24" t="s">
        <v>3</v>
      </c>
      <c r="K793" s="35">
        <v>78400</v>
      </c>
      <c r="L793" s="17">
        <f t="shared" si="96"/>
        <v>784000</v>
      </c>
      <c r="M793" s="173">
        <f t="shared" si="94"/>
        <v>7.8399999999999997E-2</v>
      </c>
      <c r="N793" s="160">
        <v>0.42</v>
      </c>
      <c r="O793" s="162">
        <f t="shared" si="97"/>
        <v>32928</v>
      </c>
      <c r="P793" s="160">
        <v>6.7794999999999996</v>
      </c>
      <c r="Q793" s="162">
        <f t="shared" si="93"/>
        <v>531512.79999999993</v>
      </c>
      <c r="R793" s="133">
        <f t="shared" si="95"/>
        <v>5.3151279999999995E-2</v>
      </c>
      <c r="S793" s="23" t="s">
        <v>1499</v>
      </c>
      <c r="T793" s="24" t="s">
        <v>1172</v>
      </c>
      <c r="AA793"/>
    </row>
    <row r="794" spans="1:27" s="16" customFormat="1" ht="12.75" x14ac:dyDescent="0.2">
      <c r="A794" s="24" t="s">
        <v>1502</v>
      </c>
      <c r="B794" s="174">
        <v>44652</v>
      </c>
      <c r="C794" s="23" t="s">
        <v>1164</v>
      </c>
      <c r="D794" s="106">
        <v>5000391</v>
      </c>
      <c r="E794" s="24" t="s">
        <v>1195</v>
      </c>
      <c r="F794" s="29" t="s">
        <v>424</v>
      </c>
      <c r="G794" s="47" t="s">
        <v>264</v>
      </c>
      <c r="H794" s="24" t="s">
        <v>1295</v>
      </c>
      <c r="I794" s="15">
        <v>10</v>
      </c>
      <c r="J794" s="24" t="s">
        <v>3</v>
      </c>
      <c r="K794" s="35">
        <v>78400</v>
      </c>
      <c r="L794" s="17">
        <f t="shared" si="96"/>
        <v>784000</v>
      </c>
      <c r="M794" s="173">
        <f t="shared" si="94"/>
        <v>7.8399999999999997E-2</v>
      </c>
      <c r="N794" s="160">
        <v>0.42</v>
      </c>
      <c r="O794" s="162">
        <f t="shared" si="97"/>
        <v>32928</v>
      </c>
      <c r="P794" s="160">
        <v>6.7794999999999996</v>
      </c>
      <c r="Q794" s="162">
        <f t="shared" si="93"/>
        <v>531512.79999999993</v>
      </c>
      <c r="R794" s="133">
        <f t="shared" si="95"/>
        <v>5.3151279999999995E-2</v>
      </c>
      <c r="S794" s="23" t="s">
        <v>1499</v>
      </c>
      <c r="T794" s="24" t="s">
        <v>1172</v>
      </c>
      <c r="AA794"/>
    </row>
    <row r="795" spans="1:27" s="16" customFormat="1" ht="12.75" x14ac:dyDescent="0.2">
      <c r="A795" s="24" t="s">
        <v>1502</v>
      </c>
      <c r="B795" s="174">
        <v>44652</v>
      </c>
      <c r="C795" s="23" t="s">
        <v>1164</v>
      </c>
      <c r="D795" s="106">
        <v>5000391</v>
      </c>
      <c r="E795" s="24" t="s">
        <v>1195</v>
      </c>
      <c r="F795" s="29" t="s">
        <v>424</v>
      </c>
      <c r="G795" s="47" t="s">
        <v>264</v>
      </c>
      <c r="H795" s="24" t="s">
        <v>1296</v>
      </c>
      <c r="I795" s="15">
        <v>10</v>
      </c>
      <c r="J795" s="24" t="s">
        <v>3</v>
      </c>
      <c r="K795" s="35">
        <v>78400</v>
      </c>
      <c r="L795" s="17">
        <f t="shared" si="96"/>
        <v>784000</v>
      </c>
      <c r="M795" s="173">
        <f t="shared" si="94"/>
        <v>7.8399999999999997E-2</v>
      </c>
      <c r="N795" s="160">
        <v>0.42</v>
      </c>
      <c r="O795" s="162">
        <f t="shared" si="97"/>
        <v>32928</v>
      </c>
      <c r="P795" s="160">
        <v>6.7794999999999996</v>
      </c>
      <c r="Q795" s="162">
        <f t="shared" si="93"/>
        <v>531512.79999999993</v>
      </c>
      <c r="R795" s="133">
        <f t="shared" si="95"/>
        <v>5.3151279999999995E-2</v>
      </c>
      <c r="S795" s="23" t="s">
        <v>1499</v>
      </c>
      <c r="T795" s="24" t="s">
        <v>1172</v>
      </c>
      <c r="AA795"/>
    </row>
    <row r="796" spans="1:27" s="16" customFormat="1" ht="12.75" x14ac:dyDescent="0.2">
      <c r="A796" s="24" t="s">
        <v>1502</v>
      </c>
      <c r="B796" s="174">
        <v>44652</v>
      </c>
      <c r="C796" s="23" t="s">
        <v>1150</v>
      </c>
      <c r="D796" s="106">
        <v>5001226</v>
      </c>
      <c r="E796" s="24" t="s">
        <v>356</v>
      </c>
      <c r="F796" s="29" t="s">
        <v>424</v>
      </c>
      <c r="G796" s="47" t="s">
        <v>264</v>
      </c>
      <c r="H796" s="24" t="s">
        <v>1344</v>
      </c>
      <c r="I796" s="15">
        <v>10</v>
      </c>
      <c r="J796" s="24" t="s">
        <v>3</v>
      </c>
      <c r="K796" s="35">
        <v>19320</v>
      </c>
      <c r="L796" s="17">
        <f t="shared" si="96"/>
        <v>193200</v>
      </c>
      <c r="M796" s="173">
        <f t="shared" si="94"/>
        <v>1.932E-2</v>
      </c>
      <c r="N796" s="160">
        <v>0.31</v>
      </c>
      <c r="O796" s="162">
        <f t="shared" si="97"/>
        <v>5989.2</v>
      </c>
      <c r="P796" s="160">
        <v>76.608349999999987</v>
      </c>
      <c r="Q796" s="162">
        <f t="shared" si="93"/>
        <v>1480073.3219999997</v>
      </c>
      <c r="R796" s="133">
        <f t="shared" si="95"/>
        <v>0.14800733219999998</v>
      </c>
      <c r="S796" s="23" t="s">
        <v>1499</v>
      </c>
      <c r="T796" s="24" t="s">
        <v>271</v>
      </c>
      <c r="AA796"/>
    </row>
    <row r="797" spans="1:27" s="16" customFormat="1" ht="12.75" x14ac:dyDescent="0.2">
      <c r="A797" s="24" t="s">
        <v>1502</v>
      </c>
      <c r="B797" s="174">
        <v>44652</v>
      </c>
      <c r="C797" s="23" t="s">
        <v>1150</v>
      </c>
      <c r="D797" s="106">
        <v>5500329</v>
      </c>
      <c r="E797" s="24" t="s">
        <v>1208</v>
      </c>
      <c r="F797" s="29" t="s">
        <v>425</v>
      </c>
      <c r="G797" s="47" t="s">
        <v>264</v>
      </c>
      <c r="H797" s="24" t="s">
        <v>1353</v>
      </c>
      <c r="I797" s="15">
        <v>10</v>
      </c>
      <c r="J797" s="24" t="s">
        <v>3</v>
      </c>
      <c r="K797" s="35">
        <v>28300</v>
      </c>
      <c r="L797" s="17">
        <f t="shared" si="96"/>
        <v>283000</v>
      </c>
      <c r="M797" s="173">
        <f t="shared" si="94"/>
        <v>2.8299999999999999E-2</v>
      </c>
      <c r="N797" s="160">
        <v>0.29395833333333332</v>
      </c>
      <c r="O797" s="162">
        <f t="shared" si="97"/>
        <v>8319.0208333333321</v>
      </c>
      <c r="P797" s="160">
        <v>84.210019681164979</v>
      </c>
      <c r="Q797" s="162">
        <f t="shared" si="93"/>
        <v>2383143.5569769689</v>
      </c>
      <c r="R797" s="133">
        <f t="shared" si="95"/>
        <v>0.23831435569769688</v>
      </c>
      <c r="S797" s="23" t="s">
        <v>1499</v>
      </c>
      <c r="T797" s="24" t="s">
        <v>271</v>
      </c>
      <c r="AA797"/>
    </row>
    <row r="798" spans="1:27" s="16" customFormat="1" ht="12.75" x14ac:dyDescent="0.2">
      <c r="A798" s="24" t="s">
        <v>1502</v>
      </c>
      <c r="B798" s="174">
        <v>44652</v>
      </c>
      <c r="C798" s="23" t="s">
        <v>1150</v>
      </c>
      <c r="D798" s="106">
        <v>5500785</v>
      </c>
      <c r="E798" s="24" t="s">
        <v>351</v>
      </c>
      <c r="F798" s="29" t="s">
        <v>425</v>
      </c>
      <c r="G798" s="47" t="s">
        <v>264</v>
      </c>
      <c r="H798" s="24" t="s">
        <v>1354</v>
      </c>
      <c r="I798" s="15">
        <v>20</v>
      </c>
      <c r="J798" s="24" t="s">
        <v>3</v>
      </c>
      <c r="K798" s="35">
        <v>24700</v>
      </c>
      <c r="L798" s="17">
        <f t="shared" si="96"/>
        <v>494000</v>
      </c>
      <c r="M798" s="173">
        <f t="shared" si="94"/>
        <v>4.9399999999999999E-2</v>
      </c>
      <c r="N798" s="160">
        <v>0.47489999999999999</v>
      </c>
      <c r="O798" s="162">
        <f t="shared" si="97"/>
        <v>11730.029999999999</v>
      </c>
      <c r="P798" s="160">
        <v>174.20998740554157</v>
      </c>
      <c r="Q798" s="162">
        <f t="shared" si="93"/>
        <v>4302986.6889168769</v>
      </c>
      <c r="R798" s="133">
        <f t="shared" si="95"/>
        <v>0.43029866889168772</v>
      </c>
      <c r="S798" s="23" t="s">
        <v>1499</v>
      </c>
      <c r="T798" s="24" t="s">
        <v>271</v>
      </c>
      <c r="AA798"/>
    </row>
    <row r="799" spans="1:27" s="16" customFormat="1" ht="12.75" x14ac:dyDescent="0.2">
      <c r="A799" s="24" t="s">
        <v>1502</v>
      </c>
      <c r="B799" s="174">
        <v>44652</v>
      </c>
      <c r="C799" s="23" t="s">
        <v>1150</v>
      </c>
      <c r="D799" s="106">
        <v>5501211</v>
      </c>
      <c r="E799" s="24" t="s">
        <v>293</v>
      </c>
      <c r="F799" s="29" t="s">
        <v>425</v>
      </c>
      <c r="G799" s="47" t="s">
        <v>264</v>
      </c>
      <c r="H799" s="24" t="s">
        <v>1355</v>
      </c>
      <c r="I799" s="15">
        <v>10</v>
      </c>
      <c r="J799" s="24" t="s">
        <v>3</v>
      </c>
      <c r="K799" s="35">
        <v>28800</v>
      </c>
      <c r="L799" s="17">
        <f t="shared" si="96"/>
        <v>288000</v>
      </c>
      <c r="M799" s="173">
        <f t="shared" si="94"/>
        <v>2.8799999999999999E-2</v>
      </c>
      <c r="N799" s="160">
        <v>0.61062499999999997</v>
      </c>
      <c r="O799" s="162">
        <f t="shared" si="97"/>
        <v>17586</v>
      </c>
      <c r="P799" s="160">
        <v>31.329983333333335</v>
      </c>
      <c r="Q799" s="162">
        <f t="shared" si="93"/>
        <v>902303.52</v>
      </c>
      <c r="R799" s="133">
        <f t="shared" si="95"/>
        <v>9.0230352E-2</v>
      </c>
      <c r="S799" s="23" t="s">
        <v>1499</v>
      </c>
      <c r="T799" s="24" t="s">
        <v>271</v>
      </c>
      <c r="AA799"/>
    </row>
    <row r="800" spans="1:27" s="16" customFormat="1" ht="12.75" x14ac:dyDescent="0.2">
      <c r="A800" s="24" t="s">
        <v>1502</v>
      </c>
      <c r="B800" s="174">
        <v>44652</v>
      </c>
      <c r="C800" s="23" t="s">
        <v>1150</v>
      </c>
      <c r="D800" s="106">
        <v>5501212</v>
      </c>
      <c r="E800" s="24" t="s">
        <v>1209</v>
      </c>
      <c r="F800" s="29" t="s">
        <v>425</v>
      </c>
      <c r="G800" s="47" t="s">
        <v>264</v>
      </c>
      <c r="H800" s="24" t="s">
        <v>1356</v>
      </c>
      <c r="I800" s="15">
        <v>10</v>
      </c>
      <c r="J800" s="24" t="s">
        <v>3</v>
      </c>
      <c r="K800" s="35">
        <v>18890</v>
      </c>
      <c r="L800" s="17">
        <f t="shared" si="96"/>
        <v>188900</v>
      </c>
      <c r="M800" s="173">
        <f t="shared" si="94"/>
        <v>1.8890000000000001E-2</v>
      </c>
      <c r="N800" s="160">
        <v>0.61062499999999997</v>
      </c>
      <c r="O800" s="162">
        <f t="shared" si="97"/>
        <v>11534.706249999999</v>
      </c>
      <c r="P800" s="160">
        <v>31.330024351508737</v>
      </c>
      <c r="Q800" s="162">
        <f t="shared" si="93"/>
        <v>591824.16</v>
      </c>
      <c r="R800" s="133">
        <f t="shared" si="95"/>
        <v>5.9182416000000002E-2</v>
      </c>
      <c r="S800" s="23" t="s">
        <v>1499</v>
      </c>
      <c r="T800" s="24" t="s">
        <v>271</v>
      </c>
      <c r="AA800"/>
    </row>
    <row r="801" spans="1:27" s="16" customFormat="1" ht="12.75" x14ac:dyDescent="0.2">
      <c r="A801" s="24" t="s">
        <v>1502</v>
      </c>
      <c r="B801" s="174">
        <v>44652</v>
      </c>
      <c r="C801" s="23" t="s">
        <v>1150</v>
      </c>
      <c r="D801" s="106">
        <v>5501214</v>
      </c>
      <c r="E801" s="24" t="s">
        <v>285</v>
      </c>
      <c r="F801" s="29" t="s">
        <v>425</v>
      </c>
      <c r="G801" s="47" t="s">
        <v>264</v>
      </c>
      <c r="H801" s="24" t="s">
        <v>1357</v>
      </c>
      <c r="I801" s="15">
        <v>10</v>
      </c>
      <c r="J801" s="24" t="s">
        <v>3</v>
      </c>
      <c r="K801" s="35">
        <v>24000</v>
      </c>
      <c r="L801" s="17">
        <f t="shared" si="96"/>
        <v>240000</v>
      </c>
      <c r="M801" s="173">
        <f t="shared" si="94"/>
        <v>2.4E-2</v>
      </c>
      <c r="N801" s="160">
        <v>0.34177083333333336</v>
      </c>
      <c r="O801" s="162">
        <f t="shared" si="97"/>
        <v>8202.5</v>
      </c>
      <c r="P801" s="160">
        <v>23.939991666666668</v>
      </c>
      <c r="Q801" s="162">
        <f t="shared" si="93"/>
        <v>574559.80000000005</v>
      </c>
      <c r="R801" s="133">
        <f t="shared" si="95"/>
        <v>5.7455980000000004E-2</v>
      </c>
      <c r="S801" s="23" t="s">
        <v>1499</v>
      </c>
      <c r="T801" s="24" t="s">
        <v>271</v>
      </c>
      <c r="AA801"/>
    </row>
    <row r="802" spans="1:27" s="16" customFormat="1" ht="12.75" x14ac:dyDescent="0.2">
      <c r="A802" s="24" t="s">
        <v>1502</v>
      </c>
      <c r="B802" s="174">
        <v>44652</v>
      </c>
      <c r="C802" s="23" t="s">
        <v>1150</v>
      </c>
      <c r="D802" s="106">
        <v>5501217</v>
      </c>
      <c r="E802" s="24" t="s">
        <v>286</v>
      </c>
      <c r="F802" s="29" t="s">
        <v>425</v>
      </c>
      <c r="G802" s="47" t="s">
        <v>264</v>
      </c>
      <c r="H802" s="24" t="s">
        <v>1358</v>
      </c>
      <c r="I802" s="15">
        <v>10</v>
      </c>
      <c r="J802" s="24" t="s">
        <v>3</v>
      </c>
      <c r="K802" s="35">
        <v>24000</v>
      </c>
      <c r="L802" s="17">
        <f t="shared" si="96"/>
        <v>240000</v>
      </c>
      <c r="M802" s="173">
        <f t="shared" si="94"/>
        <v>2.4E-2</v>
      </c>
      <c r="N802" s="160">
        <v>0.61062499999999997</v>
      </c>
      <c r="O802" s="162">
        <f t="shared" si="97"/>
        <v>14655</v>
      </c>
      <c r="P802" s="160">
        <v>23.94</v>
      </c>
      <c r="Q802" s="162">
        <f t="shared" si="93"/>
        <v>574560</v>
      </c>
      <c r="R802" s="133">
        <f t="shared" si="95"/>
        <v>5.7456E-2</v>
      </c>
      <c r="S802" s="23" t="s">
        <v>1499</v>
      </c>
      <c r="T802" s="24" t="s">
        <v>271</v>
      </c>
      <c r="AA802"/>
    </row>
    <row r="803" spans="1:27" s="16" customFormat="1" ht="12.75" x14ac:dyDescent="0.2">
      <c r="A803" s="24" t="s">
        <v>1502</v>
      </c>
      <c r="B803" s="174">
        <v>44652</v>
      </c>
      <c r="C803" s="23" t="s">
        <v>1151</v>
      </c>
      <c r="D803" s="106">
        <v>5000679</v>
      </c>
      <c r="E803" s="24" t="s">
        <v>18</v>
      </c>
      <c r="F803" s="29" t="s">
        <v>424</v>
      </c>
      <c r="G803" s="47" t="s">
        <v>264</v>
      </c>
      <c r="H803" s="24" t="s">
        <v>1359</v>
      </c>
      <c r="I803" s="15">
        <v>10</v>
      </c>
      <c r="J803" s="24" t="s">
        <v>3</v>
      </c>
      <c r="K803" s="35">
        <v>58960</v>
      </c>
      <c r="L803" s="17">
        <f t="shared" si="96"/>
        <v>589600</v>
      </c>
      <c r="M803" s="173">
        <f t="shared" si="94"/>
        <v>5.8959999999999999E-2</v>
      </c>
      <c r="N803" s="160">
        <v>0.61</v>
      </c>
      <c r="O803" s="162">
        <f t="shared" si="97"/>
        <v>35965.599999999999</v>
      </c>
      <c r="P803" s="160">
        <v>185.28630894549764</v>
      </c>
      <c r="Q803" s="162">
        <f t="shared" si="93"/>
        <v>10924480.775426541</v>
      </c>
      <c r="R803" s="133">
        <f t="shared" si="95"/>
        <v>1.0924480775426542</v>
      </c>
      <c r="S803" s="23" t="s">
        <v>1499</v>
      </c>
      <c r="T803" s="24" t="s">
        <v>278</v>
      </c>
      <c r="AA803"/>
    </row>
    <row r="804" spans="1:27" s="16" customFormat="1" ht="12.75" x14ac:dyDescent="0.2">
      <c r="A804" s="24" t="s">
        <v>1502</v>
      </c>
      <c r="B804" s="174">
        <v>44652</v>
      </c>
      <c r="C804" s="23" t="s">
        <v>1150</v>
      </c>
      <c r="D804" s="106">
        <v>5500789</v>
      </c>
      <c r="E804" s="24" t="s">
        <v>1211</v>
      </c>
      <c r="F804" s="29" t="s">
        <v>425</v>
      </c>
      <c r="G804" s="47" t="s">
        <v>264</v>
      </c>
      <c r="H804" s="24" t="s">
        <v>1365</v>
      </c>
      <c r="I804" s="15">
        <v>20</v>
      </c>
      <c r="J804" s="24" t="s">
        <v>3</v>
      </c>
      <c r="K804" s="35">
        <v>19360</v>
      </c>
      <c r="L804" s="17">
        <f t="shared" si="96"/>
        <v>387200</v>
      </c>
      <c r="M804" s="173">
        <f t="shared" si="94"/>
        <v>3.8719999999999997E-2</v>
      </c>
      <c r="N804" s="160">
        <v>0.47489999999999999</v>
      </c>
      <c r="O804" s="162">
        <f t="shared" si="97"/>
        <v>9194.0640000000003</v>
      </c>
      <c r="P804" s="160">
        <v>113.7916923076923</v>
      </c>
      <c r="Q804" s="162">
        <f t="shared" si="93"/>
        <v>2203007.1630769228</v>
      </c>
      <c r="R804" s="133">
        <f t="shared" si="95"/>
        <v>0.22030071630769227</v>
      </c>
      <c r="S804" s="23" t="s">
        <v>1499</v>
      </c>
      <c r="T804" s="24" t="s">
        <v>271</v>
      </c>
      <c r="AA804"/>
    </row>
    <row r="805" spans="1:27" s="16" customFormat="1" ht="12.75" x14ac:dyDescent="0.2">
      <c r="A805" s="24" t="s">
        <v>1502</v>
      </c>
      <c r="B805" s="174">
        <v>44652</v>
      </c>
      <c r="C805" s="23" t="s">
        <v>1150</v>
      </c>
      <c r="D805" s="106">
        <v>5501215</v>
      </c>
      <c r="E805" s="24" t="s">
        <v>1212</v>
      </c>
      <c r="F805" s="29" t="s">
        <v>425</v>
      </c>
      <c r="G805" s="47" t="s">
        <v>264</v>
      </c>
      <c r="H805" s="24" t="s">
        <v>1366</v>
      </c>
      <c r="I805" s="15">
        <v>10</v>
      </c>
      <c r="J805" s="24" t="s">
        <v>3</v>
      </c>
      <c r="K805" s="35">
        <v>28770</v>
      </c>
      <c r="L805" s="17">
        <f t="shared" si="96"/>
        <v>287700</v>
      </c>
      <c r="M805" s="173">
        <f t="shared" si="94"/>
        <v>2.877E-2</v>
      </c>
      <c r="N805" s="160">
        <v>0.61062499999999997</v>
      </c>
      <c r="O805" s="162">
        <f t="shared" si="97"/>
        <v>17567.681249999998</v>
      </c>
      <c r="P805" s="160">
        <v>23.790003475842894</v>
      </c>
      <c r="Q805" s="162">
        <f t="shared" si="93"/>
        <v>684438.4</v>
      </c>
      <c r="R805" s="133">
        <f t="shared" si="95"/>
        <v>6.8443840000000006E-2</v>
      </c>
      <c r="S805" s="23" t="s">
        <v>1499</v>
      </c>
      <c r="T805" s="24" t="s">
        <v>271</v>
      </c>
      <c r="AA805"/>
    </row>
    <row r="806" spans="1:27" s="16" customFormat="1" ht="12.75" x14ac:dyDescent="0.2">
      <c r="A806" s="24" t="s">
        <v>1502</v>
      </c>
      <c r="B806" s="174">
        <v>44652</v>
      </c>
      <c r="C806" s="23" t="s">
        <v>1150</v>
      </c>
      <c r="D806" s="106">
        <v>5501218</v>
      </c>
      <c r="E806" s="24" t="s">
        <v>1213</v>
      </c>
      <c r="F806" s="29" t="s">
        <v>425</v>
      </c>
      <c r="G806" s="47" t="s">
        <v>264</v>
      </c>
      <c r="H806" s="24" t="s">
        <v>1367</v>
      </c>
      <c r="I806" s="15">
        <v>10</v>
      </c>
      <c r="J806" s="24" t="s">
        <v>3</v>
      </c>
      <c r="K806" s="35">
        <v>18960</v>
      </c>
      <c r="L806" s="17">
        <f t="shared" si="96"/>
        <v>189600</v>
      </c>
      <c r="M806" s="173">
        <f t="shared" si="94"/>
        <v>1.8960000000000001E-2</v>
      </c>
      <c r="N806" s="160">
        <v>0.61062499999999997</v>
      </c>
      <c r="O806" s="162">
        <f t="shared" si="97"/>
        <v>11577.449999999999</v>
      </c>
      <c r="P806" s="160">
        <v>23.789978902953585</v>
      </c>
      <c r="Q806" s="162">
        <f t="shared" si="93"/>
        <v>451058</v>
      </c>
      <c r="R806" s="133">
        <f t="shared" si="95"/>
        <v>4.5105800000000001E-2</v>
      </c>
      <c r="S806" s="23" t="s">
        <v>1499</v>
      </c>
      <c r="T806" s="24" t="s">
        <v>271</v>
      </c>
      <c r="AA806"/>
    </row>
    <row r="807" spans="1:27" s="16" customFormat="1" ht="12.75" x14ac:dyDescent="0.2">
      <c r="A807" s="24" t="s">
        <v>1502</v>
      </c>
      <c r="B807" s="174">
        <v>44652</v>
      </c>
      <c r="C807" s="23" t="s">
        <v>1155</v>
      </c>
      <c r="D807" s="106">
        <v>5005276</v>
      </c>
      <c r="E807" s="24" t="s">
        <v>1214</v>
      </c>
      <c r="F807" s="29" t="s">
        <v>424</v>
      </c>
      <c r="G807" s="47" t="s">
        <v>264</v>
      </c>
      <c r="H807" s="24" t="s">
        <v>1369</v>
      </c>
      <c r="I807" s="15">
        <v>10</v>
      </c>
      <c r="J807" s="24" t="s">
        <v>3</v>
      </c>
      <c r="K807" s="35">
        <v>58860</v>
      </c>
      <c r="L807" s="17">
        <f t="shared" si="96"/>
        <v>588600</v>
      </c>
      <c r="M807" s="173">
        <f t="shared" si="94"/>
        <v>5.8860000000000003E-2</v>
      </c>
      <c r="N807" s="160">
        <v>0.49708333333333332</v>
      </c>
      <c r="O807" s="162">
        <f t="shared" si="97"/>
        <v>29258.325000000001</v>
      </c>
      <c r="P807" s="160">
        <v>23.668499999999998</v>
      </c>
      <c r="Q807" s="162">
        <f t="shared" si="93"/>
        <v>1393127.91</v>
      </c>
      <c r="R807" s="133">
        <f t="shared" si="95"/>
        <v>0.13931279099999999</v>
      </c>
      <c r="S807" s="23" t="s">
        <v>1499</v>
      </c>
      <c r="T807" s="24" t="s">
        <v>270</v>
      </c>
      <c r="AA807"/>
    </row>
    <row r="808" spans="1:27" s="16" customFormat="1" ht="12.75" x14ac:dyDescent="0.2">
      <c r="A808" s="24" t="s">
        <v>1502</v>
      </c>
      <c r="B808" s="174">
        <v>44652</v>
      </c>
      <c r="C808" s="23" t="s">
        <v>1151</v>
      </c>
      <c r="D808" s="106">
        <v>5000679</v>
      </c>
      <c r="E808" s="24" t="s">
        <v>18</v>
      </c>
      <c r="F808" s="29" t="s">
        <v>424</v>
      </c>
      <c r="G808" s="47" t="s">
        <v>264</v>
      </c>
      <c r="H808" s="24" t="s">
        <v>1372</v>
      </c>
      <c r="I808" s="15">
        <v>10</v>
      </c>
      <c r="J808" s="24" t="s">
        <v>3</v>
      </c>
      <c r="K808" s="35">
        <v>58840</v>
      </c>
      <c r="L808" s="17">
        <f t="shared" si="96"/>
        <v>588400</v>
      </c>
      <c r="M808" s="173">
        <f t="shared" si="94"/>
        <v>5.8840000000000003E-2</v>
      </c>
      <c r="N808" s="160">
        <v>0.61</v>
      </c>
      <c r="O808" s="162">
        <f t="shared" si="97"/>
        <v>35892.400000000001</v>
      </c>
      <c r="P808" s="160">
        <v>185.28630894549764</v>
      </c>
      <c r="Q808" s="162">
        <f t="shared" si="93"/>
        <v>10902246.418353081</v>
      </c>
      <c r="R808" s="133">
        <f t="shared" si="95"/>
        <v>1.0902246418353081</v>
      </c>
      <c r="S808" s="23" t="s">
        <v>1499</v>
      </c>
      <c r="T808" s="24" t="s">
        <v>278</v>
      </c>
      <c r="AA808"/>
    </row>
    <row r="809" spans="1:27" s="16" customFormat="1" ht="12.75" x14ac:dyDescent="0.2">
      <c r="A809" s="24" t="s">
        <v>1502</v>
      </c>
      <c r="B809" s="174">
        <v>44652</v>
      </c>
      <c r="C809" s="23" t="s">
        <v>1151</v>
      </c>
      <c r="D809" s="106">
        <v>5002687</v>
      </c>
      <c r="E809" s="24" t="s">
        <v>1216</v>
      </c>
      <c r="F809" s="29" t="s">
        <v>424</v>
      </c>
      <c r="G809" s="47" t="s">
        <v>264</v>
      </c>
      <c r="H809" s="24" t="s">
        <v>1374</v>
      </c>
      <c r="I809" s="15">
        <v>10</v>
      </c>
      <c r="J809" s="24" t="s">
        <v>3</v>
      </c>
      <c r="K809" s="35">
        <v>720</v>
      </c>
      <c r="L809" s="17">
        <f t="shared" si="96"/>
        <v>7200</v>
      </c>
      <c r="M809" s="173">
        <f t="shared" si="94"/>
        <v>7.2000000000000005E-4</v>
      </c>
      <c r="N809" s="160">
        <v>0.34177083333333336</v>
      </c>
      <c r="O809" s="162">
        <f t="shared" si="97"/>
        <v>246.07500000000002</v>
      </c>
      <c r="P809" s="160">
        <v>244.97834999999998</v>
      </c>
      <c r="Q809" s="162">
        <f t="shared" si="93"/>
        <v>176384.41199999998</v>
      </c>
      <c r="R809" s="133">
        <f t="shared" si="95"/>
        <v>1.7638441199999997E-2</v>
      </c>
      <c r="S809" s="23" t="s">
        <v>1499</v>
      </c>
      <c r="T809" s="24" t="s">
        <v>278</v>
      </c>
      <c r="AA809"/>
    </row>
    <row r="810" spans="1:27" s="16" customFormat="1" ht="12.75" x14ac:dyDescent="0.2">
      <c r="A810" s="24" t="s">
        <v>1502</v>
      </c>
      <c r="B810" s="174">
        <v>44652</v>
      </c>
      <c r="C810" s="23" t="s">
        <v>1151</v>
      </c>
      <c r="D810" s="106">
        <v>5002687</v>
      </c>
      <c r="E810" s="24" t="s">
        <v>1216</v>
      </c>
      <c r="F810" s="29" t="s">
        <v>424</v>
      </c>
      <c r="G810" s="47" t="s">
        <v>264</v>
      </c>
      <c r="H810" s="24" t="s">
        <v>1374</v>
      </c>
      <c r="I810" s="15">
        <v>10</v>
      </c>
      <c r="J810" s="24" t="s">
        <v>3</v>
      </c>
      <c r="K810" s="35">
        <v>2820</v>
      </c>
      <c r="L810" s="17">
        <f t="shared" si="96"/>
        <v>28200</v>
      </c>
      <c r="M810" s="173">
        <f t="shared" si="94"/>
        <v>2.82E-3</v>
      </c>
      <c r="N810" s="160">
        <v>0.34177083333333336</v>
      </c>
      <c r="O810" s="162">
        <f t="shared" si="97"/>
        <v>963.79375000000005</v>
      </c>
      <c r="P810" s="160">
        <v>244.97834999999998</v>
      </c>
      <c r="Q810" s="162">
        <f t="shared" si="93"/>
        <v>690838.94699999993</v>
      </c>
      <c r="R810" s="133">
        <f t="shared" si="95"/>
        <v>6.9083894699999995E-2</v>
      </c>
      <c r="S810" s="23" t="s">
        <v>1499</v>
      </c>
      <c r="T810" s="24" t="s">
        <v>278</v>
      </c>
      <c r="AA810"/>
    </row>
    <row r="811" spans="1:27" s="16" customFormat="1" ht="12.75" x14ac:dyDescent="0.2">
      <c r="A811" s="24" t="s">
        <v>1502</v>
      </c>
      <c r="B811" s="174">
        <v>44652</v>
      </c>
      <c r="C811" s="23" t="s">
        <v>1151</v>
      </c>
      <c r="D811" s="106">
        <v>5002688</v>
      </c>
      <c r="E811" s="24" t="s">
        <v>1217</v>
      </c>
      <c r="F811" s="29" t="s">
        <v>424</v>
      </c>
      <c r="G811" s="47" t="s">
        <v>264</v>
      </c>
      <c r="H811" s="24" t="s">
        <v>1375</v>
      </c>
      <c r="I811" s="15">
        <v>10</v>
      </c>
      <c r="J811" s="24" t="s">
        <v>3</v>
      </c>
      <c r="K811" s="35">
        <v>7560</v>
      </c>
      <c r="L811" s="17">
        <f t="shared" si="96"/>
        <v>75600</v>
      </c>
      <c r="M811" s="173">
        <f t="shared" si="94"/>
        <v>7.5599999999999999E-3</v>
      </c>
      <c r="N811" s="160">
        <v>0.40052083333333333</v>
      </c>
      <c r="O811" s="162">
        <f t="shared" si="97"/>
        <v>3027.9375</v>
      </c>
      <c r="P811" s="160">
        <v>306.43339999999995</v>
      </c>
      <c r="Q811" s="162">
        <f t="shared" si="93"/>
        <v>2316636.5039999997</v>
      </c>
      <c r="R811" s="133">
        <f t="shared" si="95"/>
        <v>0.23166365039999998</v>
      </c>
      <c r="S811" s="23" t="s">
        <v>1499</v>
      </c>
      <c r="T811" s="24" t="s">
        <v>278</v>
      </c>
      <c r="AA811"/>
    </row>
    <row r="812" spans="1:27" s="16" customFormat="1" ht="12.75" x14ac:dyDescent="0.2">
      <c r="A812" s="24" t="s">
        <v>1502</v>
      </c>
      <c r="B812" s="174">
        <v>44652</v>
      </c>
      <c r="C812" s="23" t="s">
        <v>1151</v>
      </c>
      <c r="D812" s="106">
        <v>5002688</v>
      </c>
      <c r="E812" s="24" t="s">
        <v>1217</v>
      </c>
      <c r="F812" s="29" t="s">
        <v>424</v>
      </c>
      <c r="G812" s="47" t="s">
        <v>264</v>
      </c>
      <c r="H812" s="24" t="s">
        <v>1375</v>
      </c>
      <c r="I812" s="15">
        <v>10</v>
      </c>
      <c r="J812" s="24" t="s">
        <v>3</v>
      </c>
      <c r="K812" s="35">
        <v>720</v>
      </c>
      <c r="L812" s="17">
        <f t="shared" si="96"/>
        <v>7200</v>
      </c>
      <c r="M812" s="173">
        <f t="shared" si="94"/>
        <v>7.2000000000000005E-4</v>
      </c>
      <c r="N812" s="160">
        <v>0.40052083333333333</v>
      </c>
      <c r="O812" s="162">
        <f t="shared" si="97"/>
        <v>288.375</v>
      </c>
      <c r="P812" s="160">
        <v>306.43339999999995</v>
      </c>
      <c r="Q812" s="162">
        <f t="shared" si="93"/>
        <v>220632.04799999995</v>
      </c>
      <c r="R812" s="133">
        <f t="shared" si="95"/>
        <v>2.2063204799999996E-2</v>
      </c>
      <c r="S812" s="23" t="s">
        <v>1499</v>
      </c>
      <c r="T812" s="24" t="s">
        <v>278</v>
      </c>
      <c r="AA812"/>
    </row>
    <row r="813" spans="1:27" s="16" customFormat="1" ht="12.75" x14ac:dyDescent="0.2">
      <c r="A813" s="24" t="s">
        <v>1502</v>
      </c>
      <c r="B813" s="174">
        <v>44652</v>
      </c>
      <c r="C813" s="23" t="s">
        <v>1151</v>
      </c>
      <c r="D813" s="106">
        <v>8001372</v>
      </c>
      <c r="E813" s="24" t="s">
        <v>1220</v>
      </c>
      <c r="F813" s="29" t="s">
        <v>424</v>
      </c>
      <c r="G813" s="47" t="s">
        <v>264</v>
      </c>
      <c r="H813" s="24" t="s">
        <v>1374</v>
      </c>
      <c r="I813" s="15">
        <v>10</v>
      </c>
      <c r="J813" s="24" t="s">
        <v>3</v>
      </c>
      <c r="K813" s="35">
        <v>936</v>
      </c>
      <c r="L813" s="17">
        <f t="shared" si="96"/>
        <v>9360</v>
      </c>
      <c r="M813" s="173">
        <f t="shared" si="94"/>
        <v>9.3599999999999998E-4</v>
      </c>
      <c r="N813" s="160">
        <v>0.34177083333333336</v>
      </c>
      <c r="O813" s="162">
        <f t="shared" si="97"/>
        <v>319.89750000000004</v>
      </c>
      <c r="P813" s="160">
        <v>81.659449999999993</v>
      </c>
      <c r="Q813" s="162">
        <f t="shared" si="93"/>
        <v>76433.24519999999</v>
      </c>
      <c r="R813" s="133">
        <f t="shared" si="95"/>
        <v>7.6433245199999987E-3</v>
      </c>
      <c r="S813" s="23" t="s">
        <v>1499</v>
      </c>
      <c r="T813" s="24" t="s">
        <v>278</v>
      </c>
      <c r="AA813"/>
    </row>
    <row r="814" spans="1:27" s="16" customFormat="1" ht="12.75" x14ac:dyDescent="0.2">
      <c r="A814" s="24" t="s">
        <v>1502</v>
      </c>
      <c r="B814" s="174">
        <v>44652</v>
      </c>
      <c r="C814" s="23" t="s">
        <v>1151</v>
      </c>
      <c r="D814" s="106">
        <v>8001373</v>
      </c>
      <c r="E814" s="24" t="s">
        <v>1221</v>
      </c>
      <c r="F814" s="29" t="s">
        <v>424</v>
      </c>
      <c r="G814" s="47" t="s">
        <v>264</v>
      </c>
      <c r="H814" s="24" t="s">
        <v>1375</v>
      </c>
      <c r="I814" s="15">
        <v>10</v>
      </c>
      <c r="J814" s="24" t="s">
        <v>3</v>
      </c>
      <c r="K814" s="35">
        <v>920</v>
      </c>
      <c r="L814" s="17">
        <f t="shared" si="96"/>
        <v>9200</v>
      </c>
      <c r="M814" s="173">
        <f t="shared" si="94"/>
        <v>9.2000000000000003E-4</v>
      </c>
      <c r="N814" s="160">
        <v>0.40052083333333333</v>
      </c>
      <c r="O814" s="162">
        <f t="shared" si="97"/>
        <v>368.47916666666669</v>
      </c>
      <c r="P814" s="160">
        <v>102.14446666666666</v>
      </c>
      <c r="Q814" s="162">
        <f t="shared" si="93"/>
        <v>93972.909333333329</v>
      </c>
      <c r="R814" s="133">
        <f t="shared" si="95"/>
        <v>9.3972909333333333E-3</v>
      </c>
      <c r="S814" s="23" t="s">
        <v>1499</v>
      </c>
      <c r="T814" s="24" t="s">
        <v>278</v>
      </c>
      <c r="AA814"/>
    </row>
    <row r="815" spans="1:27" s="16" customFormat="1" ht="12.75" x14ac:dyDescent="0.2">
      <c r="A815" s="24" t="s">
        <v>1502</v>
      </c>
      <c r="B815" s="174">
        <v>44652</v>
      </c>
      <c r="C815" s="23" t="s">
        <v>1168</v>
      </c>
      <c r="D815" s="106">
        <v>5001150</v>
      </c>
      <c r="E815" s="24" t="s">
        <v>1223</v>
      </c>
      <c r="F815" s="29" t="s">
        <v>424</v>
      </c>
      <c r="G815" s="47" t="s">
        <v>264</v>
      </c>
      <c r="H815" s="24" t="s">
        <v>1383</v>
      </c>
      <c r="I815" s="15">
        <v>10</v>
      </c>
      <c r="J815" s="24" t="s">
        <v>3</v>
      </c>
      <c r="K815" s="35">
        <v>39168</v>
      </c>
      <c r="L815" s="17">
        <f t="shared" si="96"/>
        <v>391680</v>
      </c>
      <c r="M815" s="173">
        <f t="shared" si="94"/>
        <v>3.9168000000000001E-2</v>
      </c>
      <c r="N815" s="160">
        <v>0.3</v>
      </c>
      <c r="O815" s="162">
        <f t="shared" si="97"/>
        <v>11750.4</v>
      </c>
      <c r="P815" s="160">
        <v>117.57838333333332</v>
      </c>
      <c r="Q815" s="162">
        <f t="shared" si="93"/>
        <v>4605310.1183999991</v>
      </c>
      <c r="R815" s="133">
        <f t="shared" si="95"/>
        <v>0.46053101183999989</v>
      </c>
      <c r="S815" s="23" t="s">
        <v>1499</v>
      </c>
      <c r="T815" s="24" t="s">
        <v>346</v>
      </c>
      <c r="AA815"/>
    </row>
    <row r="816" spans="1:27" s="50" customFormat="1" ht="12.75" x14ac:dyDescent="0.2">
      <c r="A816" s="24" t="s">
        <v>1502</v>
      </c>
      <c r="B816" s="174">
        <v>44652</v>
      </c>
      <c r="C816" s="79">
        <v>2020</v>
      </c>
      <c r="D816" s="79">
        <v>8200238</v>
      </c>
      <c r="E816" s="80" t="s">
        <v>1414</v>
      </c>
      <c r="F816" s="80"/>
      <c r="G816" s="80" t="s">
        <v>192</v>
      </c>
      <c r="H816" s="78" t="s">
        <v>1470</v>
      </c>
      <c r="I816" s="78">
        <v>1</v>
      </c>
      <c r="J816" s="78"/>
      <c r="K816" s="111">
        <v>60000</v>
      </c>
      <c r="L816" s="88">
        <f>K816*I816</f>
        <v>60000</v>
      </c>
      <c r="M816" s="173">
        <f t="shared" si="94"/>
        <v>6.0000000000000001E-3</v>
      </c>
      <c r="N816" s="88"/>
      <c r="O816" s="88"/>
      <c r="P816" s="165">
        <v>46.021133333333324</v>
      </c>
      <c r="Q816" s="169">
        <f t="shared" si="93"/>
        <v>2761267.9999999995</v>
      </c>
      <c r="R816" s="133">
        <f t="shared" si="95"/>
        <v>0.27612679999999995</v>
      </c>
      <c r="S816" s="79" t="s">
        <v>1498</v>
      </c>
      <c r="T816" s="50" t="s">
        <v>1473</v>
      </c>
      <c r="AA816"/>
    </row>
    <row r="817" spans="1:27" s="50" customFormat="1" ht="12.75" x14ac:dyDescent="0.2">
      <c r="A817" s="24" t="s">
        <v>1502</v>
      </c>
      <c r="B817" s="174">
        <v>44652</v>
      </c>
      <c r="C817" s="79">
        <v>2030</v>
      </c>
      <c r="D817" s="79">
        <v>8202510</v>
      </c>
      <c r="E817" s="80" t="s">
        <v>1394</v>
      </c>
      <c r="F817" s="80"/>
      <c r="G817" s="29" t="s">
        <v>265</v>
      </c>
      <c r="H817" s="78" t="s">
        <v>1434</v>
      </c>
      <c r="I817" s="78">
        <v>10</v>
      </c>
      <c r="J817" s="78"/>
      <c r="K817" s="111">
        <v>18990</v>
      </c>
      <c r="L817" s="88">
        <f t="shared" ref="L817:L830" si="98">K817*I817</f>
        <v>189900</v>
      </c>
      <c r="M817" s="173">
        <f t="shared" si="94"/>
        <v>1.899E-2</v>
      </c>
      <c r="N817" s="88"/>
      <c r="O817" s="88"/>
      <c r="P817" s="165">
        <v>238.47721639769114</v>
      </c>
      <c r="Q817" s="169">
        <f t="shared" si="93"/>
        <v>4528682.3393921545</v>
      </c>
      <c r="R817" s="133">
        <f t="shared" si="95"/>
        <v>0.45286823393921544</v>
      </c>
      <c r="S817" s="79" t="s">
        <v>1498</v>
      </c>
      <c r="T817" s="50" t="s">
        <v>1473</v>
      </c>
      <c r="AA817"/>
    </row>
    <row r="818" spans="1:27" s="50" customFormat="1" ht="12.75" x14ac:dyDescent="0.2">
      <c r="A818" s="24" t="s">
        <v>1502</v>
      </c>
      <c r="B818" s="174">
        <v>44652</v>
      </c>
      <c r="C818" s="79">
        <v>2010</v>
      </c>
      <c r="D818" s="79">
        <v>8202741</v>
      </c>
      <c r="E818" s="80" t="s">
        <v>1395</v>
      </c>
      <c r="F818" s="80"/>
      <c r="G818" s="29" t="s">
        <v>265</v>
      </c>
      <c r="H818" s="78" t="s">
        <v>1435</v>
      </c>
      <c r="I818" s="78">
        <v>15</v>
      </c>
      <c r="J818" s="78"/>
      <c r="K818" s="111">
        <v>21600</v>
      </c>
      <c r="L818" s="88">
        <f t="shared" si="98"/>
        <v>324000</v>
      </c>
      <c r="M818" s="173">
        <f t="shared" si="94"/>
        <v>3.2399999999999998E-2</v>
      </c>
      <c r="N818" s="88"/>
      <c r="O818" s="88"/>
      <c r="P818" s="165">
        <v>48.508800000000001</v>
      </c>
      <c r="Q818" s="169">
        <f t="shared" si="93"/>
        <v>1047790.0800000001</v>
      </c>
      <c r="R818" s="133">
        <f t="shared" si="95"/>
        <v>0.10477900800000001</v>
      </c>
      <c r="S818" s="79" t="s">
        <v>1498</v>
      </c>
      <c r="T818" s="50" t="s">
        <v>1473</v>
      </c>
      <c r="AA818"/>
    </row>
    <row r="819" spans="1:27" s="50" customFormat="1" ht="12.75" x14ac:dyDescent="0.2">
      <c r="A819" s="24" t="s">
        <v>1502</v>
      </c>
      <c r="B819" s="174">
        <v>44652</v>
      </c>
      <c r="C819" s="79">
        <v>2010</v>
      </c>
      <c r="D819" s="79">
        <v>8202742</v>
      </c>
      <c r="E819" s="80" t="s">
        <v>1396</v>
      </c>
      <c r="F819" s="80"/>
      <c r="G819" s="29" t="s">
        <v>265</v>
      </c>
      <c r="H819" s="78" t="s">
        <v>1436</v>
      </c>
      <c r="I819" s="78">
        <v>15</v>
      </c>
      <c r="J819" s="78"/>
      <c r="K819" s="111">
        <v>34470</v>
      </c>
      <c r="L819" s="88">
        <f t="shared" si="98"/>
        <v>517050</v>
      </c>
      <c r="M819" s="173">
        <f t="shared" si="94"/>
        <v>5.1705000000000001E-2</v>
      </c>
      <c r="N819" s="88"/>
      <c r="O819" s="88"/>
      <c r="P819" s="165">
        <v>64.8</v>
      </c>
      <c r="Q819" s="169">
        <f t="shared" si="93"/>
        <v>2233656</v>
      </c>
      <c r="R819" s="133">
        <f t="shared" si="95"/>
        <v>0.2233656</v>
      </c>
      <c r="S819" s="79" t="s">
        <v>1498</v>
      </c>
      <c r="T819" s="50" t="s">
        <v>1473</v>
      </c>
      <c r="AA819"/>
    </row>
    <row r="820" spans="1:27" s="50" customFormat="1" ht="12.75" x14ac:dyDescent="0.2">
      <c r="A820" s="24" t="s">
        <v>1502</v>
      </c>
      <c r="B820" s="174">
        <v>44652</v>
      </c>
      <c r="C820" s="79">
        <v>2010</v>
      </c>
      <c r="D820" s="79">
        <v>8202743</v>
      </c>
      <c r="E820" s="80" t="s">
        <v>1397</v>
      </c>
      <c r="F820" s="80"/>
      <c r="G820" s="29" t="s">
        <v>265</v>
      </c>
      <c r="H820" s="78" t="s">
        <v>1436</v>
      </c>
      <c r="I820" s="78">
        <v>2</v>
      </c>
      <c r="J820" s="78"/>
      <c r="K820" s="111">
        <v>8801</v>
      </c>
      <c r="L820" s="88">
        <f t="shared" si="98"/>
        <v>17602</v>
      </c>
      <c r="M820" s="173">
        <f t="shared" si="94"/>
        <v>1.7602E-3</v>
      </c>
      <c r="N820" s="88"/>
      <c r="O820" s="88"/>
      <c r="P820" s="165">
        <v>0</v>
      </c>
      <c r="Q820" s="169">
        <f t="shared" si="93"/>
        <v>0</v>
      </c>
      <c r="R820" s="133">
        <f t="shared" si="95"/>
        <v>0</v>
      </c>
      <c r="S820" s="79" t="s">
        <v>1498</v>
      </c>
      <c r="T820" s="50" t="s">
        <v>1473</v>
      </c>
      <c r="AA820"/>
    </row>
    <row r="821" spans="1:27" s="50" customFormat="1" ht="12.75" x14ac:dyDescent="0.2">
      <c r="A821" s="24" t="s">
        <v>1502</v>
      </c>
      <c r="B821" s="174">
        <v>44652</v>
      </c>
      <c r="C821" s="79">
        <v>2010</v>
      </c>
      <c r="D821" s="79">
        <v>8200217</v>
      </c>
      <c r="E821" s="80" t="s">
        <v>1398</v>
      </c>
      <c r="F821" s="80"/>
      <c r="G821" s="29" t="s">
        <v>265</v>
      </c>
      <c r="H821" s="78" t="s">
        <v>1437</v>
      </c>
      <c r="I821" s="78">
        <v>15</v>
      </c>
      <c r="J821" s="78"/>
      <c r="K821" s="113">
        <v>25900</v>
      </c>
      <c r="L821" s="88">
        <f t="shared" si="98"/>
        <v>388500</v>
      </c>
      <c r="M821" s="173">
        <f t="shared" si="94"/>
        <v>3.8850000000000003E-2</v>
      </c>
      <c r="N821" s="88"/>
      <c r="O821" s="88"/>
      <c r="P821" s="165">
        <v>60.109942528735758</v>
      </c>
      <c r="Q821" s="169">
        <f t="shared" si="93"/>
        <v>1556847.5114942561</v>
      </c>
      <c r="R821" s="133">
        <f t="shared" si="95"/>
        <v>0.15568475114942562</v>
      </c>
      <c r="S821" s="79" t="s">
        <v>1498</v>
      </c>
      <c r="T821" s="50" t="s">
        <v>1473</v>
      </c>
      <c r="AA821"/>
    </row>
    <row r="822" spans="1:27" s="50" customFormat="1" ht="12.75" x14ac:dyDescent="0.2">
      <c r="A822" s="24" t="s">
        <v>1502</v>
      </c>
      <c r="B822" s="174">
        <v>44652</v>
      </c>
      <c r="C822" s="79">
        <v>2050</v>
      </c>
      <c r="D822" s="79">
        <v>8202350</v>
      </c>
      <c r="E822" s="80" t="s">
        <v>1399</v>
      </c>
      <c r="F822" s="80"/>
      <c r="G822" s="29" t="s">
        <v>265</v>
      </c>
      <c r="H822" s="78" t="s">
        <v>1438</v>
      </c>
      <c r="I822" s="78">
        <v>20</v>
      </c>
      <c r="J822" s="78"/>
      <c r="K822" s="111">
        <v>9720</v>
      </c>
      <c r="L822" s="88">
        <f t="shared" si="98"/>
        <v>194400</v>
      </c>
      <c r="M822" s="173">
        <f t="shared" si="94"/>
        <v>1.9439999999999999E-2</v>
      </c>
      <c r="N822" s="88"/>
      <c r="O822" s="88"/>
      <c r="P822" s="165">
        <v>170.35994295028487</v>
      </c>
      <c r="Q822" s="169">
        <f t="shared" si="93"/>
        <v>1655898.645476769</v>
      </c>
      <c r="R822" s="133">
        <f t="shared" si="95"/>
        <v>0.16558986454767691</v>
      </c>
      <c r="S822" s="79" t="s">
        <v>1498</v>
      </c>
      <c r="T822" s="50" t="s">
        <v>1473</v>
      </c>
      <c r="AA822"/>
    </row>
    <row r="823" spans="1:27" s="50" customFormat="1" ht="12.75" x14ac:dyDescent="0.2">
      <c r="A823" s="24" t="s">
        <v>1502</v>
      </c>
      <c r="B823" s="174">
        <v>44652</v>
      </c>
      <c r="C823" s="79">
        <v>2030</v>
      </c>
      <c r="D823" s="79">
        <v>8200897</v>
      </c>
      <c r="E823" s="80" t="s">
        <v>1400</v>
      </c>
      <c r="F823" s="80"/>
      <c r="G823" s="29" t="s">
        <v>265</v>
      </c>
      <c r="H823" s="78" t="s">
        <v>1439</v>
      </c>
      <c r="I823" s="78">
        <v>15</v>
      </c>
      <c r="J823" s="78"/>
      <c r="K823" s="111">
        <v>26400</v>
      </c>
      <c r="L823" s="88">
        <f t="shared" si="98"/>
        <v>396000</v>
      </c>
      <c r="M823" s="173">
        <f t="shared" si="94"/>
        <v>3.9600000000000003E-2</v>
      </c>
      <c r="N823" s="88"/>
      <c r="O823" s="88"/>
      <c r="P823" s="165">
        <v>262.28949999999998</v>
      </c>
      <c r="Q823" s="169">
        <f t="shared" si="93"/>
        <v>6924442.7999999998</v>
      </c>
      <c r="R823" s="133">
        <f t="shared" si="95"/>
        <v>0.69244428000000002</v>
      </c>
      <c r="S823" s="79" t="s">
        <v>1498</v>
      </c>
      <c r="T823" s="50" t="s">
        <v>1473</v>
      </c>
      <c r="AA823"/>
    </row>
    <row r="824" spans="1:27" s="50" customFormat="1" ht="12.75" x14ac:dyDescent="0.2">
      <c r="A824" s="24" t="s">
        <v>1502</v>
      </c>
      <c r="B824" s="174">
        <v>44652</v>
      </c>
      <c r="C824" s="79">
        <v>2030</v>
      </c>
      <c r="D824" s="79">
        <v>8200897</v>
      </c>
      <c r="E824" s="80" t="s">
        <v>1400</v>
      </c>
      <c r="F824" s="80"/>
      <c r="G824" s="29" t="s">
        <v>265</v>
      </c>
      <c r="H824" s="78" t="s">
        <v>1440</v>
      </c>
      <c r="I824" s="78">
        <v>15</v>
      </c>
      <c r="J824" s="78"/>
      <c r="K824" s="111">
        <v>26440</v>
      </c>
      <c r="L824" s="88">
        <f t="shared" si="98"/>
        <v>396600</v>
      </c>
      <c r="M824" s="173">
        <f t="shared" si="94"/>
        <v>3.9660000000000001E-2</v>
      </c>
      <c r="N824" s="88"/>
      <c r="O824" s="88"/>
      <c r="P824" s="165">
        <v>262.28949999999998</v>
      </c>
      <c r="Q824" s="169">
        <f t="shared" si="93"/>
        <v>6934934.379999999</v>
      </c>
      <c r="R824" s="133">
        <f t="shared" si="95"/>
        <v>0.69349343799999985</v>
      </c>
      <c r="S824" s="79" t="s">
        <v>1498</v>
      </c>
      <c r="T824" s="50" t="s">
        <v>1473</v>
      </c>
      <c r="AA824"/>
    </row>
    <row r="825" spans="1:27" s="50" customFormat="1" ht="12.75" x14ac:dyDescent="0.2">
      <c r="A825" s="24" t="s">
        <v>1502</v>
      </c>
      <c r="B825" s="174">
        <v>44652</v>
      </c>
      <c r="C825" s="79">
        <v>2010</v>
      </c>
      <c r="D825" s="79">
        <v>8201532</v>
      </c>
      <c r="E825" s="80" t="s">
        <v>258</v>
      </c>
      <c r="F825" s="80"/>
      <c r="G825" s="29" t="s">
        <v>265</v>
      </c>
      <c r="H825" s="78" t="s">
        <v>1441</v>
      </c>
      <c r="I825" s="78">
        <v>15</v>
      </c>
      <c r="J825" s="78"/>
      <c r="K825" s="113">
        <v>19800</v>
      </c>
      <c r="L825" s="88">
        <f t="shared" si="98"/>
        <v>297000</v>
      </c>
      <c r="M825" s="173">
        <f t="shared" si="94"/>
        <v>2.9700000000000001E-2</v>
      </c>
      <c r="N825" s="88"/>
      <c r="O825" s="88"/>
      <c r="P825" s="165">
        <v>117.45998629824157</v>
      </c>
      <c r="Q825" s="169">
        <f t="shared" si="93"/>
        <v>2325707.7287051831</v>
      </c>
      <c r="R825" s="133">
        <f t="shared" si="95"/>
        <v>0.23257077287051831</v>
      </c>
      <c r="S825" s="79" t="s">
        <v>1498</v>
      </c>
      <c r="T825" s="50" t="s">
        <v>1473</v>
      </c>
      <c r="AA825"/>
    </row>
    <row r="826" spans="1:27" s="50" customFormat="1" ht="12.75" x14ac:dyDescent="0.2">
      <c r="A826" s="24" t="s">
        <v>1502</v>
      </c>
      <c r="B826" s="174">
        <v>44652</v>
      </c>
      <c r="C826" s="79">
        <v>2020</v>
      </c>
      <c r="D826" s="79">
        <v>8200261</v>
      </c>
      <c r="E826" s="80" t="s">
        <v>262</v>
      </c>
      <c r="F826" s="80"/>
      <c r="G826" s="29" t="s">
        <v>265</v>
      </c>
      <c r="H826" s="78" t="s">
        <v>1462</v>
      </c>
      <c r="I826" s="78">
        <v>10</v>
      </c>
      <c r="J826" s="78"/>
      <c r="K826" s="111">
        <v>88776</v>
      </c>
      <c r="L826" s="88">
        <f t="shared" si="98"/>
        <v>887760</v>
      </c>
      <c r="M826" s="173">
        <f t="shared" si="94"/>
        <v>8.8775999999999994E-2</v>
      </c>
      <c r="N826" s="88"/>
      <c r="O826" s="88"/>
      <c r="P826" s="165">
        <v>76.983333333333334</v>
      </c>
      <c r="Q826" s="169">
        <f t="shared" si="93"/>
        <v>6834272.4000000004</v>
      </c>
      <c r="R826" s="133">
        <f t="shared" si="95"/>
        <v>0.68342723999999999</v>
      </c>
      <c r="S826" s="79" t="s">
        <v>1498</v>
      </c>
      <c r="T826" s="50" t="s">
        <v>1473</v>
      </c>
      <c r="AA826"/>
    </row>
    <row r="827" spans="1:27" s="50" customFormat="1" ht="12.75" x14ac:dyDescent="0.2">
      <c r="A827" s="24" t="s">
        <v>1502</v>
      </c>
      <c r="B827" s="174">
        <v>44652</v>
      </c>
      <c r="C827" s="79">
        <v>2020</v>
      </c>
      <c r="D827" s="79">
        <v>8200261</v>
      </c>
      <c r="E827" s="80" t="s">
        <v>262</v>
      </c>
      <c r="F827" s="80"/>
      <c r="G827" s="29" t="s">
        <v>265</v>
      </c>
      <c r="H827" s="78" t="s">
        <v>1463</v>
      </c>
      <c r="I827" s="78">
        <v>10</v>
      </c>
      <c r="J827" s="78"/>
      <c r="K827" s="111">
        <v>59616</v>
      </c>
      <c r="L827" s="88">
        <f t="shared" si="98"/>
        <v>596160</v>
      </c>
      <c r="M827" s="173">
        <f t="shared" si="94"/>
        <v>5.9616000000000002E-2</v>
      </c>
      <c r="N827" s="88"/>
      <c r="O827" s="88"/>
      <c r="P827" s="165">
        <v>76.983333333333334</v>
      </c>
      <c r="Q827" s="169">
        <f t="shared" si="93"/>
        <v>4589438.4000000004</v>
      </c>
      <c r="R827" s="133">
        <f t="shared" si="95"/>
        <v>0.45894384000000005</v>
      </c>
      <c r="S827" s="79" t="s">
        <v>1498</v>
      </c>
      <c r="T827" s="50" t="s">
        <v>1473</v>
      </c>
      <c r="AA827"/>
    </row>
    <row r="828" spans="1:27" s="50" customFormat="1" ht="12.75" x14ac:dyDescent="0.2">
      <c r="A828" s="24" t="s">
        <v>1502</v>
      </c>
      <c r="B828" s="174">
        <v>44652</v>
      </c>
      <c r="C828" s="79">
        <v>2020</v>
      </c>
      <c r="D828" s="79">
        <v>8200940</v>
      </c>
      <c r="E828" s="80" t="s">
        <v>1412</v>
      </c>
      <c r="F828" s="80"/>
      <c r="G828" s="29" t="s">
        <v>265</v>
      </c>
      <c r="H828" s="78" t="s">
        <v>1464</v>
      </c>
      <c r="I828" s="78">
        <v>14</v>
      </c>
      <c r="J828" s="78"/>
      <c r="K828" s="111">
        <v>46480</v>
      </c>
      <c r="L828" s="88">
        <f t="shared" si="98"/>
        <v>650720</v>
      </c>
      <c r="M828" s="173">
        <f t="shared" si="94"/>
        <v>6.5072000000000005E-2</v>
      </c>
      <c r="N828" s="88"/>
      <c r="O828" s="88"/>
      <c r="P828" s="165">
        <v>146.76499999999999</v>
      </c>
      <c r="Q828" s="169">
        <f t="shared" si="93"/>
        <v>6821637.1999999993</v>
      </c>
      <c r="R828" s="133">
        <f t="shared" si="95"/>
        <v>0.68216371999999992</v>
      </c>
      <c r="S828" s="79" t="s">
        <v>1498</v>
      </c>
      <c r="T828" s="50" t="s">
        <v>1473</v>
      </c>
      <c r="AA828"/>
    </row>
    <row r="829" spans="1:27" s="50" customFormat="1" ht="12.75" x14ac:dyDescent="0.2">
      <c r="A829" s="24" t="s">
        <v>1502</v>
      </c>
      <c r="B829" s="174">
        <v>44652</v>
      </c>
      <c r="C829" s="79">
        <v>2020</v>
      </c>
      <c r="D829" s="79">
        <v>8200940</v>
      </c>
      <c r="E829" s="80" t="s">
        <v>1412</v>
      </c>
      <c r="F829" s="80"/>
      <c r="G829" s="29" t="s">
        <v>265</v>
      </c>
      <c r="H829" s="78" t="s">
        <v>1465</v>
      </c>
      <c r="I829" s="78">
        <v>14</v>
      </c>
      <c r="J829" s="78"/>
      <c r="K829" s="111">
        <v>46560</v>
      </c>
      <c r="L829" s="88">
        <f t="shared" si="98"/>
        <v>651840</v>
      </c>
      <c r="M829" s="173">
        <f t="shared" si="94"/>
        <v>6.5184000000000006E-2</v>
      </c>
      <c r="N829" s="88"/>
      <c r="O829" s="88"/>
      <c r="P829" s="165">
        <v>146.76499999999999</v>
      </c>
      <c r="Q829" s="169">
        <f t="shared" si="93"/>
        <v>6833378.3999999994</v>
      </c>
      <c r="R829" s="133">
        <f t="shared" si="95"/>
        <v>0.68333783999999997</v>
      </c>
      <c r="S829" s="79" t="s">
        <v>1498</v>
      </c>
      <c r="T829" s="50" t="s">
        <v>1473</v>
      </c>
      <c r="AA829"/>
    </row>
    <row r="830" spans="1:27" s="50" customFormat="1" ht="12.75" x14ac:dyDescent="0.2">
      <c r="A830" s="24" t="s">
        <v>1502</v>
      </c>
      <c r="B830" s="174">
        <v>44652</v>
      </c>
      <c r="C830" s="79">
        <v>2020</v>
      </c>
      <c r="D830" s="79">
        <v>8200940</v>
      </c>
      <c r="E830" s="80" t="s">
        <v>1412</v>
      </c>
      <c r="F830" s="80"/>
      <c r="G830" s="29" t="s">
        <v>265</v>
      </c>
      <c r="H830" s="78" t="s">
        <v>1466</v>
      </c>
      <c r="I830" s="78">
        <v>14</v>
      </c>
      <c r="J830" s="78"/>
      <c r="K830" s="111">
        <v>46560</v>
      </c>
      <c r="L830" s="88">
        <f t="shared" si="98"/>
        <v>651840</v>
      </c>
      <c r="M830" s="173">
        <f t="shared" si="94"/>
        <v>6.5184000000000006E-2</v>
      </c>
      <c r="N830" s="88"/>
      <c r="O830" s="88"/>
      <c r="P830" s="165">
        <v>146.76499999999999</v>
      </c>
      <c r="Q830" s="169">
        <f t="shared" si="93"/>
        <v>6833378.3999999994</v>
      </c>
      <c r="R830" s="133">
        <f t="shared" si="95"/>
        <v>0.68333783999999997</v>
      </c>
      <c r="S830" s="79" t="s">
        <v>1498</v>
      </c>
      <c r="T830" s="50" t="s">
        <v>1473</v>
      </c>
      <c r="AA830"/>
    </row>
    <row r="831" spans="1:27" s="50" customFormat="1" ht="12.75" x14ac:dyDescent="0.2">
      <c r="A831" s="24" t="s">
        <v>1502</v>
      </c>
      <c r="B831" s="174">
        <v>44652</v>
      </c>
      <c r="C831" s="79">
        <v>2030</v>
      </c>
      <c r="D831" s="79">
        <v>8201501</v>
      </c>
      <c r="E831" s="80" t="s">
        <v>341</v>
      </c>
      <c r="F831" s="80"/>
      <c r="G831" s="100" t="s">
        <v>1504</v>
      </c>
      <c r="H831" s="78" t="s">
        <v>1442</v>
      </c>
      <c r="I831" s="78">
        <v>1</v>
      </c>
      <c r="J831" s="78"/>
      <c r="K831" s="111">
        <v>16125</v>
      </c>
      <c r="L831" s="88">
        <f t="shared" ref="L831:L845" si="99">K831*I831</f>
        <v>16125</v>
      </c>
      <c r="M831" s="173">
        <f t="shared" si="94"/>
        <v>1.6125E-3</v>
      </c>
      <c r="N831" s="88"/>
      <c r="O831" s="88"/>
      <c r="P831" s="165">
        <v>124.71035330261147</v>
      </c>
      <c r="Q831" s="169">
        <f t="shared" si="93"/>
        <v>2010954.44700461</v>
      </c>
      <c r="R831" s="133">
        <f t="shared" si="95"/>
        <v>0.20109544470046101</v>
      </c>
      <c r="S831" s="79" t="s">
        <v>1498</v>
      </c>
      <c r="T831" s="50" t="s">
        <v>1473</v>
      </c>
      <c r="AA831"/>
    </row>
    <row r="832" spans="1:27" s="50" customFormat="1" ht="12.75" x14ac:dyDescent="0.2">
      <c r="A832" s="24" t="s">
        <v>1502</v>
      </c>
      <c r="B832" s="174">
        <v>44652</v>
      </c>
      <c r="C832" s="79">
        <v>2030</v>
      </c>
      <c r="D832" s="79">
        <v>8201502</v>
      </c>
      <c r="E832" s="80" t="s">
        <v>1401</v>
      </c>
      <c r="F832" s="80"/>
      <c r="G832" s="100" t="s">
        <v>1504</v>
      </c>
      <c r="H832" s="78" t="s">
        <v>1443</v>
      </c>
      <c r="I832" s="78">
        <v>1</v>
      </c>
      <c r="J832" s="78"/>
      <c r="K832" s="111">
        <v>28800</v>
      </c>
      <c r="L832" s="88">
        <f t="shared" si="99"/>
        <v>28800</v>
      </c>
      <c r="M832" s="173">
        <f t="shared" si="94"/>
        <v>2.8800000000000002E-3</v>
      </c>
      <c r="N832" s="88"/>
      <c r="O832" s="88"/>
      <c r="P832" s="165">
        <v>0</v>
      </c>
      <c r="Q832" s="169">
        <f t="shared" si="93"/>
        <v>0</v>
      </c>
      <c r="R832" s="133">
        <f t="shared" si="95"/>
        <v>0</v>
      </c>
      <c r="S832" s="79" t="s">
        <v>1498</v>
      </c>
      <c r="T832" s="50" t="s">
        <v>1473</v>
      </c>
      <c r="AA832"/>
    </row>
    <row r="833" spans="1:27" s="50" customFormat="1" ht="12.75" x14ac:dyDescent="0.2">
      <c r="A833" s="24" t="s">
        <v>1502</v>
      </c>
      <c r="B833" s="174">
        <v>44652</v>
      </c>
      <c r="C833" s="79">
        <v>2030</v>
      </c>
      <c r="D833" s="79">
        <v>8201640</v>
      </c>
      <c r="E833" s="80" t="s">
        <v>259</v>
      </c>
      <c r="F833" s="80"/>
      <c r="G833" s="100" t="s">
        <v>1504</v>
      </c>
      <c r="H833" s="78" t="s">
        <v>1444</v>
      </c>
      <c r="I833" s="78">
        <v>1</v>
      </c>
      <c r="J833" s="78"/>
      <c r="K833" s="111">
        <v>4800</v>
      </c>
      <c r="L833" s="88">
        <f t="shared" si="99"/>
        <v>4800</v>
      </c>
      <c r="M833" s="173">
        <f t="shared" si="94"/>
        <v>4.8000000000000001E-4</v>
      </c>
      <c r="N833" s="88"/>
      <c r="O833" s="88"/>
      <c r="P833" s="165">
        <v>165.21315789473684</v>
      </c>
      <c r="Q833" s="169">
        <f t="shared" si="93"/>
        <v>793023.15789473685</v>
      </c>
      <c r="R833" s="133">
        <f t="shared" si="95"/>
        <v>7.9302315789473679E-2</v>
      </c>
      <c r="S833" s="79" t="s">
        <v>1498</v>
      </c>
      <c r="T833" s="50" t="s">
        <v>1473</v>
      </c>
      <c r="AA833"/>
    </row>
    <row r="834" spans="1:27" s="50" customFormat="1" ht="12.75" x14ac:dyDescent="0.2">
      <c r="A834" s="24" t="s">
        <v>1502</v>
      </c>
      <c r="B834" s="174">
        <v>44652</v>
      </c>
      <c r="C834" s="79">
        <v>2030</v>
      </c>
      <c r="D834" s="79">
        <v>8202679</v>
      </c>
      <c r="E834" s="80" t="s">
        <v>1402</v>
      </c>
      <c r="F834" s="80"/>
      <c r="G834" s="100" t="s">
        <v>1504</v>
      </c>
      <c r="H834" s="78" t="s">
        <v>1445</v>
      </c>
      <c r="I834" s="78">
        <v>1</v>
      </c>
      <c r="J834" s="78"/>
      <c r="K834" s="111">
        <v>4400</v>
      </c>
      <c r="L834" s="88">
        <f t="shared" si="99"/>
        <v>4400</v>
      </c>
      <c r="M834" s="173">
        <f t="shared" si="94"/>
        <v>4.4000000000000002E-4</v>
      </c>
      <c r="N834" s="88"/>
      <c r="O834" s="88"/>
      <c r="P834" s="165">
        <v>0</v>
      </c>
      <c r="Q834" s="169">
        <f t="shared" ref="Q834:Q877" si="100">+K834*P834</f>
        <v>0</v>
      </c>
      <c r="R834" s="133">
        <f t="shared" si="95"/>
        <v>0</v>
      </c>
      <c r="S834" s="79" t="s">
        <v>1498</v>
      </c>
      <c r="T834" s="50" t="s">
        <v>1473</v>
      </c>
      <c r="AA834"/>
    </row>
    <row r="835" spans="1:27" s="50" customFormat="1" ht="12.75" x14ac:dyDescent="0.2">
      <c r="A835" s="24" t="s">
        <v>1502</v>
      </c>
      <c r="B835" s="174">
        <v>44652</v>
      </c>
      <c r="C835" s="79">
        <v>2030</v>
      </c>
      <c r="D835" s="79">
        <v>8201630</v>
      </c>
      <c r="E835" s="80" t="s">
        <v>1403</v>
      </c>
      <c r="F835" s="80"/>
      <c r="G835" s="100" t="s">
        <v>1504</v>
      </c>
      <c r="H835" s="78" t="s">
        <v>1446</v>
      </c>
      <c r="I835" s="78">
        <v>1</v>
      </c>
      <c r="J835" s="78"/>
      <c r="K835" s="111">
        <v>11600</v>
      </c>
      <c r="L835" s="88">
        <f t="shared" si="99"/>
        <v>11600</v>
      </c>
      <c r="M835" s="173">
        <f t="shared" ref="M835:M877" si="101">L835/10^7</f>
        <v>1.16E-3</v>
      </c>
      <c r="N835" s="88"/>
      <c r="O835" s="88"/>
      <c r="P835" s="165">
        <v>421.02</v>
      </c>
      <c r="Q835" s="169">
        <f t="shared" si="100"/>
        <v>4883832</v>
      </c>
      <c r="R835" s="133">
        <f t="shared" ref="R835:R877" si="102">Q835/10^7</f>
        <v>0.48838320000000002</v>
      </c>
      <c r="S835" s="79" t="s">
        <v>1498</v>
      </c>
      <c r="T835" s="50" t="s">
        <v>1473</v>
      </c>
      <c r="AA835"/>
    </row>
    <row r="836" spans="1:27" s="50" customFormat="1" ht="12.75" x14ac:dyDescent="0.2">
      <c r="A836" s="24" t="s">
        <v>1502</v>
      </c>
      <c r="B836" s="174">
        <v>44652</v>
      </c>
      <c r="C836" s="79">
        <v>2030</v>
      </c>
      <c r="D836" s="79">
        <v>8202673</v>
      </c>
      <c r="E836" s="80" t="s">
        <v>340</v>
      </c>
      <c r="F836" s="80"/>
      <c r="G836" s="101" t="s">
        <v>1505</v>
      </c>
      <c r="H836" s="78" t="s">
        <v>1452</v>
      </c>
      <c r="I836" s="78">
        <v>1</v>
      </c>
      <c r="J836" s="78"/>
      <c r="K836" s="111">
        <v>14425</v>
      </c>
      <c r="L836" s="88">
        <f t="shared" si="99"/>
        <v>14425</v>
      </c>
      <c r="M836" s="173">
        <f t="shared" si="101"/>
        <v>1.4425E-3</v>
      </c>
      <c r="N836" s="88"/>
      <c r="O836" s="88"/>
      <c r="P836" s="165">
        <v>256.49974077766666</v>
      </c>
      <c r="Q836" s="169">
        <f t="shared" si="100"/>
        <v>3700008.7607178413</v>
      </c>
      <c r="R836" s="133">
        <f t="shared" si="102"/>
        <v>0.37000087607178411</v>
      </c>
      <c r="S836" s="79" t="s">
        <v>1498</v>
      </c>
      <c r="T836" s="50" t="s">
        <v>1473</v>
      </c>
      <c r="AA836"/>
    </row>
    <row r="837" spans="1:27" s="50" customFormat="1" ht="12.75" x14ac:dyDescent="0.2">
      <c r="A837" s="24" t="s">
        <v>1502</v>
      </c>
      <c r="B837" s="174">
        <v>44652</v>
      </c>
      <c r="C837" s="79">
        <v>2020</v>
      </c>
      <c r="D837" s="79">
        <v>8201862</v>
      </c>
      <c r="E837" s="80" t="s">
        <v>1413</v>
      </c>
      <c r="F837" s="80"/>
      <c r="G837" s="101" t="s">
        <v>1505</v>
      </c>
      <c r="H837" s="78" t="s">
        <v>1469</v>
      </c>
      <c r="I837" s="78">
        <v>1</v>
      </c>
      <c r="J837" s="78"/>
      <c r="K837" s="111">
        <v>1000</v>
      </c>
      <c r="L837" s="88">
        <f t="shared" si="99"/>
        <v>1000</v>
      </c>
      <c r="M837" s="173">
        <f t="shared" si="101"/>
        <v>1E-4</v>
      </c>
      <c r="N837" s="88"/>
      <c r="O837" s="88"/>
      <c r="P837" s="165">
        <v>0</v>
      </c>
      <c r="Q837" s="169">
        <f t="shared" si="100"/>
        <v>0</v>
      </c>
      <c r="R837" s="133">
        <f t="shared" si="102"/>
        <v>0</v>
      </c>
      <c r="S837" s="79" t="s">
        <v>1498</v>
      </c>
      <c r="T837" s="50" t="s">
        <v>1473</v>
      </c>
      <c r="AA837"/>
    </row>
    <row r="838" spans="1:27" s="50" customFormat="1" ht="12.75" x14ac:dyDescent="0.2">
      <c r="A838" s="24" t="s">
        <v>1502</v>
      </c>
      <c r="B838" s="174">
        <v>44652</v>
      </c>
      <c r="C838" s="79">
        <v>2030</v>
      </c>
      <c r="D838" s="79">
        <v>8202043</v>
      </c>
      <c r="E838" s="80" t="s">
        <v>260</v>
      </c>
      <c r="F838" s="80"/>
      <c r="G838" s="34" t="s">
        <v>1503</v>
      </c>
      <c r="H838" s="78" t="s">
        <v>1453</v>
      </c>
      <c r="I838" s="78">
        <v>1</v>
      </c>
      <c r="J838" s="78"/>
      <c r="K838" s="113">
        <v>4716</v>
      </c>
      <c r="L838" s="88">
        <f t="shared" si="99"/>
        <v>4716</v>
      </c>
      <c r="M838" s="173">
        <f t="shared" si="101"/>
        <v>4.7160000000000002E-4</v>
      </c>
      <c r="N838" s="88"/>
      <c r="O838" s="88"/>
      <c r="P838" s="165">
        <v>295.92962962962963</v>
      </c>
      <c r="Q838" s="169">
        <f t="shared" si="100"/>
        <v>1395604.1333333333</v>
      </c>
      <c r="R838" s="133">
        <f t="shared" si="102"/>
        <v>0.13956041333333333</v>
      </c>
      <c r="S838" s="79" t="s">
        <v>1498</v>
      </c>
      <c r="T838" s="50" t="s">
        <v>1473</v>
      </c>
      <c r="AA838"/>
    </row>
    <row r="839" spans="1:27" s="50" customFormat="1" ht="12.75" x14ac:dyDescent="0.2">
      <c r="A839" s="24" t="s">
        <v>1502</v>
      </c>
      <c r="B839" s="174">
        <v>44652</v>
      </c>
      <c r="C839" s="79">
        <v>2030</v>
      </c>
      <c r="D839" s="79">
        <v>8202043</v>
      </c>
      <c r="E839" s="80" t="s">
        <v>260</v>
      </c>
      <c r="F839" s="80"/>
      <c r="G839" s="34" t="s">
        <v>1503</v>
      </c>
      <c r="H839" s="78" t="s">
        <v>1454</v>
      </c>
      <c r="I839" s="78">
        <v>1</v>
      </c>
      <c r="J839" s="78"/>
      <c r="K839" s="113">
        <v>4674</v>
      </c>
      <c r="L839" s="88">
        <f t="shared" si="99"/>
        <v>4674</v>
      </c>
      <c r="M839" s="173">
        <f t="shared" si="101"/>
        <v>4.6739999999999998E-4</v>
      </c>
      <c r="N839" s="88"/>
      <c r="O839" s="88"/>
      <c r="P839" s="165">
        <v>295.92962962962963</v>
      </c>
      <c r="Q839" s="169">
        <f t="shared" si="100"/>
        <v>1383175.0888888889</v>
      </c>
      <c r="R839" s="133">
        <f t="shared" si="102"/>
        <v>0.13831750888888888</v>
      </c>
      <c r="S839" s="79" t="s">
        <v>1498</v>
      </c>
      <c r="T839" s="50" t="s">
        <v>1473</v>
      </c>
      <c r="AA839"/>
    </row>
    <row r="840" spans="1:27" s="50" customFormat="1" ht="12.75" x14ac:dyDescent="0.2">
      <c r="A840" s="24" t="s">
        <v>1502</v>
      </c>
      <c r="B840" s="174">
        <v>44652</v>
      </c>
      <c r="C840" s="79">
        <v>2030</v>
      </c>
      <c r="D840" s="79">
        <v>8202043</v>
      </c>
      <c r="E840" s="80" t="s">
        <v>260</v>
      </c>
      <c r="F840" s="80"/>
      <c r="G840" s="34" t="s">
        <v>1503</v>
      </c>
      <c r="H840" s="78" t="s">
        <v>1455</v>
      </c>
      <c r="I840" s="78">
        <v>1</v>
      </c>
      <c r="J840" s="78"/>
      <c r="K840" s="111">
        <v>4728</v>
      </c>
      <c r="L840" s="88">
        <f t="shared" si="99"/>
        <v>4728</v>
      </c>
      <c r="M840" s="173">
        <f t="shared" si="101"/>
        <v>4.728E-4</v>
      </c>
      <c r="N840" s="88"/>
      <c r="O840" s="88"/>
      <c r="P840" s="165">
        <v>295.92962962962963</v>
      </c>
      <c r="Q840" s="169">
        <f t="shared" si="100"/>
        <v>1399155.2888888889</v>
      </c>
      <c r="R840" s="133">
        <f t="shared" si="102"/>
        <v>0.13991552888888889</v>
      </c>
      <c r="S840" s="79" t="s">
        <v>1498</v>
      </c>
      <c r="T840" s="50" t="s">
        <v>1473</v>
      </c>
      <c r="AA840"/>
    </row>
    <row r="841" spans="1:27" s="50" customFormat="1" ht="12.75" x14ac:dyDescent="0.2">
      <c r="A841" s="24" t="s">
        <v>1502</v>
      </c>
      <c r="B841" s="174">
        <v>44652</v>
      </c>
      <c r="C841" s="79">
        <v>2030</v>
      </c>
      <c r="D841" s="79">
        <v>8202490</v>
      </c>
      <c r="E841" s="80" t="s">
        <v>1407</v>
      </c>
      <c r="F841" s="80"/>
      <c r="G841" s="80" t="s">
        <v>1504</v>
      </c>
      <c r="H841" s="78" t="s">
        <v>1456</v>
      </c>
      <c r="I841" s="78">
        <v>1</v>
      </c>
      <c r="J841" s="78"/>
      <c r="K841" s="111">
        <v>9463</v>
      </c>
      <c r="L841" s="88">
        <f t="shared" si="99"/>
        <v>9463</v>
      </c>
      <c r="M841" s="173">
        <f t="shared" si="101"/>
        <v>9.4629999999999996E-4</v>
      </c>
      <c r="N841" s="88"/>
      <c r="O841" s="88"/>
      <c r="P841" s="165">
        <v>127.92992332968235</v>
      </c>
      <c r="Q841" s="169">
        <f t="shared" si="100"/>
        <v>1210600.8644687841</v>
      </c>
      <c r="R841" s="133">
        <f t="shared" si="102"/>
        <v>0.12106008644687841</v>
      </c>
      <c r="S841" s="79" t="s">
        <v>1498</v>
      </c>
      <c r="T841" s="50" t="s">
        <v>1473</v>
      </c>
      <c r="AA841"/>
    </row>
    <row r="842" spans="1:27" s="50" customFormat="1" ht="12.75" x14ac:dyDescent="0.2">
      <c r="A842" s="24" t="s">
        <v>1502</v>
      </c>
      <c r="B842" s="174">
        <v>44652</v>
      </c>
      <c r="C842" s="79">
        <v>2030</v>
      </c>
      <c r="D842" s="79">
        <v>8202491</v>
      </c>
      <c r="E842" s="80" t="s">
        <v>1408</v>
      </c>
      <c r="F842" s="80"/>
      <c r="G842" s="80" t="s">
        <v>1504</v>
      </c>
      <c r="H842" s="78" t="s">
        <v>1456</v>
      </c>
      <c r="I842" s="78">
        <v>1</v>
      </c>
      <c r="J842" s="78"/>
      <c r="K842" s="111">
        <v>8669</v>
      </c>
      <c r="L842" s="88">
        <f t="shared" si="99"/>
        <v>8669</v>
      </c>
      <c r="M842" s="173">
        <f t="shared" si="101"/>
        <v>8.6689999999999998E-4</v>
      </c>
      <c r="N842" s="88"/>
      <c r="O842" s="88"/>
      <c r="P842" s="165">
        <v>0</v>
      </c>
      <c r="Q842" s="169">
        <f t="shared" si="100"/>
        <v>0</v>
      </c>
      <c r="R842" s="133">
        <f t="shared" si="102"/>
        <v>0</v>
      </c>
      <c r="S842" s="79" t="s">
        <v>1498</v>
      </c>
      <c r="T842" s="50" t="s">
        <v>1473</v>
      </c>
      <c r="AA842"/>
    </row>
    <row r="843" spans="1:27" s="50" customFormat="1" ht="12.75" x14ac:dyDescent="0.2">
      <c r="A843" s="24" t="s">
        <v>1502</v>
      </c>
      <c r="B843" s="174">
        <v>44652</v>
      </c>
      <c r="C843" s="79">
        <v>2010</v>
      </c>
      <c r="D843" s="79">
        <v>8201520</v>
      </c>
      <c r="E843" s="80" t="s">
        <v>1409</v>
      </c>
      <c r="F843" s="80"/>
      <c r="G843" s="47" t="s">
        <v>264</v>
      </c>
      <c r="H843" s="78" t="s">
        <v>1457</v>
      </c>
      <c r="I843" s="78">
        <v>10</v>
      </c>
      <c r="J843" s="78"/>
      <c r="K843" s="111">
        <v>55360</v>
      </c>
      <c r="L843" s="88">
        <f t="shared" si="99"/>
        <v>553600</v>
      </c>
      <c r="M843" s="173">
        <f t="shared" si="101"/>
        <v>5.5359999999999999E-2</v>
      </c>
      <c r="N843" s="88"/>
      <c r="O843" s="88"/>
      <c r="P843" s="165">
        <v>76.270183486238537</v>
      </c>
      <c r="Q843" s="169">
        <f t="shared" si="100"/>
        <v>4222317.3577981656</v>
      </c>
      <c r="R843" s="133">
        <f t="shared" si="102"/>
        <v>0.42223173577981654</v>
      </c>
      <c r="S843" s="79" t="s">
        <v>1498</v>
      </c>
      <c r="T843" s="50" t="s">
        <v>1473</v>
      </c>
      <c r="AA843"/>
    </row>
    <row r="844" spans="1:27" s="50" customFormat="1" ht="12.75" x14ac:dyDescent="0.2">
      <c r="A844" s="24" t="s">
        <v>1502</v>
      </c>
      <c r="B844" s="174">
        <v>44652</v>
      </c>
      <c r="C844" s="79">
        <v>2020</v>
      </c>
      <c r="D844" s="79">
        <v>8200266</v>
      </c>
      <c r="E844" s="80" t="s">
        <v>263</v>
      </c>
      <c r="F844" s="80"/>
      <c r="G844" s="47" t="s">
        <v>1506</v>
      </c>
      <c r="H844" s="78" t="s">
        <v>1467</v>
      </c>
      <c r="I844" s="78">
        <v>1</v>
      </c>
      <c r="J844" s="78"/>
      <c r="K844" s="111">
        <v>48384</v>
      </c>
      <c r="L844" s="88">
        <f t="shared" si="99"/>
        <v>48384</v>
      </c>
      <c r="M844" s="173">
        <f t="shared" si="101"/>
        <v>4.8383999999999996E-3</v>
      </c>
      <c r="N844" s="88"/>
      <c r="O844" s="88"/>
      <c r="P844" s="165">
        <v>27.910791847041846</v>
      </c>
      <c r="Q844" s="169">
        <f t="shared" si="100"/>
        <v>1350435.7527272727</v>
      </c>
      <c r="R844" s="133">
        <f t="shared" si="102"/>
        <v>0.13504357527272726</v>
      </c>
      <c r="S844" s="79" t="s">
        <v>1498</v>
      </c>
      <c r="T844" s="50" t="s">
        <v>1473</v>
      </c>
      <c r="AA844"/>
    </row>
    <row r="845" spans="1:27" s="50" customFormat="1" ht="12.75" x14ac:dyDescent="0.2">
      <c r="A845" s="24" t="s">
        <v>1502</v>
      </c>
      <c r="B845" s="174">
        <v>44652</v>
      </c>
      <c r="C845" s="79">
        <v>2020</v>
      </c>
      <c r="D845" s="79">
        <v>8200266</v>
      </c>
      <c r="E845" s="80" t="s">
        <v>263</v>
      </c>
      <c r="F845" s="80"/>
      <c r="G845" s="47" t="s">
        <v>1506</v>
      </c>
      <c r="H845" s="78" t="s">
        <v>1468</v>
      </c>
      <c r="I845" s="78">
        <v>1</v>
      </c>
      <c r="J845" s="78"/>
      <c r="K845" s="111">
        <v>48384</v>
      </c>
      <c r="L845" s="88">
        <f t="shared" si="99"/>
        <v>48384</v>
      </c>
      <c r="M845" s="173">
        <f t="shared" si="101"/>
        <v>4.8383999999999996E-3</v>
      </c>
      <c r="N845" s="88"/>
      <c r="O845" s="88"/>
      <c r="P845" s="165">
        <v>27.910791847041846</v>
      </c>
      <c r="Q845" s="169">
        <f t="shared" si="100"/>
        <v>1350435.7527272727</v>
      </c>
      <c r="R845" s="133">
        <f t="shared" si="102"/>
        <v>0.13504357527272726</v>
      </c>
      <c r="S845" s="79" t="s">
        <v>1498</v>
      </c>
      <c r="T845" s="50" t="s">
        <v>1473</v>
      </c>
      <c r="AA845"/>
    </row>
    <row r="846" spans="1:27" s="50" customFormat="1" ht="12.75" x14ac:dyDescent="0.2">
      <c r="A846" s="24" t="s">
        <v>1502</v>
      </c>
      <c r="B846" s="174">
        <v>44652</v>
      </c>
      <c r="C846" s="79">
        <v>2030</v>
      </c>
      <c r="D846" s="79">
        <v>8201522</v>
      </c>
      <c r="E846" s="80" t="s">
        <v>1404</v>
      </c>
      <c r="F846" s="80"/>
      <c r="G846" s="29" t="s">
        <v>1507</v>
      </c>
      <c r="H846" s="78" t="s">
        <v>1447</v>
      </c>
      <c r="I846" s="78">
        <v>1</v>
      </c>
      <c r="J846" s="78"/>
      <c r="K846" s="111">
        <v>10000</v>
      </c>
      <c r="L846" s="88">
        <f t="shared" ref="L846:L852" si="103">K846*I846</f>
        <v>10000</v>
      </c>
      <c r="M846" s="173">
        <f t="shared" si="101"/>
        <v>1E-3</v>
      </c>
      <c r="N846" s="88"/>
      <c r="O846" s="88"/>
      <c r="P846" s="165">
        <v>126.64</v>
      </c>
      <c r="Q846" s="169">
        <f t="shared" si="100"/>
        <v>1266400</v>
      </c>
      <c r="R846" s="133">
        <f t="shared" si="102"/>
        <v>0.12664</v>
      </c>
      <c r="S846" s="79" t="s">
        <v>1498</v>
      </c>
      <c r="T846" s="50" t="s">
        <v>1473</v>
      </c>
      <c r="AA846"/>
    </row>
    <row r="847" spans="1:27" s="50" customFormat="1" ht="12.75" x14ac:dyDescent="0.2">
      <c r="A847" s="24" t="s">
        <v>1502</v>
      </c>
      <c r="B847" s="174">
        <v>44652</v>
      </c>
      <c r="C847" s="79">
        <v>2030</v>
      </c>
      <c r="D847" s="79">
        <v>8201522</v>
      </c>
      <c r="E847" s="80" t="s">
        <v>1404</v>
      </c>
      <c r="F847" s="80"/>
      <c r="G847" s="29" t="s">
        <v>1507</v>
      </c>
      <c r="H847" s="78" t="s">
        <v>1448</v>
      </c>
      <c r="I847" s="78">
        <v>1</v>
      </c>
      <c r="J847" s="78"/>
      <c r="K847" s="113">
        <v>10000</v>
      </c>
      <c r="L847" s="88">
        <f t="shared" si="103"/>
        <v>10000</v>
      </c>
      <c r="M847" s="173">
        <f t="shared" si="101"/>
        <v>1E-3</v>
      </c>
      <c r="N847" s="88"/>
      <c r="O847" s="88"/>
      <c r="P847" s="165">
        <v>126.64</v>
      </c>
      <c r="Q847" s="169">
        <f t="shared" si="100"/>
        <v>1266400</v>
      </c>
      <c r="R847" s="133">
        <f t="shared" si="102"/>
        <v>0.12664</v>
      </c>
      <c r="S847" s="79" t="s">
        <v>1498</v>
      </c>
      <c r="T847" s="50" t="s">
        <v>1473</v>
      </c>
      <c r="AA847"/>
    </row>
    <row r="848" spans="1:27" s="50" customFormat="1" ht="12.75" x14ac:dyDescent="0.2">
      <c r="A848" s="24" t="s">
        <v>1502</v>
      </c>
      <c r="B848" s="174">
        <v>44652</v>
      </c>
      <c r="C848" s="79">
        <v>2030</v>
      </c>
      <c r="D848" s="79">
        <v>8202606</v>
      </c>
      <c r="E848" s="80" t="s">
        <v>1405</v>
      </c>
      <c r="F848" s="80"/>
      <c r="G848" s="29" t="s">
        <v>1507</v>
      </c>
      <c r="H848" s="78" t="s">
        <v>1449</v>
      </c>
      <c r="I848" s="78">
        <v>1</v>
      </c>
      <c r="J848" s="78"/>
      <c r="K848" s="111">
        <v>9475</v>
      </c>
      <c r="L848" s="88">
        <f t="shared" si="103"/>
        <v>9475</v>
      </c>
      <c r="M848" s="173">
        <f t="shared" si="101"/>
        <v>9.4749999999999999E-4</v>
      </c>
      <c r="N848" s="88"/>
      <c r="O848" s="88"/>
      <c r="P848" s="165">
        <v>176.78532243618463</v>
      </c>
      <c r="Q848" s="169">
        <f t="shared" si="100"/>
        <v>1675040.9300828495</v>
      </c>
      <c r="R848" s="133">
        <f t="shared" si="102"/>
        <v>0.16750409300828495</v>
      </c>
      <c r="S848" s="79" t="s">
        <v>1498</v>
      </c>
      <c r="T848" s="50" t="s">
        <v>1473</v>
      </c>
      <c r="AA848"/>
    </row>
    <row r="849" spans="1:27" s="50" customFormat="1" ht="12.75" x14ac:dyDescent="0.2">
      <c r="A849" s="24" t="s">
        <v>1502</v>
      </c>
      <c r="B849" s="174">
        <v>44652</v>
      </c>
      <c r="C849" s="79">
        <v>2030</v>
      </c>
      <c r="D849" s="79">
        <v>8202606</v>
      </c>
      <c r="E849" s="80" t="s">
        <v>1405</v>
      </c>
      <c r="F849" s="80"/>
      <c r="G849" s="29" t="s">
        <v>1507</v>
      </c>
      <c r="H849" s="78" t="s">
        <v>1450</v>
      </c>
      <c r="I849" s="78">
        <v>1</v>
      </c>
      <c r="J849" s="78"/>
      <c r="K849" s="111">
        <v>6800</v>
      </c>
      <c r="L849" s="88">
        <f t="shared" si="103"/>
        <v>6800</v>
      </c>
      <c r="M849" s="173">
        <f t="shared" si="101"/>
        <v>6.8000000000000005E-4</v>
      </c>
      <c r="N849" s="88"/>
      <c r="O849" s="88"/>
      <c r="P849" s="165">
        <v>176.78532243618463</v>
      </c>
      <c r="Q849" s="169">
        <f t="shared" si="100"/>
        <v>1202140.1925660556</v>
      </c>
      <c r="R849" s="133">
        <f t="shared" si="102"/>
        <v>0.12021401925660556</v>
      </c>
      <c r="S849" s="79" t="s">
        <v>1498</v>
      </c>
      <c r="T849" s="50" t="s">
        <v>1473</v>
      </c>
      <c r="AA849"/>
    </row>
    <row r="850" spans="1:27" s="50" customFormat="1" ht="12.75" x14ac:dyDescent="0.2">
      <c r="A850" s="24" t="s">
        <v>1502</v>
      </c>
      <c r="B850" s="174">
        <v>44652</v>
      </c>
      <c r="C850" s="79">
        <v>2010</v>
      </c>
      <c r="D850" s="79">
        <v>8202605</v>
      </c>
      <c r="E850" s="80" t="s">
        <v>1406</v>
      </c>
      <c r="F850" s="80"/>
      <c r="G850" s="29" t="s">
        <v>1507</v>
      </c>
      <c r="H850" s="78" t="s">
        <v>343</v>
      </c>
      <c r="I850" s="78">
        <v>1</v>
      </c>
      <c r="J850" s="78"/>
      <c r="K850" s="113">
        <v>2971</v>
      </c>
      <c r="L850" s="88">
        <f t="shared" si="103"/>
        <v>2971</v>
      </c>
      <c r="M850" s="173">
        <f t="shared" si="101"/>
        <v>2.9710000000000001E-4</v>
      </c>
      <c r="N850" s="88"/>
      <c r="O850" s="88"/>
      <c r="P850" s="165">
        <v>0</v>
      </c>
      <c r="Q850" s="169">
        <f t="shared" si="100"/>
        <v>0</v>
      </c>
      <c r="R850" s="133">
        <f t="shared" si="102"/>
        <v>0</v>
      </c>
      <c r="S850" s="79" t="s">
        <v>1498</v>
      </c>
      <c r="T850" s="50" t="s">
        <v>1473</v>
      </c>
      <c r="AA850"/>
    </row>
    <row r="851" spans="1:27" s="50" customFormat="1" ht="12.75" x14ac:dyDescent="0.2">
      <c r="A851" s="24" t="s">
        <v>1502</v>
      </c>
      <c r="B851" s="174">
        <v>44652</v>
      </c>
      <c r="C851" s="79">
        <v>2010</v>
      </c>
      <c r="D851" s="79">
        <v>8202605</v>
      </c>
      <c r="E851" s="80" t="s">
        <v>1406</v>
      </c>
      <c r="F851" s="80"/>
      <c r="G851" s="29" t="s">
        <v>1507</v>
      </c>
      <c r="H851" s="78" t="s">
        <v>1451</v>
      </c>
      <c r="I851" s="78">
        <v>1</v>
      </c>
      <c r="J851" s="78"/>
      <c r="K851" s="111">
        <v>2939</v>
      </c>
      <c r="L851" s="88">
        <f t="shared" si="103"/>
        <v>2939</v>
      </c>
      <c r="M851" s="173">
        <f t="shared" si="101"/>
        <v>2.9389999999999999E-4</v>
      </c>
      <c r="N851" s="88"/>
      <c r="O851" s="88"/>
      <c r="P851" s="165">
        <v>0</v>
      </c>
      <c r="Q851" s="169">
        <f t="shared" si="100"/>
        <v>0</v>
      </c>
      <c r="R851" s="133">
        <f t="shared" si="102"/>
        <v>0</v>
      </c>
      <c r="S851" s="79" t="s">
        <v>1498</v>
      </c>
      <c r="T851" s="50" t="s">
        <v>1473</v>
      </c>
      <c r="AA851"/>
    </row>
    <row r="852" spans="1:27" s="50" customFormat="1" ht="12.75" x14ac:dyDescent="0.2">
      <c r="A852" s="24" t="s">
        <v>1502</v>
      </c>
      <c r="B852" s="174">
        <v>44652</v>
      </c>
      <c r="C852" s="79">
        <v>2010</v>
      </c>
      <c r="D852" s="79">
        <v>8202604</v>
      </c>
      <c r="E852" s="80" t="s">
        <v>339</v>
      </c>
      <c r="F852" s="80"/>
      <c r="G852" s="29" t="s">
        <v>1507</v>
      </c>
      <c r="H852" s="78" t="s">
        <v>1451</v>
      </c>
      <c r="I852" s="78">
        <v>1</v>
      </c>
      <c r="J852" s="78"/>
      <c r="K852" s="111">
        <v>3960</v>
      </c>
      <c r="L852" s="88">
        <f t="shared" si="103"/>
        <v>3960</v>
      </c>
      <c r="M852" s="173">
        <f t="shared" si="101"/>
        <v>3.9599999999999998E-4</v>
      </c>
      <c r="N852" s="88"/>
      <c r="O852" s="88"/>
      <c r="P852" s="165">
        <v>771.42928949691122</v>
      </c>
      <c r="Q852" s="169">
        <f t="shared" si="100"/>
        <v>3054859.9864077684</v>
      </c>
      <c r="R852" s="133">
        <f t="shared" si="102"/>
        <v>0.30548599864077686</v>
      </c>
      <c r="S852" s="79" t="s">
        <v>1498</v>
      </c>
      <c r="T852" s="50" t="s">
        <v>1473</v>
      </c>
      <c r="AA852"/>
    </row>
    <row r="853" spans="1:27" s="50" customFormat="1" ht="12.75" x14ac:dyDescent="0.2">
      <c r="A853" s="24" t="s">
        <v>1502</v>
      </c>
      <c r="B853" s="174">
        <v>44652</v>
      </c>
      <c r="C853" s="79">
        <v>2030</v>
      </c>
      <c r="D853" s="79">
        <v>8201621</v>
      </c>
      <c r="E853" s="80" t="s">
        <v>1385</v>
      </c>
      <c r="F853" s="80"/>
      <c r="G853" s="47" t="s">
        <v>264</v>
      </c>
      <c r="H853" s="78" t="s">
        <v>1415</v>
      </c>
      <c r="I853" s="78">
        <v>15</v>
      </c>
      <c r="J853" s="78"/>
      <c r="K853" s="113">
        <v>19360</v>
      </c>
      <c r="L853" s="88">
        <f t="shared" ref="L853:L877" si="104">K853*I853</f>
        <v>290400</v>
      </c>
      <c r="M853" s="173">
        <f t="shared" si="101"/>
        <v>2.904E-2</v>
      </c>
      <c r="N853" s="88"/>
      <c r="O853" s="88"/>
      <c r="P853" s="165">
        <v>70.710066833750929</v>
      </c>
      <c r="Q853" s="169">
        <f t="shared" si="100"/>
        <v>1368946.893901418</v>
      </c>
      <c r="R853" s="133">
        <f t="shared" si="102"/>
        <v>0.13689468939014179</v>
      </c>
      <c r="S853" s="79" t="s">
        <v>1498</v>
      </c>
      <c r="T853" s="50" t="s">
        <v>1473</v>
      </c>
      <c r="AA853"/>
    </row>
    <row r="854" spans="1:27" s="50" customFormat="1" ht="12.75" x14ac:dyDescent="0.2">
      <c r="A854" s="24" t="s">
        <v>1502</v>
      </c>
      <c r="B854" s="174">
        <v>44652</v>
      </c>
      <c r="C854" s="79">
        <v>2030</v>
      </c>
      <c r="D854" s="79">
        <v>8202001</v>
      </c>
      <c r="E854" s="80" t="s">
        <v>332</v>
      </c>
      <c r="F854" s="80"/>
      <c r="G854" s="47" t="s">
        <v>264</v>
      </c>
      <c r="H854" s="78" t="s">
        <v>1416</v>
      </c>
      <c r="I854" s="78">
        <v>10</v>
      </c>
      <c r="J854" s="78"/>
      <c r="K854" s="111">
        <v>19370</v>
      </c>
      <c r="L854" s="88">
        <f t="shared" si="104"/>
        <v>193700</v>
      </c>
      <c r="M854" s="173">
        <f t="shared" si="101"/>
        <v>1.9369999999999998E-2</v>
      </c>
      <c r="N854" s="88"/>
      <c r="O854" s="88"/>
      <c r="P854" s="165">
        <v>115.70966666666666</v>
      </c>
      <c r="Q854" s="169">
        <f t="shared" si="100"/>
        <v>2241296.2433333332</v>
      </c>
      <c r="R854" s="133">
        <f t="shared" si="102"/>
        <v>0.2241296243333333</v>
      </c>
      <c r="S854" s="79" t="s">
        <v>1498</v>
      </c>
      <c r="T854" s="50" t="s">
        <v>1473</v>
      </c>
      <c r="AA854"/>
    </row>
    <row r="855" spans="1:27" s="50" customFormat="1" ht="12.75" x14ac:dyDescent="0.2">
      <c r="A855" s="24" t="s">
        <v>1502</v>
      </c>
      <c r="B855" s="174">
        <v>44652</v>
      </c>
      <c r="C855" s="79">
        <v>2010</v>
      </c>
      <c r="D855" s="79">
        <v>8201251</v>
      </c>
      <c r="E855" s="80" t="s">
        <v>333</v>
      </c>
      <c r="F855" s="80"/>
      <c r="G855" s="47" t="s">
        <v>264</v>
      </c>
      <c r="H855" s="78" t="s">
        <v>1417</v>
      </c>
      <c r="I855" s="78">
        <v>15</v>
      </c>
      <c r="J855" s="78"/>
      <c r="K855" s="111">
        <v>20000</v>
      </c>
      <c r="L855" s="88">
        <f t="shared" si="104"/>
        <v>300000</v>
      </c>
      <c r="M855" s="173">
        <f t="shared" si="101"/>
        <v>0.03</v>
      </c>
      <c r="N855" s="88"/>
      <c r="O855" s="88"/>
      <c r="P855" s="165">
        <v>187.07007142857145</v>
      </c>
      <c r="Q855" s="169">
        <f t="shared" si="100"/>
        <v>3741401.4285714291</v>
      </c>
      <c r="R855" s="133">
        <f t="shared" si="102"/>
        <v>0.37414014285714292</v>
      </c>
      <c r="S855" s="79" t="s">
        <v>1498</v>
      </c>
      <c r="T855" s="50" t="s">
        <v>1473</v>
      </c>
      <c r="AA855"/>
    </row>
    <row r="856" spans="1:27" s="50" customFormat="1" ht="12.75" x14ac:dyDescent="0.2">
      <c r="A856" s="24" t="s">
        <v>1502</v>
      </c>
      <c r="B856" s="174">
        <v>44652</v>
      </c>
      <c r="C856" s="79">
        <v>2010</v>
      </c>
      <c r="D856" s="79">
        <v>8201252</v>
      </c>
      <c r="E856" s="80" t="s">
        <v>1386</v>
      </c>
      <c r="F856" s="80"/>
      <c r="G856" s="47" t="s">
        <v>264</v>
      </c>
      <c r="H856" s="78" t="s">
        <v>1418</v>
      </c>
      <c r="I856" s="78">
        <v>15</v>
      </c>
      <c r="J856" s="78"/>
      <c r="K856" s="113">
        <v>20000</v>
      </c>
      <c r="L856" s="88">
        <f t="shared" si="104"/>
        <v>300000</v>
      </c>
      <c r="M856" s="173">
        <f t="shared" si="101"/>
        <v>0.03</v>
      </c>
      <c r="N856" s="88"/>
      <c r="O856" s="88"/>
      <c r="P856" s="165">
        <v>236.13996173913048</v>
      </c>
      <c r="Q856" s="169">
        <f t="shared" si="100"/>
        <v>4722799.2347826101</v>
      </c>
      <c r="R856" s="133">
        <f t="shared" si="102"/>
        <v>0.47227992347826103</v>
      </c>
      <c r="S856" s="79" t="s">
        <v>1498</v>
      </c>
      <c r="T856" s="50" t="s">
        <v>1473</v>
      </c>
      <c r="AA856"/>
    </row>
    <row r="857" spans="1:27" s="50" customFormat="1" ht="12.75" x14ac:dyDescent="0.2">
      <c r="A857" s="24" t="s">
        <v>1502</v>
      </c>
      <c r="B857" s="174">
        <v>44652</v>
      </c>
      <c r="C857" s="79">
        <v>2010</v>
      </c>
      <c r="D857" s="79">
        <v>8201940</v>
      </c>
      <c r="E857" s="80" t="s">
        <v>334</v>
      </c>
      <c r="F857" s="80"/>
      <c r="G857" s="47" t="s">
        <v>264</v>
      </c>
      <c r="H857" s="78" t="s">
        <v>1419</v>
      </c>
      <c r="I857" s="78">
        <v>10</v>
      </c>
      <c r="J857" s="78"/>
      <c r="K857" s="111">
        <v>29980</v>
      </c>
      <c r="L857" s="88">
        <f t="shared" si="104"/>
        <v>299800</v>
      </c>
      <c r="M857" s="173">
        <f t="shared" si="101"/>
        <v>2.998E-2</v>
      </c>
      <c r="N857" s="88"/>
      <c r="O857" s="88"/>
      <c r="P857" s="165">
        <v>106.07016666666665</v>
      </c>
      <c r="Q857" s="169">
        <f t="shared" si="100"/>
        <v>3179983.5966666662</v>
      </c>
      <c r="R857" s="133">
        <f t="shared" si="102"/>
        <v>0.31799835966666662</v>
      </c>
      <c r="S857" s="79" t="s">
        <v>1498</v>
      </c>
      <c r="T857" s="50" t="s">
        <v>1473</v>
      </c>
      <c r="AA857"/>
    </row>
    <row r="858" spans="1:27" s="50" customFormat="1" ht="12.75" x14ac:dyDescent="0.2">
      <c r="A858" s="24" t="s">
        <v>1502</v>
      </c>
      <c r="B858" s="174">
        <v>44652</v>
      </c>
      <c r="C858" s="79">
        <v>2010</v>
      </c>
      <c r="D858" s="79">
        <v>8200653</v>
      </c>
      <c r="E858" s="80" t="s">
        <v>1387</v>
      </c>
      <c r="F858" s="80"/>
      <c r="G858" s="47" t="s">
        <v>264</v>
      </c>
      <c r="H858" s="78" t="s">
        <v>1420</v>
      </c>
      <c r="I858" s="78">
        <v>15</v>
      </c>
      <c r="J858" s="78"/>
      <c r="K858" s="111">
        <v>25460</v>
      </c>
      <c r="L858" s="88">
        <f t="shared" si="104"/>
        <v>381900</v>
      </c>
      <c r="M858" s="173">
        <f t="shared" si="101"/>
        <v>3.8190000000000002E-2</v>
      </c>
      <c r="N858" s="88"/>
      <c r="O858" s="88"/>
      <c r="P858" s="165">
        <v>165.21246153846153</v>
      </c>
      <c r="Q858" s="169">
        <f t="shared" si="100"/>
        <v>4206309.2707692301</v>
      </c>
      <c r="R858" s="133">
        <f t="shared" si="102"/>
        <v>0.42063092707692301</v>
      </c>
      <c r="S858" s="79" t="s">
        <v>1498</v>
      </c>
      <c r="T858" s="50" t="s">
        <v>1473</v>
      </c>
      <c r="AA858"/>
    </row>
    <row r="859" spans="1:27" s="50" customFormat="1" ht="12.75" x14ac:dyDescent="0.2">
      <c r="A859" s="24" t="s">
        <v>1502</v>
      </c>
      <c r="B859" s="174">
        <v>44652</v>
      </c>
      <c r="C859" s="79">
        <v>2010</v>
      </c>
      <c r="D859" s="79">
        <v>8201751</v>
      </c>
      <c r="E859" s="80" t="s">
        <v>255</v>
      </c>
      <c r="F859" s="80"/>
      <c r="G859" s="47" t="s">
        <v>264</v>
      </c>
      <c r="H859" s="78" t="s">
        <v>1421</v>
      </c>
      <c r="I859" s="78">
        <v>20</v>
      </c>
      <c r="J859" s="78"/>
      <c r="K859" s="111">
        <v>9900</v>
      </c>
      <c r="L859" s="88">
        <f t="shared" si="104"/>
        <v>198000</v>
      </c>
      <c r="M859" s="173">
        <f t="shared" si="101"/>
        <v>1.9800000000000002E-2</v>
      </c>
      <c r="N859" s="88"/>
      <c r="O859" s="88"/>
      <c r="P859" s="165">
        <v>169.70949999999999</v>
      </c>
      <c r="Q859" s="169">
        <f t="shared" si="100"/>
        <v>1680124.0499999998</v>
      </c>
      <c r="R859" s="133">
        <f t="shared" si="102"/>
        <v>0.16801240499999998</v>
      </c>
      <c r="S859" s="79" t="s">
        <v>1498</v>
      </c>
      <c r="T859" s="50" t="s">
        <v>1473</v>
      </c>
      <c r="AA859"/>
    </row>
    <row r="860" spans="1:27" s="50" customFormat="1" ht="12.75" x14ac:dyDescent="0.2">
      <c r="A860" s="24" t="s">
        <v>1502</v>
      </c>
      <c r="B860" s="174">
        <v>44652</v>
      </c>
      <c r="C860" s="79">
        <v>2010</v>
      </c>
      <c r="D860" s="79">
        <v>8201752</v>
      </c>
      <c r="E860" s="80" t="s">
        <v>256</v>
      </c>
      <c r="F860" s="80"/>
      <c r="G860" s="47" t="s">
        <v>264</v>
      </c>
      <c r="H860" s="78" t="s">
        <v>1422</v>
      </c>
      <c r="I860" s="78">
        <v>20</v>
      </c>
      <c r="J860" s="78"/>
      <c r="K860" s="111">
        <v>9900</v>
      </c>
      <c r="L860" s="88">
        <f t="shared" si="104"/>
        <v>198000</v>
      </c>
      <c r="M860" s="173">
        <f t="shared" si="101"/>
        <v>1.9800000000000002E-2</v>
      </c>
      <c r="N860" s="88"/>
      <c r="O860" s="88"/>
      <c r="P860" s="165">
        <v>201.22</v>
      </c>
      <c r="Q860" s="169">
        <f t="shared" si="100"/>
        <v>1992078</v>
      </c>
      <c r="R860" s="133">
        <f t="shared" si="102"/>
        <v>0.19920779999999999</v>
      </c>
      <c r="S860" s="79" t="s">
        <v>1498</v>
      </c>
      <c r="T860" s="50" t="s">
        <v>1473</v>
      </c>
      <c r="AA860"/>
    </row>
    <row r="861" spans="1:27" s="50" customFormat="1" ht="12.75" x14ac:dyDescent="0.2">
      <c r="A861" s="24" t="s">
        <v>1502</v>
      </c>
      <c r="B861" s="174">
        <v>44652</v>
      </c>
      <c r="C861" s="79">
        <v>2030</v>
      </c>
      <c r="D861" s="79">
        <v>8202536</v>
      </c>
      <c r="E861" s="80" t="s">
        <v>1388</v>
      </c>
      <c r="F861" s="80"/>
      <c r="G861" s="47" t="s">
        <v>264</v>
      </c>
      <c r="H861" s="78" t="s">
        <v>1423</v>
      </c>
      <c r="I861" s="78">
        <v>15</v>
      </c>
      <c r="J861" s="78"/>
      <c r="K861" s="111">
        <v>6470</v>
      </c>
      <c r="L861" s="88">
        <f t="shared" si="104"/>
        <v>97050</v>
      </c>
      <c r="M861" s="173">
        <f t="shared" si="101"/>
        <v>9.7050000000000001E-3</v>
      </c>
      <c r="N861" s="88"/>
      <c r="O861" s="88"/>
      <c r="P861" s="165">
        <v>101.2499442119944</v>
      </c>
      <c r="Q861" s="169">
        <f t="shared" si="100"/>
        <v>655087.13905160374</v>
      </c>
      <c r="R861" s="133">
        <f t="shared" si="102"/>
        <v>6.5508713905160373E-2</v>
      </c>
      <c r="S861" s="79" t="s">
        <v>1498</v>
      </c>
      <c r="T861" s="50" t="s">
        <v>1473</v>
      </c>
      <c r="AA861"/>
    </row>
    <row r="862" spans="1:27" s="50" customFormat="1" ht="12.75" x14ac:dyDescent="0.2">
      <c r="A862" s="24" t="s">
        <v>1502</v>
      </c>
      <c r="B862" s="174">
        <v>44652</v>
      </c>
      <c r="C862" s="79">
        <v>2030</v>
      </c>
      <c r="D862" s="79">
        <v>8202537</v>
      </c>
      <c r="E862" s="80" t="s">
        <v>1389</v>
      </c>
      <c r="F862" s="80"/>
      <c r="G862" s="47" t="s">
        <v>264</v>
      </c>
      <c r="H862" s="78" t="s">
        <v>1424</v>
      </c>
      <c r="I862" s="78">
        <v>15</v>
      </c>
      <c r="J862" s="78"/>
      <c r="K862" s="111">
        <v>6640</v>
      </c>
      <c r="L862" s="88">
        <f t="shared" si="104"/>
        <v>99600</v>
      </c>
      <c r="M862" s="173">
        <f t="shared" si="101"/>
        <v>9.9600000000000001E-3</v>
      </c>
      <c r="N862" s="88"/>
      <c r="O862" s="88"/>
      <c r="P862" s="165">
        <v>130.17989108910896</v>
      </c>
      <c r="Q862" s="169">
        <f t="shared" si="100"/>
        <v>864394.47683168354</v>
      </c>
      <c r="R862" s="133">
        <f t="shared" si="102"/>
        <v>8.6439447683168358E-2</v>
      </c>
      <c r="S862" s="79" t="s">
        <v>1498</v>
      </c>
      <c r="T862" s="50" t="s">
        <v>1473</v>
      </c>
      <c r="AA862"/>
    </row>
    <row r="863" spans="1:27" s="50" customFormat="1" ht="12.75" x14ac:dyDescent="0.2">
      <c r="A863" s="24" t="s">
        <v>1502</v>
      </c>
      <c r="B863" s="174">
        <v>44652</v>
      </c>
      <c r="C863" s="79">
        <v>2030</v>
      </c>
      <c r="D863" s="79">
        <v>8202530</v>
      </c>
      <c r="E863" s="80" t="s">
        <v>1390</v>
      </c>
      <c r="F863" s="80"/>
      <c r="G863" s="47" t="s">
        <v>264</v>
      </c>
      <c r="H863" s="78" t="s">
        <v>1425</v>
      </c>
      <c r="I863" s="78">
        <v>15</v>
      </c>
      <c r="J863" s="78"/>
      <c r="K863" s="111">
        <v>6570</v>
      </c>
      <c r="L863" s="88">
        <f t="shared" si="104"/>
        <v>98550</v>
      </c>
      <c r="M863" s="173">
        <f t="shared" si="101"/>
        <v>9.8549999999999992E-3</v>
      </c>
      <c r="N863" s="88"/>
      <c r="O863" s="88"/>
      <c r="P863" s="165">
        <v>144.64003370786514</v>
      </c>
      <c r="Q863" s="169">
        <f t="shared" si="100"/>
        <v>950285.021460674</v>
      </c>
      <c r="R863" s="133">
        <f t="shared" si="102"/>
        <v>9.5028502146067395E-2</v>
      </c>
      <c r="S863" s="79" t="s">
        <v>1498</v>
      </c>
      <c r="T863" s="50" t="s">
        <v>1473</v>
      </c>
      <c r="AA863"/>
    </row>
    <row r="864" spans="1:27" s="50" customFormat="1" ht="12.75" x14ac:dyDescent="0.2">
      <c r="A864" s="24" t="s">
        <v>1502</v>
      </c>
      <c r="B864" s="174">
        <v>44652</v>
      </c>
      <c r="C864" s="79">
        <v>2030</v>
      </c>
      <c r="D864" s="79">
        <v>8202531</v>
      </c>
      <c r="E864" s="80" t="s">
        <v>335</v>
      </c>
      <c r="F864" s="80"/>
      <c r="G864" s="47" t="s">
        <v>264</v>
      </c>
      <c r="H864" s="78" t="s">
        <v>1426</v>
      </c>
      <c r="I864" s="78">
        <v>15</v>
      </c>
      <c r="J864" s="78"/>
      <c r="K864" s="111">
        <v>6680</v>
      </c>
      <c r="L864" s="88">
        <f t="shared" si="104"/>
        <v>100200</v>
      </c>
      <c r="M864" s="173">
        <f t="shared" si="101"/>
        <v>1.0019999999999999E-2</v>
      </c>
      <c r="N864" s="88"/>
      <c r="O864" s="88"/>
      <c r="P864" s="165">
        <v>188.0403015873016</v>
      </c>
      <c r="Q864" s="169">
        <f t="shared" si="100"/>
        <v>1256109.2146031747</v>
      </c>
      <c r="R864" s="133">
        <f t="shared" si="102"/>
        <v>0.12561092146031747</v>
      </c>
      <c r="S864" s="79" t="s">
        <v>1498</v>
      </c>
      <c r="T864" s="50" t="s">
        <v>1473</v>
      </c>
      <c r="AA864"/>
    </row>
    <row r="865" spans="1:27" s="50" customFormat="1" ht="12.75" x14ac:dyDescent="0.2">
      <c r="A865" s="24" t="s">
        <v>1502</v>
      </c>
      <c r="B865" s="174">
        <v>44652</v>
      </c>
      <c r="C865" s="79">
        <v>2030</v>
      </c>
      <c r="D865" s="79">
        <v>8202539</v>
      </c>
      <c r="E865" s="80" t="s">
        <v>1391</v>
      </c>
      <c r="F865" s="80"/>
      <c r="G865" s="47" t="s">
        <v>264</v>
      </c>
      <c r="H865" s="78" t="s">
        <v>342</v>
      </c>
      <c r="I865" s="78">
        <v>2</v>
      </c>
      <c r="J865" s="78"/>
      <c r="K865" s="111">
        <v>19960</v>
      </c>
      <c r="L865" s="88">
        <f t="shared" si="104"/>
        <v>39920</v>
      </c>
      <c r="M865" s="173">
        <f t="shared" si="101"/>
        <v>3.9919999999999999E-3</v>
      </c>
      <c r="N865" s="88"/>
      <c r="O865" s="88"/>
      <c r="P865" s="165">
        <v>0</v>
      </c>
      <c r="Q865" s="169">
        <f t="shared" si="100"/>
        <v>0</v>
      </c>
      <c r="R865" s="133">
        <f t="shared" si="102"/>
        <v>0</v>
      </c>
      <c r="S865" s="79" t="s">
        <v>1498</v>
      </c>
      <c r="T865" s="50" t="s">
        <v>1473</v>
      </c>
      <c r="AA865"/>
    </row>
    <row r="866" spans="1:27" s="50" customFormat="1" ht="12.75" x14ac:dyDescent="0.2">
      <c r="A866" s="24" t="s">
        <v>1502</v>
      </c>
      <c r="B866" s="174">
        <v>44652</v>
      </c>
      <c r="C866" s="79">
        <v>2010</v>
      </c>
      <c r="D866" s="79">
        <v>8200896</v>
      </c>
      <c r="E866" s="80" t="s">
        <v>336</v>
      </c>
      <c r="F866" s="80"/>
      <c r="G866" s="47" t="s">
        <v>264</v>
      </c>
      <c r="H866" s="78" t="s">
        <v>1427</v>
      </c>
      <c r="I866" s="78">
        <v>15</v>
      </c>
      <c r="J866" s="78"/>
      <c r="K866" s="111">
        <v>38880</v>
      </c>
      <c r="L866" s="88">
        <f t="shared" si="104"/>
        <v>583200</v>
      </c>
      <c r="M866" s="173">
        <f t="shared" si="101"/>
        <v>5.8319999999999997E-2</v>
      </c>
      <c r="N866" s="88"/>
      <c r="O866" s="88"/>
      <c r="P866" s="165">
        <v>196.07038461538465</v>
      </c>
      <c r="Q866" s="169">
        <f t="shared" si="100"/>
        <v>7623216.5538461553</v>
      </c>
      <c r="R866" s="133">
        <f t="shared" si="102"/>
        <v>0.76232165538461549</v>
      </c>
      <c r="S866" s="79" t="s">
        <v>1498</v>
      </c>
      <c r="T866" s="50" t="s">
        <v>1473</v>
      </c>
      <c r="AA866"/>
    </row>
    <row r="867" spans="1:27" s="50" customFormat="1" ht="12.75" x14ac:dyDescent="0.2">
      <c r="A867" s="24" t="s">
        <v>1502</v>
      </c>
      <c r="B867" s="174">
        <v>44652</v>
      </c>
      <c r="C867" s="79">
        <v>2010</v>
      </c>
      <c r="D867" s="79">
        <v>8201391</v>
      </c>
      <c r="E867" s="80" t="s">
        <v>257</v>
      </c>
      <c r="F867" s="80"/>
      <c r="G867" s="47" t="s">
        <v>264</v>
      </c>
      <c r="H867" s="78" t="s">
        <v>1428</v>
      </c>
      <c r="I867" s="78">
        <v>15</v>
      </c>
      <c r="J867" s="78"/>
      <c r="K867" s="113">
        <v>12800</v>
      </c>
      <c r="L867" s="88">
        <f t="shared" si="104"/>
        <v>192000</v>
      </c>
      <c r="M867" s="173">
        <f t="shared" si="101"/>
        <v>1.9199999999999998E-2</v>
      </c>
      <c r="N867" s="88"/>
      <c r="O867" s="88"/>
      <c r="P867" s="165">
        <v>160.71014285714284</v>
      </c>
      <c r="Q867" s="169">
        <f t="shared" si="100"/>
        <v>2057089.8285714283</v>
      </c>
      <c r="R867" s="133">
        <f t="shared" si="102"/>
        <v>0.20570898285714284</v>
      </c>
      <c r="S867" s="79" t="s">
        <v>1498</v>
      </c>
      <c r="T867" s="50" t="s">
        <v>1473</v>
      </c>
      <c r="AA867"/>
    </row>
    <row r="868" spans="1:27" s="50" customFormat="1" ht="12.75" x14ac:dyDescent="0.2">
      <c r="A868" s="24" t="s">
        <v>1502</v>
      </c>
      <c r="B868" s="174">
        <v>44652</v>
      </c>
      <c r="C868" s="79">
        <v>2010</v>
      </c>
      <c r="D868" s="79">
        <v>8200564</v>
      </c>
      <c r="E868" s="80" t="s">
        <v>337</v>
      </c>
      <c r="F868" s="80"/>
      <c r="G868" s="47" t="s">
        <v>264</v>
      </c>
      <c r="H868" s="79">
        <v>22186002</v>
      </c>
      <c r="I868" s="78">
        <v>15</v>
      </c>
      <c r="J868" s="78"/>
      <c r="K868" s="113">
        <v>29450</v>
      </c>
      <c r="L868" s="88">
        <f t="shared" si="104"/>
        <v>441750</v>
      </c>
      <c r="M868" s="173">
        <f t="shared" si="101"/>
        <v>4.4174999999999999E-2</v>
      </c>
      <c r="N868" s="88"/>
      <c r="O868" s="88"/>
      <c r="P868" s="165">
        <v>192.21051771117166</v>
      </c>
      <c r="Q868" s="169">
        <f t="shared" si="100"/>
        <v>5660599.7465940053</v>
      </c>
      <c r="R868" s="133">
        <f t="shared" si="102"/>
        <v>0.5660599746594005</v>
      </c>
      <c r="S868" s="79" t="s">
        <v>1498</v>
      </c>
      <c r="T868" s="50" t="s">
        <v>1473</v>
      </c>
      <c r="AA868"/>
    </row>
    <row r="869" spans="1:27" s="50" customFormat="1" ht="12.75" x14ac:dyDescent="0.2">
      <c r="A869" s="24" t="s">
        <v>1502</v>
      </c>
      <c r="B869" s="174">
        <v>44652</v>
      </c>
      <c r="C869" s="79">
        <v>2010</v>
      </c>
      <c r="D869" s="79">
        <v>8202640</v>
      </c>
      <c r="E869" s="80" t="s">
        <v>1392</v>
      </c>
      <c r="F869" s="80"/>
      <c r="G869" s="47" t="s">
        <v>264</v>
      </c>
      <c r="H869" s="78" t="s">
        <v>1429</v>
      </c>
      <c r="I869" s="78">
        <v>10</v>
      </c>
      <c r="J869" s="78"/>
      <c r="K869" s="113">
        <v>34500</v>
      </c>
      <c r="L869" s="88">
        <f t="shared" si="104"/>
        <v>345000</v>
      </c>
      <c r="M869" s="173">
        <f t="shared" si="101"/>
        <v>3.4500000000000003E-2</v>
      </c>
      <c r="N869" s="88"/>
      <c r="O869" s="88"/>
      <c r="P869" s="165">
        <v>135.00749999999999</v>
      </c>
      <c r="Q869" s="169">
        <f t="shared" si="100"/>
        <v>4657758.75</v>
      </c>
      <c r="R869" s="133">
        <f t="shared" si="102"/>
        <v>0.46577587500000001</v>
      </c>
      <c r="S869" s="79" t="s">
        <v>1498</v>
      </c>
      <c r="T869" s="50" t="s">
        <v>1473</v>
      </c>
      <c r="AA869"/>
    </row>
    <row r="870" spans="1:27" s="50" customFormat="1" ht="12.75" x14ac:dyDescent="0.2">
      <c r="A870" s="24" t="s">
        <v>1502</v>
      </c>
      <c r="B870" s="174">
        <v>44652</v>
      </c>
      <c r="C870" s="79">
        <v>2030</v>
      </c>
      <c r="D870" s="79">
        <v>8201930</v>
      </c>
      <c r="E870" s="80" t="s">
        <v>338</v>
      </c>
      <c r="F870" s="80"/>
      <c r="G870" s="47" t="s">
        <v>264</v>
      </c>
      <c r="H870" s="78" t="s">
        <v>1430</v>
      </c>
      <c r="I870" s="78">
        <v>15</v>
      </c>
      <c r="J870" s="78"/>
      <c r="K870" s="113">
        <v>19600</v>
      </c>
      <c r="L870" s="88">
        <f t="shared" si="104"/>
        <v>294000</v>
      </c>
      <c r="M870" s="173">
        <f t="shared" si="101"/>
        <v>2.9399999999999999E-2</v>
      </c>
      <c r="N870" s="88"/>
      <c r="O870" s="88"/>
      <c r="P870" s="165">
        <v>106.07000000000001</v>
      </c>
      <c r="Q870" s="169">
        <f t="shared" si="100"/>
        <v>2078972.0000000002</v>
      </c>
      <c r="R870" s="133">
        <f t="shared" si="102"/>
        <v>0.20789720000000003</v>
      </c>
      <c r="S870" s="79" t="s">
        <v>1498</v>
      </c>
      <c r="T870" s="50" t="s">
        <v>1473</v>
      </c>
      <c r="AA870"/>
    </row>
    <row r="871" spans="1:27" s="50" customFormat="1" ht="12.75" x14ac:dyDescent="0.2">
      <c r="A871" s="24" t="s">
        <v>1502</v>
      </c>
      <c r="B871" s="174">
        <v>44652</v>
      </c>
      <c r="C871" s="79">
        <v>2030</v>
      </c>
      <c r="D871" s="79">
        <v>8200828</v>
      </c>
      <c r="E871" s="80" t="s">
        <v>1393</v>
      </c>
      <c r="F871" s="80"/>
      <c r="G871" s="47" t="s">
        <v>264</v>
      </c>
      <c r="H871" s="78" t="s">
        <v>1431</v>
      </c>
      <c r="I871" s="78">
        <v>10</v>
      </c>
      <c r="J871" s="78"/>
      <c r="K871" s="111">
        <v>38990</v>
      </c>
      <c r="L871" s="88">
        <f t="shared" si="104"/>
        <v>389900</v>
      </c>
      <c r="M871" s="173">
        <f t="shared" si="101"/>
        <v>3.8989999999999997E-2</v>
      </c>
      <c r="N871" s="88"/>
      <c r="O871" s="88"/>
      <c r="P871" s="165">
        <v>84.547250000000005</v>
      </c>
      <c r="Q871" s="169">
        <f t="shared" si="100"/>
        <v>3296497.2775000003</v>
      </c>
      <c r="R871" s="133">
        <f t="shared" si="102"/>
        <v>0.32964972775000001</v>
      </c>
      <c r="S871" s="79" t="s">
        <v>1498</v>
      </c>
      <c r="T871" s="50" t="s">
        <v>1473</v>
      </c>
      <c r="AA871"/>
    </row>
    <row r="872" spans="1:27" s="50" customFormat="1" ht="12.75" x14ac:dyDescent="0.2">
      <c r="A872" s="24" t="s">
        <v>1502</v>
      </c>
      <c r="B872" s="174">
        <v>44652</v>
      </c>
      <c r="C872" s="79">
        <v>2030</v>
      </c>
      <c r="D872" s="79">
        <v>8200828</v>
      </c>
      <c r="E872" s="80" t="s">
        <v>1393</v>
      </c>
      <c r="F872" s="80"/>
      <c r="G872" s="47" t="s">
        <v>264</v>
      </c>
      <c r="H872" s="78" t="s">
        <v>1432</v>
      </c>
      <c r="I872" s="78">
        <v>10</v>
      </c>
      <c r="J872" s="78"/>
      <c r="K872" s="111">
        <v>39200</v>
      </c>
      <c r="L872" s="88">
        <f t="shared" si="104"/>
        <v>392000</v>
      </c>
      <c r="M872" s="173">
        <f t="shared" si="101"/>
        <v>3.9199999999999999E-2</v>
      </c>
      <c r="N872" s="88"/>
      <c r="O872" s="88"/>
      <c r="P872" s="165">
        <v>84.547250000000005</v>
      </c>
      <c r="Q872" s="169">
        <f t="shared" si="100"/>
        <v>3314252.2</v>
      </c>
      <c r="R872" s="133">
        <f t="shared" si="102"/>
        <v>0.33142522000000002</v>
      </c>
      <c r="S872" s="79" t="s">
        <v>1498</v>
      </c>
      <c r="T872" s="50" t="s">
        <v>1473</v>
      </c>
      <c r="AA872"/>
    </row>
    <row r="873" spans="1:27" s="50" customFormat="1" ht="12.75" x14ac:dyDescent="0.2">
      <c r="A873" s="24" t="s">
        <v>1502</v>
      </c>
      <c r="B873" s="174">
        <v>44652</v>
      </c>
      <c r="C873" s="79">
        <v>2030</v>
      </c>
      <c r="D873" s="79">
        <v>8200828</v>
      </c>
      <c r="E873" s="80" t="s">
        <v>1393</v>
      </c>
      <c r="F873" s="80"/>
      <c r="G873" s="47" t="s">
        <v>264</v>
      </c>
      <c r="H873" s="78" t="s">
        <v>1433</v>
      </c>
      <c r="I873" s="78">
        <v>10</v>
      </c>
      <c r="J873" s="78"/>
      <c r="K873" s="111">
        <v>38760</v>
      </c>
      <c r="L873" s="88">
        <f t="shared" si="104"/>
        <v>387600</v>
      </c>
      <c r="M873" s="173">
        <f t="shared" si="101"/>
        <v>3.8760000000000003E-2</v>
      </c>
      <c r="N873" s="88"/>
      <c r="O873" s="88"/>
      <c r="P873" s="165">
        <v>84.547250000000005</v>
      </c>
      <c r="Q873" s="169">
        <f t="shared" si="100"/>
        <v>3277051.41</v>
      </c>
      <c r="R873" s="133">
        <f t="shared" si="102"/>
        <v>0.32770514100000003</v>
      </c>
      <c r="S873" s="79" t="s">
        <v>1498</v>
      </c>
      <c r="T873" s="50" t="s">
        <v>1473</v>
      </c>
      <c r="AA873"/>
    </row>
    <row r="874" spans="1:27" s="50" customFormat="1" ht="12.75" x14ac:dyDescent="0.2">
      <c r="A874" s="24" t="s">
        <v>1502</v>
      </c>
      <c r="B874" s="174">
        <v>44652</v>
      </c>
      <c r="C874" s="79">
        <v>2020</v>
      </c>
      <c r="D874" s="79">
        <v>8200265</v>
      </c>
      <c r="E874" s="80" t="s">
        <v>1410</v>
      </c>
      <c r="F874" s="80"/>
      <c r="G874" s="47" t="s">
        <v>264</v>
      </c>
      <c r="H874" s="79" t="s">
        <v>1458</v>
      </c>
      <c r="I874" s="78">
        <v>8</v>
      </c>
      <c r="J874" s="78"/>
      <c r="K874" s="111">
        <v>19630</v>
      </c>
      <c r="L874" s="88">
        <f t="shared" si="104"/>
        <v>157040</v>
      </c>
      <c r="M874" s="173">
        <f t="shared" si="101"/>
        <v>1.5703999999999999E-2</v>
      </c>
      <c r="N874" s="88"/>
      <c r="O874" s="88"/>
      <c r="P874" s="165">
        <v>125.18114895833334</v>
      </c>
      <c r="Q874" s="169">
        <f t="shared" si="100"/>
        <v>2457305.9540520837</v>
      </c>
      <c r="R874" s="133">
        <f t="shared" si="102"/>
        <v>0.24573059540520836</v>
      </c>
      <c r="S874" s="79" t="s">
        <v>1498</v>
      </c>
      <c r="T874" s="50" t="s">
        <v>1473</v>
      </c>
      <c r="AA874"/>
    </row>
    <row r="875" spans="1:27" s="50" customFormat="1" ht="12.75" x14ac:dyDescent="0.2">
      <c r="A875" s="24" t="s">
        <v>1502</v>
      </c>
      <c r="B875" s="174">
        <v>44652</v>
      </c>
      <c r="C875" s="79">
        <v>2020</v>
      </c>
      <c r="D875" s="79">
        <v>8200264</v>
      </c>
      <c r="E875" s="80" t="s">
        <v>1411</v>
      </c>
      <c r="F875" s="80"/>
      <c r="G875" s="47" t="s">
        <v>264</v>
      </c>
      <c r="H875" s="78" t="s">
        <v>1459</v>
      </c>
      <c r="I875" s="78">
        <v>7</v>
      </c>
      <c r="J875" s="78"/>
      <c r="K875" s="111">
        <v>14220</v>
      </c>
      <c r="L875" s="88">
        <f t="shared" si="104"/>
        <v>99540</v>
      </c>
      <c r="M875" s="173">
        <f t="shared" si="101"/>
        <v>9.9539999999999993E-3</v>
      </c>
      <c r="N875" s="88"/>
      <c r="O875" s="88"/>
      <c r="P875" s="165">
        <v>170.73887500000001</v>
      </c>
      <c r="Q875" s="169">
        <f t="shared" si="100"/>
        <v>2427906.8025000002</v>
      </c>
      <c r="R875" s="133">
        <f t="shared" si="102"/>
        <v>0.24279068025000003</v>
      </c>
      <c r="S875" s="79" t="s">
        <v>1498</v>
      </c>
      <c r="T875" s="50" t="s">
        <v>1473</v>
      </c>
      <c r="AA875"/>
    </row>
    <row r="876" spans="1:27" s="50" customFormat="1" ht="12.75" x14ac:dyDescent="0.2">
      <c r="A876" s="24" t="s">
        <v>1502</v>
      </c>
      <c r="B876" s="174">
        <v>44652</v>
      </c>
      <c r="C876" s="79">
        <v>2020</v>
      </c>
      <c r="D876" s="79">
        <v>8200264</v>
      </c>
      <c r="E876" s="80" t="s">
        <v>1411</v>
      </c>
      <c r="F876" s="80"/>
      <c r="G876" s="47" t="s">
        <v>264</v>
      </c>
      <c r="H876" s="78" t="s">
        <v>1460</v>
      </c>
      <c r="I876" s="78">
        <v>7</v>
      </c>
      <c r="J876" s="78"/>
      <c r="K876" s="111">
        <v>10690</v>
      </c>
      <c r="L876" s="88">
        <f t="shared" si="104"/>
        <v>74830</v>
      </c>
      <c r="M876" s="173">
        <f t="shared" si="101"/>
        <v>7.4830000000000001E-3</v>
      </c>
      <c r="N876" s="88"/>
      <c r="O876" s="88"/>
      <c r="P876" s="165">
        <v>170.73887500000001</v>
      </c>
      <c r="Q876" s="169">
        <f t="shared" si="100"/>
        <v>1825198.57375</v>
      </c>
      <c r="R876" s="133">
        <f t="shared" si="102"/>
        <v>0.18251985737500001</v>
      </c>
      <c r="S876" s="79" t="s">
        <v>1498</v>
      </c>
      <c r="T876" s="50" t="s">
        <v>1473</v>
      </c>
      <c r="AA876"/>
    </row>
    <row r="877" spans="1:27" s="50" customFormat="1" ht="12.75" x14ac:dyDescent="0.2">
      <c r="A877" s="24" t="s">
        <v>1502</v>
      </c>
      <c r="B877" s="174">
        <v>44652</v>
      </c>
      <c r="C877" s="79">
        <v>2020</v>
      </c>
      <c r="D877" s="79">
        <v>8200252</v>
      </c>
      <c r="E877" s="80" t="s">
        <v>261</v>
      </c>
      <c r="F877" s="80"/>
      <c r="G877" s="47" t="s">
        <v>264</v>
      </c>
      <c r="H877" s="78" t="s">
        <v>1461</v>
      </c>
      <c r="I877" s="78">
        <v>10</v>
      </c>
      <c r="J877" s="78"/>
      <c r="K877" s="111">
        <v>19480</v>
      </c>
      <c r="L877" s="88">
        <f t="shared" si="104"/>
        <v>194800</v>
      </c>
      <c r="M877" s="173">
        <f t="shared" si="101"/>
        <v>1.9480000000000001E-2</v>
      </c>
      <c r="N877" s="88"/>
      <c r="O877" s="88"/>
      <c r="P877" s="165">
        <v>245.85</v>
      </c>
      <c r="Q877" s="169">
        <f t="shared" si="100"/>
        <v>4789158</v>
      </c>
      <c r="R877" s="133">
        <f t="shared" si="102"/>
        <v>0.4789158</v>
      </c>
      <c r="S877" s="79" t="s">
        <v>1498</v>
      </c>
      <c r="T877" s="50" t="s">
        <v>1473</v>
      </c>
      <c r="AA877"/>
    </row>
  </sheetData>
  <autoFilter ref="A1:T974"/>
  <dataConsolidate/>
  <pageMargins left="0.7" right="0.7" top="0.75" bottom="0.75" header="0.3" footer="0.3"/>
  <pageSetup paperSize="9"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0"/>
  <sheetViews>
    <sheetView topLeftCell="A79" workbookViewId="0">
      <selection activeCell="D4" sqref="D4"/>
    </sheetView>
  </sheetViews>
  <sheetFormatPr defaultRowHeight="12.75" x14ac:dyDescent="0.2"/>
  <cols>
    <col min="1" max="1" width="4.85546875" style="1" customWidth="1"/>
    <col min="2" max="2" width="9.140625" style="1"/>
    <col min="3" max="3" width="9.42578125" style="7" bestFit="1" customWidth="1"/>
    <col min="4" max="4" width="34.5703125" style="1" bestFit="1" customWidth="1"/>
    <col min="5" max="5" width="11.7109375" style="8" bestFit="1" customWidth="1"/>
    <col min="6" max="6" width="39" style="1" bestFit="1" customWidth="1"/>
    <col min="7" max="7" width="11.7109375" style="1" bestFit="1" customWidth="1"/>
    <col min="8" max="8" width="4.28515625" style="7" bestFit="1" customWidth="1"/>
    <col min="9" max="9" width="11.42578125" style="13" bestFit="1" customWidth="1"/>
    <col min="10" max="10" width="16.42578125" style="13" bestFit="1" customWidth="1"/>
    <col min="11" max="16384" width="9.140625" style="1"/>
  </cols>
  <sheetData>
    <row r="2" spans="2:10" ht="13.5" thickBot="1" x14ac:dyDescent="0.25">
      <c r="B2" s="3" t="s">
        <v>168</v>
      </c>
      <c r="C2" s="3" t="s">
        <v>116</v>
      </c>
      <c r="D2" s="4" t="s">
        <v>117</v>
      </c>
      <c r="E2" s="9" t="s">
        <v>118</v>
      </c>
      <c r="F2" s="4" t="s">
        <v>115</v>
      </c>
      <c r="G2" s="3" t="s">
        <v>119</v>
      </c>
      <c r="H2" s="5" t="s">
        <v>120</v>
      </c>
      <c r="I2" s="6" t="s">
        <v>121</v>
      </c>
      <c r="J2" s="6" t="s">
        <v>122</v>
      </c>
    </row>
    <row r="3" spans="2:10" ht="13.5" thickTop="1" x14ac:dyDescent="0.2">
      <c r="B3" s="7">
        <v>1</v>
      </c>
      <c r="C3" s="11">
        <v>5004</v>
      </c>
      <c r="D3" s="2" t="s">
        <v>139</v>
      </c>
      <c r="E3" s="10">
        <v>5002546</v>
      </c>
      <c r="F3" s="1" t="s">
        <v>38</v>
      </c>
      <c r="G3" s="1" t="s">
        <v>163</v>
      </c>
      <c r="H3" s="7" t="s">
        <v>39</v>
      </c>
      <c r="I3" s="12">
        <v>18550</v>
      </c>
      <c r="J3" s="13">
        <v>18550</v>
      </c>
    </row>
    <row r="4" spans="2:10" x14ac:dyDescent="0.2">
      <c r="B4" s="7">
        <v>2</v>
      </c>
      <c r="C4" s="11">
        <v>5004</v>
      </c>
      <c r="D4" s="2" t="s">
        <v>139</v>
      </c>
      <c r="E4" s="10">
        <v>5500105</v>
      </c>
      <c r="F4" s="1" t="s">
        <v>62</v>
      </c>
      <c r="G4" s="1" t="s">
        <v>163</v>
      </c>
      <c r="H4" s="7" t="s">
        <v>39</v>
      </c>
      <c r="I4" s="12">
        <v>37268</v>
      </c>
      <c r="J4" s="13">
        <v>37268</v>
      </c>
    </row>
    <row r="5" spans="2:10" x14ac:dyDescent="0.2">
      <c r="B5" s="7">
        <v>3</v>
      </c>
      <c r="C5" s="11">
        <v>5004</v>
      </c>
      <c r="D5" s="2" t="s">
        <v>139</v>
      </c>
      <c r="E5" s="10">
        <v>5500105</v>
      </c>
      <c r="F5" s="1" t="s">
        <v>62</v>
      </c>
      <c r="G5" s="1" t="s">
        <v>163</v>
      </c>
      <c r="H5" s="7" t="s">
        <v>39</v>
      </c>
      <c r="I5" s="12">
        <v>37184</v>
      </c>
      <c r="J5" s="13">
        <v>37184</v>
      </c>
    </row>
    <row r="6" spans="2:10" x14ac:dyDescent="0.2">
      <c r="B6" s="7">
        <v>4</v>
      </c>
      <c r="C6" s="11">
        <v>5004</v>
      </c>
      <c r="D6" s="2" t="s">
        <v>139</v>
      </c>
      <c r="E6" s="10">
        <v>5500152</v>
      </c>
      <c r="F6" s="1" t="s">
        <v>69</v>
      </c>
      <c r="G6" s="1" t="s">
        <v>163</v>
      </c>
      <c r="H6" s="7" t="s">
        <v>39</v>
      </c>
      <c r="I6" s="12">
        <v>27454</v>
      </c>
      <c r="J6" s="13">
        <v>27454</v>
      </c>
    </row>
    <row r="7" spans="2:10" x14ac:dyDescent="0.2">
      <c r="B7" s="7">
        <v>5</v>
      </c>
      <c r="C7" s="11">
        <v>5004</v>
      </c>
      <c r="D7" s="2" t="s">
        <v>139</v>
      </c>
      <c r="E7" s="10">
        <v>5500153</v>
      </c>
      <c r="F7" s="1" t="s">
        <v>70</v>
      </c>
      <c r="G7" s="1" t="s">
        <v>163</v>
      </c>
      <c r="H7" s="7" t="s">
        <v>39</v>
      </c>
      <c r="I7" s="12">
        <v>15064</v>
      </c>
      <c r="J7" s="13">
        <v>15064</v>
      </c>
    </row>
    <row r="8" spans="2:10" x14ac:dyDescent="0.2">
      <c r="B8" s="7">
        <v>6</v>
      </c>
      <c r="C8" s="11">
        <v>5004</v>
      </c>
      <c r="D8" s="2" t="s">
        <v>139</v>
      </c>
      <c r="E8" s="10">
        <v>5500154</v>
      </c>
      <c r="F8" s="1" t="s">
        <v>71</v>
      </c>
      <c r="G8" s="1" t="s">
        <v>163</v>
      </c>
      <c r="H8" s="7" t="s">
        <v>39</v>
      </c>
      <c r="I8" s="12">
        <v>36904</v>
      </c>
      <c r="J8" s="13">
        <v>36904</v>
      </c>
    </row>
    <row r="9" spans="2:10" x14ac:dyDescent="0.2">
      <c r="B9" s="7">
        <v>7</v>
      </c>
      <c r="C9" s="11">
        <v>5004</v>
      </c>
      <c r="D9" s="2" t="s">
        <v>139</v>
      </c>
      <c r="E9" s="10">
        <v>5500169</v>
      </c>
      <c r="F9" s="1" t="s">
        <v>75</v>
      </c>
      <c r="G9" s="1" t="s">
        <v>163</v>
      </c>
      <c r="H9" s="7" t="s">
        <v>39</v>
      </c>
      <c r="I9" s="12">
        <v>19050</v>
      </c>
      <c r="J9" s="13">
        <v>19050</v>
      </c>
    </row>
    <row r="10" spans="2:10" x14ac:dyDescent="0.2">
      <c r="B10" s="7">
        <v>8</v>
      </c>
      <c r="C10" s="11">
        <v>5004</v>
      </c>
      <c r="D10" s="2" t="s">
        <v>139</v>
      </c>
      <c r="E10" s="10">
        <v>5500169</v>
      </c>
      <c r="F10" s="1" t="s">
        <v>75</v>
      </c>
      <c r="G10" s="1" t="s">
        <v>163</v>
      </c>
      <c r="H10" s="7" t="s">
        <v>39</v>
      </c>
      <c r="I10" s="12">
        <v>18880</v>
      </c>
      <c r="J10" s="13">
        <v>18880</v>
      </c>
    </row>
    <row r="11" spans="2:10" x14ac:dyDescent="0.2">
      <c r="B11" s="7">
        <v>9</v>
      </c>
      <c r="C11" s="11">
        <v>5004</v>
      </c>
      <c r="D11" s="2" t="s">
        <v>139</v>
      </c>
      <c r="E11" s="10">
        <v>5500169</v>
      </c>
      <c r="F11" s="1" t="s">
        <v>75</v>
      </c>
      <c r="G11" s="1" t="s">
        <v>163</v>
      </c>
      <c r="H11" s="7" t="s">
        <v>39</v>
      </c>
      <c r="I11" s="12">
        <v>18900</v>
      </c>
      <c r="J11" s="13">
        <v>18900</v>
      </c>
    </row>
    <row r="12" spans="2:10" x14ac:dyDescent="0.2">
      <c r="B12" s="7">
        <v>10</v>
      </c>
      <c r="C12" s="11">
        <v>5004</v>
      </c>
      <c r="D12" s="2" t="s">
        <v>139</v>
      </c>
      <c r="E12" s="10">
        <v>5500169</v>
      </c>
      <c r="F12" s="1" t="s">
        <v>75</v>
      </c>
      <c r="G12" s="1" t="s">
        <v>163</v>
      </c>
      <c r="H12" s="7" t="s">
        <v>39</v>
      </c>
      <c r="I12" s="12">
        <v>18880</v>
      </c>
      <c r="J12" s="13">
        <v>18880</v>
      </c>
    </row>
    <row r="13" spans="2:10" x14ac:dyDescent="0.2">
      <c r="B13" s="7">
        <v>11</v>
      </c>
      <c r="C13" s="11">
        <v>5004</v>
      </c>
      <c r="D13" s="2" t="s">
        <v>139</v>
      </c>
      <c r="E13" s="10">
        <v>5500169</v>
      </c>
      <c r="F13" s="1" t="s">
        <v>75</v>
      </c>
      <c r="G13" s="1" t="s">
        <v>163</v>
      </c>
      <c r="H13" s="7" t="s">
        <v>39</v>
      </c>
      <c r="I13" s="12">
        <v>19100</v>
      </c>
      <c r="J13" s="13">
        <v>19100</v>
      </c>
    </row>
    <row r="14" spans="2:10" x14ac:dyDescent="0.2">
      <c r="B14" s="7">
        <v>12</v>
      </c>
      <c r="C14" s="11">
        <v>5004</v>
      </c>
      <c r="D14" s="2" t="s">
        <v>139</v>
      </c>
      <c r="E14" s="10">
        <v>5500169</v>
      </c>
      <c r="F14" s="1" t="s">
        <v>75</v>
      </c>
      <c r="G14" s="1" t="s">
        <v>163</v>
      </c>
      <c r="H14" s="7" t="s">
        <v>39</v>
      </c>
      <c r="I14" s="12">
        <v>18980</v>
      </c>
      <c r="J14" s="13">
        <v>18980</v>
      </c>
    </row>
    <row r="15" spans="2:10" x14ac:dyDescent="0.2">
      <c r="B15" s="7">
        <v>13</v>
      </c>
      <c r="C15" s="11">
        <v>5004</v>
      </c>
      <c r="D15" s="2" t="s">
        <v>139</v>
      </c>
      <c r="E15" s="10">
        <v>5500169</v>
      </c>
      <c r="F15" s="1" t="s">
        <v>75</v>
      </c>
      <c r="G15" s="1" t="s">
        <v>163</v>
      </c>
      <c r="H15" s="7" t="s">
        <v>39</v>
      </c>
      <c r="I15" s="12">
        <v>18990</v>
      </c>
      <c r="J15" s="13">
        <v>18990</v>
      </c>
    </row>
    <row r="16" spans="2:10" x14ac:dyDescent="0.2">
      <c r="B16" s="7">
        <v>14</v>
      </c>
      <c r="C16" s="11">
        <v>5004</v>
      </c>
      <c r="D16" s="2" t="s">
        <v>139</v>
      </c>
      <c r="E16" s="10">
        <v>5500330</v>
      </c>
      <c r="F16" s="1" t="s">
        <v>83</v>
      </c>
      <c r="G16" s="1" t="s">
        <v>163</v>
      </c>
      <c r="H16" s="7" t="s">
        <v>39</v>
      </c>
      <c r="I16" s="12">
        <v>26992</v>
      </c>
      <c r="J16" s="13">
        <v>26992</v>
      </c>
    </row>
    <row r="17" spans="2:10" x14ac:dyDescent="0.2">
      <c r="B17" s="7">
        <v>15</v>
      </c>
      <c r="C17" s="11">
        <v>5004</v>
      </c>
      <c r="D17" s="2" t="s">
        <v>139</v>
      </c>
      <c r="E17" s="10">
        <v>5500450</v>
      </c>
      <c r="F17" s="1" t="s">
        <v>88</v>
      </c>
      <c r="G17" s="1" t="s">
        <v>163</v>
      </c>
      <c r="H17" s="7" t="s">
        <v>39</v>
      </c>
      <c r="I17" s="12">
        <v>15870</v>
      </c>
      <c r="J17" s="13">
        <v>15870</v>
      </c>
    </row>
    <row r="18" spans="2:10" x14ac:dyDescent="0.2">
      <c r="B18" s="7">
        <v>16</v>
      </c>
      <c r="C18" s="11">
        <v>5004</v>
      </c>
      <c r="D18" s="2" t="s">
        <v>139</v>
      </c>
      <c r="E18" s="10">
        <v>5500481</v>
      </c>
      <c r="F18" s="1" t="s">
        <v>93</v>
      </c>
      <c r="G18" s="1" t="s">
        <v>163</v>
      </c>
      <c r="H18" s="7" t="s">
        <v>39</v>
      </c>
      <c r="I18" s="12">
        <v>30240</v>
      </c>
      <c r="J18" s="13">
        <v>30240</v>
      </c>
    </row>
    <row r="19" spans="2:10" x14ac:dyDescent="0.2">
      <c r="B19" s="7">
        <v>17</v>
      </c>
      <c r="C19" s="11">
        <v>5004</v>
      </c>
      <c r="D19" s="2" t="s">
        <v>139</v>
      </c>
      <c r="E19" s="10">
        <v>8000301</v>
      </c>
      <c r="F19" s="1" t="s">
        <v>109</v>
      </c>
      <c r="G19" s="1" t="s">
        <v>163</v>
      </c>
      <c r="H19" s="7" t="s">
        <v>39</v>
      </c>
      <c r="I19" s="12">
        <v>20048</v>
      </c>
      <c r="J19" s="13">
        <v>20048</v>
      </c>
    </row>
    <row r="20" spans="2:10" x14ac:dyDescent="0.2">
      <c r="B20" s="7">
        <v>18</v>
      </c>
      <c r="C20" s="11">
        <v>5004</v>
      </c>
      <c r="D20" s="2" t="s">
        <v>139</v>
      </c>
      <c r="E20" s="10">
        <v>8000406</v>
      </c>
      <c r="F20" s="1" t="s">
        <v>111</v>
      </c>
      <c r="G20" s="1" t="s">
        <v>163</v>
      </c>
      <c r="H20" s="7" t="s">
        <v>7</v>
      </c>
      <c r="I20" s="12">
        <v>9632</v>
      </c>
      <c r="J20" s="13">
        <v>9632</v>
      </c>
    </row>
    <row r="21" spans="2:10" x14ac:dyDescent="0.2">
      <c r="B21" s="7">
        <v>19</v>
      </c>
      <c r="C21" s="11">
        <v>5004</v>
      </c>
      <c r="D21" s="2" t="s">
        <v>139</v>
      </c>
      <c r="E21" s="10">
        <v>8000488</v>
      </c>
      <c r="F21" s="1" t="s">
        <v>113</v>
      </c>
      <c r="G21" s="1" t="s">
        <v>163</v>
      </c>
      <c r="H21" s="7" t="s">
        <v>39</v>
      </c>
      <c r="I21" s="12">
        <v>10360</v>
      </c>
      <c r="J21" s="13">
        <v>10360</v>
      </c>
    </row>
    <row r="22" spans="2:10" x14ac:dyDescent="0.2">
      <c r="B22" s="7">
        <v>20</v>
      </c>
      <c r="C22" s="11">
        <v>5005</v>
      </c>
      <c r="D22" s="2" t="s">
        <v>128</v>
      </c>
      <c r="E22" s="10">
        <v>5000459</v>
      </c>
      <c r="F22" s="1" t="s">
        <v>8</v>
      </c>
      <c r="G22" s="1" t="s">
        <v>156</v>
      </c>
      <c r="H22" s="7" t="s">
        <v>9</v>
      </c>
      <c r="I22" s="12">
        <v>2910</v>
      </c>
      <c r="J22" s="13">
        <v>2910</v>
      </c>
    </row>
    <row r="23" spans="2:10" x14ac:dyDescent="0.2">
      <c r="B23" s="7">
        <v>21</v>
      </c>
      <c r="C23" s="11">
        <v>5005</v>
      </c>
      <c r="D23" s="2" t="s">
        <v>128</v>
      </c>
      <c r="E23" s="10">
        <v>5000459</v>
      </c>
      <c r="F23" s="1" t="s">
        <v>8</v>
      </c>
      <c r="G23" s="1" t="s">
        <v>156</v>
      </c>
      <c r="H23" s="7" t="s">
        <v>9</v>
      </c>
      <c r="I23" s="12">
        <v>2910</v>
      </c>
      <c r="J23" s="13">
        <v>2910</v>
      </c>
    </row>
    <row r="24" spans="2:10" x14ac:dyDescent="0.2">
      <c r="B24" s="7">
        <v>22</v>
      </c>
      <c r="C24" s="11">
        <v>5005</v>
      </c>
      <c r="D24" s="2" t="s">
        <v>128</v>
      </c>
      <c r="E24" s="10">
        <v>5000459</v>
      </c>
      <c r="F24" s="1" t="s">
        <v>8</v>
      </c>
      <c r="G24" s="1" t="s">
        <v>156</v>
      </c>
      <c r="H24" s="7" t="s">
        <v>9</v>
      </c>
      <c r="I24" s="12">
        <v>2920</v>
      </c>
      <c r="J24" s="13">
        <v>2920</v>
      </c>
    </row>
    <row r="25" spans="2:10" x14ac:dyDescent="0.2">
      <c r="B25" s="7">
        <v>23</v>
      </c>
      <c r="C25" s="11">
        <v>5005</v>
      </c>
      <c r="D25" s="2" t="s">
        <v>128</v>
      </c>
      <c r="E25" s="10">
        <v>5000459</v>
      </c>
      <c r="F25" s="1" t="s">
        <v>8</v>
      </c>
      <c r="G25" s="1" t="s">
        <v>156</v>
      </c>
      <c r="H25" s="7" t="s">
        <v>9</v>
      </c>
      <c r="I25" s="12">
        <v>2920</v>
      </c>
      <c r="J25" s="13">
        <v>2920</v>
      </c>
    </row>
    <row r="26" spans="2:10" x14ac:dyDescent="0.2">
      <c r="B26" s="7">
        <v>24</v>
      </c>
      <c r="C26" s="11">
        <v>5005</v>
      </c>
      <c r="D26" s="2" t="s">
        <v>128</v>
      </c>
      <c r="E26" s="10">
        <v>5000459</v>
      </c>
      <c r="F26" s="1" t="s">
        <v>8</v>
      </c>
      <c r="G26" s="1" t="s">
        <v>156</v>
      </c>
      <c r="H26" s="7" t="s">
        <v>9</v>
      </c>
      <c r="I26" s="12">
        <v>2920</v>
      </c>
      <c r="J26" s="13">
        <v>2920</v>
      </c>
    </row>
    <row r="27" spans="2:10" x14ac:dyDescent="0.2">
      <c r="B27" s="7">
        <v>25</v>
      </c>
      <c r="C27" s="11">
        <v>5005</v>
      </c>
      <c r="D27" s="2" t="s">
        <v>128</v>
      </c>
      <c r="E27" s="10">
        <v>5000459</v>
      </c>
      <c r="F27" s="1" t="s">
        <v>8</v>
      </c>
      <c r="G27" s="1" t="s">
        <v>156</v>
      </c>
      <c r="H27" s="7" t="s">
        <v>9</v>
      </c>
      <c r="I27" s="12">
        <v>2910</v>
      </c>
      <c r="J27" s="13">
        <v>2910</v>
      </c>
    </row>
    <row r="28" spans="2:10" x14ac:dyDescent="0.2">
      <c r="B28" s="7">
        <v>26</v>
      </c>
      <c r="C28" s="11">
        <v>5005</v>
      </c>
      <c r="D28" s="2" t="s">
        <v>128</v>
      </c>
      <c r="E28" s="10">
        <v>5000459</v>
      </c>
      <c r="F28" s="1" t="s">
        <v>8</v>
      </c>
      <c r="G28" s="1" t="s">
        <v>156</v>
      </c>
      <c r="H28" s="7" t="s">
        <v>9</v>
      </c>
      <c r="I28" s="12">
        <v>2920</v>
      </c>
      <c r="J28" s="13">
        <v>2920</v>
      </c>
    </row>
    <row r="29" spans="2:10" x14ac:dyDescent="0.2">
      <c r="B29" s="7">
        <v>27</v>
      </c>
      <c r="C29" s="11">
        <v>5005</v>
      </c>
      <c r="D29" s="2" t="s">
        <v>128</v>
      </c>
      <c r="E29" s="10">
        <v>5000746</v>
      </c>
      <c r="F29" s="1" t="s">
        <v>21</v>
      </c>
      <c r="G29" s="1" t="s">
        <v>156</v>
      </c>
      <c r="H29" s="7" t="s">
        <v>9</v>
      </c>
      <c r="I29" s="12">
        <v>2940</v>
      </c>
      <c r="J29" s="13">
        <v>2940</v>
      </c>
    </row>
    <row r="30" spans="2:10" x14ac:dyDescent="0.2">
      <c r="B30" s="7">
        <v>28</v>
      </c>
      <c r="C30" s="11">
        <v>5005</v>
      </c>
      <c r="D30" s="2" t="s">
        <v>128</v>
      </c>
      <c r="E30" s="10">
        <v>5000746</v>
      </c>
      <c r="F30" s="1" t="s">
        <v>21</v>
      </c>
      <c r="G30" s="1" t="s">
        <v>156</v>
      </c>
      <c r="H30" s="7" t="s">
        <v>9</v>
      </c>
      <c r="I30" s="12">
        <v>2940</v>
      </c>
      <c r="J30" s="13">
        <v>2940</v>
      </c>
    </row>
    <row r="31" spans="2:10" x14ac:dyDescent="0.2">
      <c r="B31" s="7">
        <v>29</v>
      </c>
      <c r="C31" s="11">
        <v>5005</v>
      </c>
      <c r="D31" s="2" t="s">
        <v>128</v>
      </c>
      <c r="E31" s="10">
        <v>5000746</v>
      </c>
      <c r="F31" s="1" t="s">
        <v>21</v>
      </c>
      <c r="G31" s="1" t="s">
        <v>156</v>
      </c>
      <c r="H31" s="7" t="s">
        <v>9</v>
      </c>
      <c r="I31" s="12">
        <v>2910</v>
      </c>
      <c r="J31" s="13">
        <v>2910</v>
      </c>
    </row>
    <row r="32" spans="2:10" x14ac:dyDescent="0.2">
      <c r="B32" s="7">
        <v>30</v>
      </c>
      <c r="C32" s="11">
        <v>5005</v>
      </c>
      <c r="D32" s="2" t="s">
        <v>128</v>
      </c>
      <c r="E32" s="10">
        <v>5000746</v>
      </c>
      <c r="F32" s="1" t="s">
        <v>21</v>
      </c>
      <c r="G32" s="1" t="s">
        <v>156</v>
      </c>
      <c r="H32" s="7" t="s">
        <v>9</v>
      </c>
      <c r="I32" s="12">
        <v>2940</v>
      </c>
      <c r="J32" s="13">
        <v>2940</v>
      </c>
    </row>
    <row r="33" spans="2:10" x14ac:dyDescent="0.2">
      <c r="B33" s="7">
        <v>31</v>
      </c>
      <c r="C33" s="11">
        <v>5005</v>
      </c>
      <c r="D33" s="2" t="s">
        <v>128</v>
      </c>
      <c r="E33" s="10">
        <v>5000746</v>
      </c>
      <c r="F33" s="1" t="s">
        <v>21</v>
      </c>
      <c r="G33" s="1" t="s">
        <v>156</v>
      </c>
      <c r="H33" s="7" t="s">
        <v>9</v>
      </c>
      <c r="I33" s="12">
        <v>2940</v>
      </c>
      <c r="J33" s="13">
        <v>2940</v>
      </c>
    </row>
    <row r="34" spans="2:10" x14ac:dyDescent="0.2">
      <c r="B34" s="7">
        <v>32</v>
      </c>
      <c r="C34" s="11">
        <v>5005</v>
      </c>
      <c r="D34" s="2" t="s">
        <v>128</v>
      </c>
      <c r="E34" s="10">
        <v>5000747</v>
      </c>
      <c r="F34" s="1" t="s">
        <v>22</v>
      </c>
      <c r="G34" s="1" t="s">
        <v>156</v>
      </c>
      <c r="H34" s="7" t="s">
        <v>9</v>
      </c>
      <c r="I34" s="12">
        <v>2940</v>
      </c>
      <c r="J34" s="13">
        <v>2940</v>
      </c>
    </row>
    <row r="35" spans="2:10" x14ac:dyDescent="0.2">
      <c r="B35" s="7">
        <v>33</v>
      </c>
      <c r="C35" s="11">
        <v>5005</v>
      </c>
      <c r="D35" s="2" t="s">
        <v>128</v>
      </c>
      <c r="E35" s="10">
        <v>5000747</v>
      </c>
      <c r="F35" s="1" t="s">
        <v>22</v>
      </c>
      <c r="G35" s="1" t="s">
        <v>156</v>
      </c>
      <c r="H35" s="7" t="s">
        <v>9</v>
      </c>
      <c r="I35" s="12">
        <v>2940</v>
      </c>
      <c r="J35" s="13">
        <v>2940</v>
      </c>
    </row>
    <row r="36" spans="2:10" x14ac:dyDescent="0.2">
      <c r="B36" s="7">
        <v>34</v>
      </c>
      <c r="C36" s="11">
        <v>5005</v>
      </c>
      <c r="D36" s="2" t="s">
        <v>128</v>
      </c>
      <c r="E36" s="10">
        <v>5000747</v>
      </c>
      <c r="F36" s="1" t="s">
        <v>22</v>
      </c>
      <c r="G36" s="1" t="s">
        <v>156</v>
      </c>
      <c r="H36" s="7" t="s">
        <v>9</v>
      </c>
      <c r="I36" s="12">
        <v>2940</v>
      </c>
      <c r="J36" s="13">
        <v>2940</v>
      </c>
    </row>
    <row r="37" spans="2:10" x14ac:dyDescent="0.2">
      <c r="B37" s="7">
        <v>35</v>
      </c>
      <c r="C37" s="11">
        <v>5005</v>
      </c>
      <c r="D37" s="2" t="s">
        <v>128</v>
      </c>
      <c r="E37" s="10">
        <v>5000941</v>
      </c>
      <c r="F37" s="1" t="s">
        <v>26</v>
      </c>
      <c r="G37" s="1" t="s">
        <v>156</v>
      </c>
      <c r="H37" s="7" t="s">
        <v>9</v>
      </c>
      <c r="I37" s="12">
        <v>2940</v>
      </c>
      <c r="J37" s="13">
        <v>2940</v>
      </c>
    </row>
    <row r="38" spans="2:10" x14ac:dyDescent="0.2">
      <c r="B38" s="7">
        <v>36</v>
      </c>
      <c r="C38" s="11">
        <v>5005</v>
      </c>
      <c r="D38" s="2" t="s">
        <v>128</v>
      </c>
      <c r="E38" s="10">
        <v>5000941</v>
      </c>
      <c r="F38" s="1" t="s">
        <v>26</v>
      </c>
      <c r="G38" s="1" t="s">
        <v>156</v>
      </c>
      <c r="H38" s="7" t="s">
        <v>9</v>
      </c>
      <c r="I38" s="12">
        <v>2940</v>
      </c>
      <c r="J38" s="13">
        <v>2940</v>
      </c>
    </row>
    <row r="39" spans="2:10" x14ac:dyDescent="0.2">
      <c r="B39" s="7">
        <v>37</v>
      </c>
      <c r="C39" s="11">
        <v>5007</v>
      </c>
      <c r="D39" s="2" t="s">
        <v>126</v>
      </c>
      <c r="E39" s="10">
        <v>5000194</v>
      </c>
      <c r="F39" s="1" t="s">
        <v>4</v>
      </c>
      <c r="G39" s="1" t="s">
        <v>158</v>
      </c>
      <c r="H39" s="7" t="s">
        <v>3</v>
      </c>
      <c r="I39" s="12">
        <v>19278</v>
      </c>
      <c r="J39" s="13">
        <v>192780</v>
      </c>
    </row>
    <row r="40" spans="2:10" x14ac:dyDescent="0.2">
      <c r="B40" s="7">
        <v>38</v>
      </c>
      <c r="C40" s="11">
        <v>5009</v>
      </c>
      <c r="D40" s="2" t="s">
        <v>141</v>
      </c>
      <c r="E40" s="10">
        <v>5500009</v>
      </c>
      <c r="F40" s="1" t="s">
        <v>42</v>
      </c>
      <c r="G40" s="1" t="s">
        <v>165</v>
      </c>
      <c r="H40" s="7" t="s">
        <v>34</v>
      </c>
      <c r="I40" s="12">
        <v>12175</v>
      </c>
      <c r="J40" s="13">
        <v>12175</v>
      </c>
    </row>
    <row r="41" spans="2:10" x14ac:dyDescent="0.2">
      <c r="B41" s="7">
        <v>39</v>
      </c>
      <c r="C41" s="11">
        <v>5009</v>
      </c>
      <c r="D41" s="2" t="s">
        <v>141</v>
      </c>
      <c r="E41" s="10">
        <v>5500009</v>
      </c>
      <c r="F41" s="1" t="s">
        <v>42</v>
      </c>
      <c r="G41" s="1" t="s">
        <v>165</v>
      </c>
      <c r="H41" s="7" t="s">
        <v>34</v>
      </c>
      <c r="I41" s="12">
        <v>12175</v>
      </c>
      <c r="J41" s="13">
        <v>12175</v>
      </c>
    </row>
    <row r="42" spans="2:10" x14ac:dyDescent="0.2">
      <c r="B42" s="7">
        <v>40</v>
      </c>
      <c r="C42" s="11">
        <v>5009</v>
      </c>
      <c r="D42" s="2" t="s">
        <v>141</v>
      </c>
      <c r="E42" s="10">
        <v>5500023</v>
      </c>
      <c r="F42" s="1" t="s">
        <v>45</v>
      </c>
      <c r="G42" s="1" t="s">
        <v>165</v>
      </c>
      <c r="H42" s="7" t="s">
        <v>34</v>
      </c>
      <c r="I42" s="12">
        <v>12200</v>
      </c>
      <c r="J42" s="13">
        <v>12200</v>
      </c>
    </row>
    <row r="43" spans="2:10" x14ac:dyDescent="0.2">
      <c r="B43" s="7">
        <v>41</v>
      </c>
      <c r="C43" s="11">
        <v>5011</v>
      </c>
      <c r="D43" s="2" t="s">
        <v>132</v>
      </c>
      <c r="E43" s="10">
        <v>5000633</v>
      </c>
      <c r="F43" s="1" t="s">
        <v>12</v>
      </c>
      <c r="G43" s="1" t="s">
        <v>158</v>
      </c>
      <c r="H43" s="7" t="s">
        <v>3</v>
      </c>
      <c r="I43" s="12">
        <v>97920</v>
      </c>
      <c r="J43" s="13">
        <v>979200</v>
      </c>
    </row>
    <row r="44" spans="2:10" x14ac:dyDescent="0.2">
      <c r="B44" s="7">
        <v>42</v>
      </c>
      <c r="C44" s="11">
        <v>5011</v>
      </c>
      <c r="D44" s="2" t="s">
        <v>132</v>
      </c>
      <c r="E44" s="10">
        <v>5000633</v>
      </c>
      <c r="F44" s="1" t="s">
        <v>12</v>
      </c>
      <c r="G44" s="1" t="s">
        <v>158</v>
      </c>
      <c r="H44" s="7" t="s">
        <v>3</v>
      </c>
      <c r="I44" s="12">
        <v>97920</v>
      </c>
      <c r="J44" s="13">
        <v>979200</v>
      </c>
    </row>
    <row r="45" spans="2:10" x14ac:dyDescent="0.2">
      <c r="B45" s="7">
        <v>43</v>
      </c>
      <c r="C45" s="11">
        <v>5011</v>
      </c>
      <c r="D45" s="2" t="s">
        <v>132</v>
      </c>
      <c r="E45" s="10">
        <v>5000687</v>
      </c>
      <c r="F45" s="1" t="s">
        <v>19</v>
      </c>
      <c r="G45" s="1" t="s">
        <v>158</v>
      </c>
      <c r="H45" s="7" t="s">
        <v>3</v>
      </c>
      <c r="I45" s="12">
        <v>185200</v>
      </c>
      <c r="J45" s="13">
        <v>370400</v>
      </c>
    </row>
    <row r="46" spans="2:10" x14ac:dyDescent="0.2">
      <c r="B46" s="7">
        <v>44</v>
      </c>
      <c r="C46" s="11">
        <v>5011</v>
      </c>
      <c r="D46" s="2" t="s">
        <v>132</v>
      </c>
      <c r="E46" s="10">
        <v>5000687</v>
      </c>
      <c r="F46" s="1" t="s">
        <v>19</v>
      </c>
      <c r="G46" s="1" t="s">
        <v>158</v>
      </c>
      <c r="H46" s="7" t="s">
        <v>3</v>
      </c>
      <c r="I46" s="12">
        <v>6000</v>
      </c>
      <c r="J46" s="13">
        <v>12000</v>
      </c>
    </row>
    <row r="47" spans="2:10" x14ac:dyDescent="0.2">
      <c r="B47" s="7">
        <v>45</v>
      </c>
      <c r="C47" s="11">
        <v>5011</v>
      </c>
      <c r="D47" s="2" t="s">
        <v>132</v>
      </c>
      <c r="E47" s="10">
        <v>5000987</v>
      </c>
      <c r="F47" s="1" t="s">
        <v>27</v>
      </c>
      <c r="G47" s="1" t="s">
        <v>158</v>
      </c>
      <c r="H47" s="7" t="s">
        <v>3</v>
      </c>
      <c r="I47" s="12">
        <v>39204</v>
      </c>
      <c r="J47" s="13">
        <v>392040</v>
      </c>
    </row>
    <row r="48" spans="2:10" x14ac:dyDescent="0.2">
      <c r="B48" s="7">
        <v>46</v>
      </c>
      <c r="C48" s="11">
        <v>5011</v>
      </c>
      <c r="D48" s="2" t="s">
        <v>132</v>
      </c>
      <c r="E48" s="10">
        <v>5000988</v>
      </c>
      <c r="F48" s="1" t="s">
        <v>28</v>
      </c>
      <c r="G48" s="1" t="s">
        <v>158</v>
      </c>
      <c r="H48" s="7" t="s">
        <v>3</v>
      </c>
      <c r="I48" s="12">
        <v>38880</v>
      </c>
      <c r="J48" s="13">
        <v>388800</v>
      </c>
    </row>
    <row r="49" spans="2:10" x14ac:dyDescent="0.2">
      <c r="B49" s="7">
        <v>47</v>
      </c>
      <c r="C49" s="11">
        <v>5011</v>
      </c>
      <c r="D49" s="2" t="s">
        <v>132</v>
      </c>
      <c r="E49" s="10">
        <v>5001145</v>
      </c>
      <c r="F49" s="1" t="s">
        <v>29</v>
      </c>
      <c r="G49" s="1" t="s">
        <v>158</v>
      </c>
      <c r="H49" s="7" t="s">
        <v>3</v>
      </c>
      <c r="I49" s="12">
        <v>55776</v>
      </c>
      <c r="J49" s="13">
        <v>557760</v>
      </c>
    </row>
    <row r="50" spans="2:10" x14ac:dyDescent="0.2">
      <c r="B50" s="7">
        <v>48</v>
      </c>
      <c r="C50" s="11">
        <v>5011</v>
      </c>
      <c r="D50" s="2" t="s">
        <v>132</v>
      </c>
      <c r="E50" s="10">
        <v>5001162</v>
      </c>
      <c r="F50" s="1" t="s">
        <v>30</v>
      </c>
      <c r="G50" s="1" t="s">
        <v>158</v>
      </c>
      <c r="H50" s="7" t="s">
        <v>3</v>
      </c>
      <c r="I50" s="12">
        <v>38720</v>
      </c>
      <c r="J50" s="13">
        <v>387200</v>
      </c>
    </row>
    <row r="51" spans="2:10" x14ac:dyDescent="0.2">
      <c r="B51" s="7">
        <v>49</v>
      </c>
      <c r="C51" s="11">
        <v>5011</v>
      </c>
      <c r="D51" s="2" t="s">
        <v>132</v>
      </c>
      <c r="E51" s="10">
        <v>5001204</v>
      </c>
      <c r="F51" s="1" t="s">
        <v>31</v>
      </c>
      <c r="G51" s="1" t="s">
        <v>158</v>
      </c>
      <c r="H51" s="7" t="s">
        <v>3</v>
      </c>
      <c r="I51" s="12">
        <v>245700</v>
      </c>
      <c r="J51" s="13">
        <v>982800</v>
      </c>
    </row>
    <row r="52" spans="2:10" x14ac:dyDescent="0.2">
      <c r="B52" s="7">
        <v>50</v>
      </c>
      <c r="C52" s="11">
        <v>5011</v>
      </c>
      <c r="D52" s="2" t="s">
        <v>132</v>
      </c>
      <c r="E52" s="10">
        <v>5001204</v>
      </c>
      <c r="F52" s="1" t="s">
        <v>31</v>
      </c>
      <c r="G52" s="1" t="s">
        <v>158</v>
      </c>
      <c r="H52" s="7" t="s">
        <v>3</v>
      </c>
      <c r="I52" s="12">
        <v>115800</v>
      </c>
      <c r="J52" s="13">
        <v>463200</v>
      </c>
    </row>
    <row r="53" spans="2:10" x14ac:dyDescent="0.2">
      <c r="B53" s="7">
        <v>51</v>
      </c>
      <c r="C53" s="11">
        <v>5011</v>
      </c>
      <c r="D53" s="2" t="s">
        <v>132</v>
      </c>
      <c r="E53" s="10">
        <v>5001204</v>
      </c>
      <c r="F53" s="1" t="s">
        <v>31</v>
      </c>
      <c r="G53" s="1" t="s">
        <v>158</v>
      </c>
      <c r="H53" s="7" t="s">
        <v>3</v>
      </c>
      <c r="I53" s="12">
        <v>128700</v>
      </c>
      <c r="J53" s="13">
        <v>514800</v>
      </c>
    </row>
    <row r="54" spans="2:10" x14ac:dyDescent="0.2">
      <c r="B54" s="7">
        <v>52</v>
      </c>
      <c r="C54" s="11">
        <v>5011</v>
      </c>
      <c r="D54" s="2" t="s">
        <v>132</v>
      </c>
      <c r="E54" s="10">
        <v>5002388</v>
      </c>
      <c r="F54" s="1" t="s">
        <v>35</v>
      </c>
      <c r="G54" s="1" t="s">
        <v>158</v>
      </c>
      <c r="H54" s="7" t="s">
        <v>3</v>
      </c>
      <c r="I54" s="12">
        <v>125050</v>
      </c>
      <c r="J54" s="13">
        <v>500200</v>
      </c>
    </row>
    <row r="55" spans="2:10" x14ac:dyDescent="0.2">
      <c r="B55" s="7">
        <v>53</v>
      </c>
      <c r="C55" s="11">
        <v>5011</v>
      </c>
      <c r="D55" s="2" t="s">
        <v>132</v>
      </c>
      <c r="E55" s="10">
        <v>8000094</v>
      </c>
      <c r="F55" s="1" t="s">
        <v>29</v>
      </c>
      <c r="G55" s="1" t="s">
        <v>158</v>
      </c>
      <c r="H55" s="7" t="s">
        <v>3</v>
      </c>
      <c r="I55" s="12">
        <v>22560</v>
      </c>
      <c r="J55" s="13">
        <v>225600</v>
      </c>
    </row>
    <row r="56" spans="2:10" x14ac:dyDescent="0.2">
      <c r="B56" s="7">
        <v>54</v>
      </c>
      <c r="C56" s="11">
        <v>5014</v>
      </c>
      <c r="D56" s="2" t="s">
        <v>143</v>
      </c>
      <c r="E56" s="10">
        <v>5500038</v>
      </c>
      <c r="F56" s="1" t="s">
        <v>47</v>
      </c>
      <c r="G56" s="1" t="s">
        <v>162</v>
      </c>
      <c r="H56" s="7" t="s">
        <v>7</v>
      </c>
      <c r="I56" s="12">
        <v>9760</v>
      </c>
      <c r="J56" s="13">
        <v>9760</v>
      </c>
    </row>
    <row r="57" spans="2:10" x14ac:dyDescent="0.2">
      <c r="B57" s="7">
        <v>55</v>
      </c>
      <c r="C57" s="11">
        <v>5014</v>
      </c>
      <c r="D57" s="2" t="s">
        <v>143</v>
      </c>
      <c r="E57" s="10">
        <v>5500381</v>
      </c>
      <c r="F57" s="1" t="s">
        <v>85</v>
      </c>
      <c r="G57" s="1" t="s">
        <v>166</v>
      </c>
      <c r="H57" s="7" t="s">
        <v>34</v>
      </c>
      <c r="I57" s="12">
        <v>18980</v>
      </c>
      <c r="J57" s="13">
        <v>18980</v>
      </c>
    </row>
    <row r="58" spans="2:10" x14ac:dyDescent="0.2">
      <c r="B58" s="7">
        <v>56</v>
      </c>
      <c r="C58" s="11">
        <v>5014</v>
      </c>
      <c r="D58" s="2" t="s">
        <v>143</v>
      </c>
      <c r="E58" s="10">
        <v>5500381</v>
      </c>
      <c r="F58" s="1" t="s">
        <v>85</v>
      </c>
      <c r="G58" s="1" t="s">
        <v>166</v>
      </c>
      <c r="H58" s="7" t="s">
        <v>34</v>
      </c>
      <c r="I58" s="12">
        <v>19540</v>
      </c>
      <c r="J58" s="13">
        <v>19540</v>
      </c>
    </row>
    <row r="59" spans="2:10" x14ac:dyDescent="0.2">
      <c r="B59" s="7">
        <v>57</v>
      </c>
      <c r="C59" s="11">
        <v>5017</v>
      </c>
      <c r="D59" s="2" t="s">
        <v>147</v>
      </c>
      <c r="E59" s="10">
        <v>5500055</v>
      </c>
      <c r="F59" s="1" t="s">
        <v>52</v>
      </c>
      <c r="G59" s="1" t="s">
        <v>165</v>
      </c>
      <c r="H59" s="7" t="s">
        <v>34</v>
      </c>
      <c r="I59" s="12">
        <v>9780</v>
      </c>
      <c r="J59" s="13">
        <v>9780</v>
      </c>
    </row>
    <row r="60" spans="2:10" x14ac:dyDescent="0.2">
      <c r="B60" s="7">
        <v>58</v>
      </c>
      <c r="C60" s="11">
        <v>5017</v>
      </c>
      <c r="D60" s="2" t="s">
        <v>147</v>
      </c>
      <c r="E60" s="10">
        <v>5500057</v>
      </c>
      <c r="F60" s="1" t="s">
        <v>53</v>
      </c>
      <c r="G60" s="1" t="s">
        <v>165</v>
      </c>
      <c r="H60" s="7" t="s">
        <v>34</v>
      </c>
      <c r="I60" s="12">
        <v>9820</v>
      </c>
      <c r="J60" s="13">
        <v>9820</v>
      </c>
    </row>
    <row r="61" spans="2:10" x14ac:dyDescent="0.2">
      <c r="B61" s="7">
        <v>59</v>
      </c>
      <c r="C61" s="11">
        <v>5017</v>
      </c>
      <c r="D61" s="2" t="s">
        <v>147</v>
      </c>
      <c r="E61" s="10">
        <v>5500293</v>
      </c>
      <c r="F61" s="1" t="s">
        <v>82</v>
      </c>
      <c r="G61" s="1" t="s">
        <v>165</v>
      </c>
      <c r="H61" s="7" t="s">
        <v>34</v>
      </c>
      <c r="I61" s="12">
        <v>9800</v>
      </c>
      <c r="J61" s="13">
        <v>9800</v>
      </c>
    </row>
    <row r="62" spans="2:10" x14ac:dyDescent="0.2">
      <c r="B62" s="7">
        <v>60</v>
      </c>
      <c r="C62" s="11">
        <v>5017</v>
      </c>
      <c r="D62" s="2" t="s">
        <v>147</v>
      </c>
      <c r="E62" s="10">
        <v>5500293</v>
      </c>
      <c r="F62" s="1" t="s">
        <v>82</v>
      </c>
      <c r="G62" s="1" t="s">
        <v>165</v>
      </c>
      <c r="H62" s="7" t="s">
        <v>34</v>
      </c>
      <c r="I62" s="12">
        <v>9760</v>
      </c>
      <c r="J62" s="13">
        <v>9760</v>
      </c>
    </row>
    <row r="63" spans="2:10" x14ac:dyDescent="0.2">
      <c r="B63" s="7">
        <v>61</v>
      </c>
      <c r="C63" s="11">
        <v>5017</v>
      </c>
      <c r="D63" s="2" t="s">
        <v>147</v>
      </c>
      <c r="E63" s="10">
        <v>5500293</v>
      </c>
      <c r="F63" s="1" t="s">
        <v>82</v>
      </c>
      <c r="G63" s="1" t="s">
        <v>165</v>
      </c>
      <c r="H63" s="7" t="s">
        <v>34</v>
      </c>
      <c r="I63" s="12">
        <v>9760</v>
      </c>
      <c r="J63" s="13">
        <v>9760</v>
      </c>
    </row>
    <row r="64" spans="2:10" x14ac:dyDescent="0.2">
      <c r="B64" s="7">
        <v>62</v>
      </c>
      <c r="C64" s="11">
        <v>5017</v>
      </c>
      <c r="D64" s="2" t="s">
        <v>147</v>
      </c>
      <c r="E64" s="10">
        <v>5500360</v>
      </c>
      <c r="F64" s="1" t="s">
        <v>84</v>
      </c>
      <c r="G64" s="1" t="s">
        <v>167</v>
      </c>
      <c r="H64" s="7" t="s">
        <v>34</v>
      </c>
      <c r="I64" s="12">
        <v>9780</v>
      </c>
      <c r="J64" s="13">
        <v>9780</v>
      </c>
    </row>
    <row r="65" spans="2:10" x14ac:dyDescent="0.2">
      <c r="B65" s="7">
        <v>63</v>
      </c>
      <c r="C65" s="11">
        <v>5017</v>
      </c>
      <c r="D65" s="2" t="s">
        <v>147</v>
      </c>
      <c r="E65" s="10">
        <v>5500360</v>
      </c>
      <c r="F65" s="1" t="s">
        <v>84</v>
      </c>
      <c r="G65" s="1" t="s">
        <v>167</v>
      </c>
      <c r="H65" s="7" t="s">
        <v>34</v>
      </c>
      <c r="I65" s="12">
        <v>9810</v>
      </c>
      <c r="J65" s="13">
        <v>9810</v>
      </c>
    </row>
    <row r="66" spans="2:10" x14ac:dyDescent="0.2">
      <c r="B66" s="7">
        <v>64</v>
      </c>
      <c r="C66" s="11">
        <v>5020</v>
      </c>
      <c r="D66" s="2" t="s">
        <v>149</v>
      </c>
      <c r="E66" s="10">
        <v>5500065</v>
      </c>
      <c r="F66" s="1" t="s">
        <v>55</v>
      </c>
      <c r="G66" s="1" t="s">
        <v>158</v>
      </c>
      <c r="H66" s="7" t="s">
        <v>3</v>
      </c>
      <c r="I66" s="12">
        <v>58800</v>
      </c>
      <c r="J66" s="13">
        <v>882000</v>
      </c>
    </row>
    <row r="67" spans="2:10" x14ac:dyDescent="0.2">
      <c r="B67" s="7">
        <v>65</v>
      </c>
      <c r="C67" s="11">
        <v>5020</v>
      </c>
      <c r="D67" s="2" t="s">
        <v>149</v>
      </c>
      <c r="E67" s="10">
        <v>5500065</v>
      </c>
      <c r="F67" s="1" t="s">
        <v>55</v>
      </c>
      <c r="G67" s="1" t="s">
        <v>158</v>
      </c>
      <c r="H67" s="7" t="s">
        <v>3</v>
      </c>
      <c r="I67" s="12">
        <v>58800</v>
      </c>
      <c r="J67" s="13">
        <v>882000</v>
      </c>
    </row>
    <row r="68" spans="2:10" x14ac:dyDescent="0.2">
      <c r="B68" s="7">
        <v>66</v>
      </c>
      <c r="C68" s="11">
        <v>5020</v>
      </c>
      <c r="D68" s="2" t="s">
        <v>149</v>
      </c>
      <c r="E68" s="10">
        <v>5500065</v>
      </c>
      <c r="F68" s="1" t="s">
        <v>55</v>
      </c>
      <c r="G68" s="1" t="s">
        <v>158</v>
      </c>
      <c r="H68" s="7" t="s">
        <v>3</v>
      </c>
      <c r="I68" s="12">
        <v>58800</v>
      </c>
      <c r="J68" s="13">
        <v>882000</v>
      </c>
    </row>
    <row r="69" spans="2:10" x14ac:dyDescent="0.2">
      <c r="B69" s="7">
        <v>67</v>
      </c>
      <c r="C69" s="11">
        <v>5020</v>
      </c>
      <c r="D69" s="2" t="s">
        <v>149</v>
      </c>
      <c r="E69" s="10">
        <v>5500096</v>
      </c>
      <c r="F69" s="1" t="s">
        <v>59</v>
      </c>
      <c r="G69" s="1" t="s">
        <v>158</v>
      </c>
      <c r="H69" s="7" t="s">
        <v>3</v>
      </c>
      <c r="I69" s="12">
        <v>33010</v>
      </c>
      <c r="J69" s="13">
        <v>495150</v>
      </c>
    </row>
    <row r="70" spans="2:10" x14ac:dyDescent="0.2">
      <c r="B70" s="7">
        <v>68</v>
      </c>
      <c r="C70" s="11">
        <v>5020</v>
      </c>
      <c r="D70" s="2" t="s">
        <v>149</v>
      </c>
      <c r="E70" s="10">
        <v>5500097</v>
      </c>
      <c r="F70" s="1" t="s">
        <v>60</v>
      </c>
      <c r="G70" s="1" t="s">
        <v>158</v>
      </c>
      <c r="H70" s="7" t="s">
        <v>3</v>
      </c>
      <c r="I70" s="12">
        <v>32850</v>
      </c>
      <c r="J70" s="13">
        <v>492750</v>
      </c>
    </row>
    <row r="71" spans="2:10" x14ac:dyDescent="0.2">
      <c r="B71" s="7">
        <v>69</v>
      </c>
      <c r="C71" s="11">
        <v>5020</v>
      </c>
      <c r="D71" s="2" t="s">
        <v>149</v>
      </c>
      <c r="E71" s="10">
        <v>5500098</v>
      </c>
      <c r="F71" s="1" t="s">
        <v>61</v>
      </c>
      <c r="G71" s="1" t="s">
        <v>158</v>
      </c>
      <c r="H71" s="7" t="s">
        <v>3</v>
      </c>
      <c r="I71" s="12">
        <v>32790</v>
      </c>
      <c r="J71" s="13">
        <v>491850</v>
      </c>
    </row>
    <row r="72" spans="2:10" x14ac:dyDescent="0.2">
      <c r="B72" s="7">
        <v>70</v>
      </c>
      <c r="C72" s="11">
        <v>5020</v>
      </c>
      <c r="D72" s="2" t="s">
        <v>149</v>
      </c>
      <c r="E72" s="10">
        <v>5500118</v>
      </c>
      <c r="F72" s="1" t="s">
        <v>66</v>
      </c>
      <c r="G72" s="1" t="s">
        <v>158</v>
      </c>
      <c r="H72" s="7" t="s">
        <v>3</v>
      </c>
      <c r="I72" s="12">
        <v>26000</v>
      </c>
      <c r="J72" s="13">
        <v>390000</v>
      </c>
    </row>
    <row r="73" spans="2:10" x14ac:dyDescent="0.2">
      <c r="B73" s="7">
        <v>71</v>
      </c>
      <c r="C73" s="11">
        <v>5023</v>
      </c>
      <c r="D73" s="2" t="s">
        <v>153</v>
      </c>
      <c r="E73" s="10">
        <v>5500430</v>
      </c>
      <c r="F73" s="1" t="s">
        <v>86</v>
      </c>
      <c r="G73" s="1" t="s">
        <v>163</v>
      </c>
      <c r="H73" s="7" t="s">
        <v>39</v>
      </c>
      <c r="I73" s="12">
        <v>18480</v>
      </c>
      <c r="J73" s="13">
        <v>18480</v>
      </c>
    </row>
    <row r="74" spans="2:10" x14ac:dyDescent="0.2">
      <c r="B74" s="7">
        <v>72</v>
      </c>
      <c r="C74" s="11">
        <v>5023</v>
      </c>
      <c r="D74" s="2" t="s">
        <v>153</v>
      </c>
      <c r="E74" s="10">
        <v>5500430</v>
      </c>
      <c r="F74" s="1" t="s">
        <v>86</v>
      </c>
      <c r="G74" s="1" t="s">
        <v>163</v>
      </c>
      <c r="H74" s="7" t="s">
        <v>39</v>
      </c>
      <c r="I74" s="12">
        <v>18144</v>
      </c>
      <c r="J74" s="13">
        <v>18144</v>
      </c>
    </row>
    <row r="75" spans="2:10" x14ac:dyDescent="0.2">
      <c r="B75" s="7">
        <v>73</v>
      </c>
      <c r="C75" s="11">
        <v>5023</v>
      </c>
      <c r="D75" s="2" t="s">
        <v>153</v>
      </c>
      <c r="E75" s="10">
        <v>5500430</v>
      </c>
      <c r="F75" s="1" t="s">
        <v>86</v>
      </c>
      <c r="G75" s="1" t="s">
        <v>163</v>
      </c>
      <c r="H75" s="7" t="s">
        <v>39</v>
      </c>
      <c r="I75" s="12">
        <v>18144</v>
      </c>
      <c r="J75" s="13">
        <v>18144</v>
      </c>
    </row>
    <row r="76" spans="2:10" x14ac:dyDescent="0.2">
      <c r="B76" s="7">
        <v>74</v>
      </c>
      <c r="C76" s="11">
        <v>5023</v>
      </c>
      <c r="D76" s="2" t="s">
        <v>153</v>
      </c>
      <c r="E76" s="10">
        <v>5500430</v>
      </c>
      <c r="F76" s="1" t="s">
        <v>86</v>
      </c>
      <c r="G76" s="1" t="s">
        <v>163</v>
      </c>
      <c r="H76" s="7" t="s">
        <v>39</v>
      </c>
      <c r="I76" s="12">
        <v>18270</v>
      </c>
      <c r="J76" s="13">
        <v>18270</v>
      </c>
    </row>
    <row r="77" spans="2:10" x14ac:dyDescent="0.2">
      <c r="B77" s="7">
        <v>75</v>
      </c>
      <c r="C77" s="11">
        <v>5023</v>
      </c>
      <c r="D77" s="2" t="s">
        <v>153</v>
      </c>
      <c r="E77" s="10">
        <v>5500430</v>
      </c>
      <c r="F77" s="1" t="s">
        <v>86</v>
      </c>
      <c r="G77" s="1" t="s">
        <v>163</v>
      </c>
      <c r="H77" s="7" t="s">
        <v>39</v>
      </c>
      <c r="I77" s="12">
        <v>18214</v>
      </c>
      <c r="J77" s="13">
        <v>18214</v>
      </c>
    </row>
    <row r="78" spans="2:10" x14ac:dyDescent="0.2">
      <c r="B78" s="7">
        <v>76</v>
      </c>
      <c r="C78" s="11">
        <v>5023</v>
      </c>
      <c r="D78" s="2" t="s">
        <v>153</v>
      </c>
      <c r="E78" s="10">
        <v>5500430</v>
      </c>
      <c r="F78" s="1" t="s">
        <v>86</v>
      </c>
      <c r="G78" s="1" t="s">
        <v>163</v>
      </c>
      <c r="H78" s="7" t="s">
        <v>39</v>
      </c>
      <c r="I78" s="12">
        <v>18144</v>
      </c>
      <c r="J78" s="13">
        <v>18144</v>
      </c>
    </row>
    <row r="79" spans="2:10" x14ac:dyDescent="0.2">
      <c r="B79" s="7">
        <v>77</v>
      </c>
      <c r="C79" s="11">
        <v>5023</v>
      </c>
      <c r="D79" s="2" t="s">
        <v>153</v>
      </c>
      <c r="E79" s="10">
        <v>5500430</v>
      </c>
      <c r="F79" s="1" t="s">
        <v>86</v>
      </c>
      <c r="G79" s="1" t="s">
        <v>163</v>
      </c>
      <c r="H79" s="7" t="s">
        <v>39</v>
      </c>
      <c r="I79" s="12">
        <v>18256</v>
      </c>
      <c r="J79" s="13">
        <v>18256</v>
      </c>
    </row>
    <row r="80" spans="2:10" x14ac:dyDescent="0.2">
      <c r="B80" s="7">
        <v>78</v>
      </c>
      <c r="C80" s="11">
        <v>5023</v>
      </c>
      <c r="D80" s="2" t="s">
        <v>153</v>
      </c>
      <c r="E80" s="10">
        <v>5500430</v>
      </c>
      <c r="F80" s="1" t="s">
        <v>86</v>
      </c>
      <c r="G80" s="1" t="s">
        <v>163</v>
      </c>
      <c r="H80" s="7" t="s">
        <v>39</v>
      </c>
      <c r="I80" s="12">
        <v>18214</v>
      </c>
      <c r="J80" s="13">
        <v>18214</v>
      </c>
    </row>
    <row r="81" spans="2:10" x14ac:dyDescent="0.2">
      <c r="B81" s="7">
        <v>79</v>
      </c>
      <c r="C81" s="11">
        <v>5023</v>
      </c>
      <c r="D81" s="2" t="s">
        <v>153</v>
      </c>
      <c r="E81" s="10">
        <v>5500531</v>
      </c>
      <c r="F81" s="1" t="s">
        <v>94</v>
      </c>
      <c r="G81" s="1" t="s">
        <v>163</v>
      </c>
      <c r="H81" s="7" t="s">
        <v>39</v>
      </c>
      <c r="I81" s="12">
        <v>18200</v>
      </c>
      <c r="J81" s="13">
        <v>18200</v>
      </c>
    </row>
    <row r="82" spans="2:10" x14ac:dyDescent="0.2">
      <c r="B82" s="7">
        <v>80</v>
      </c>
      <c r="C82" s="11">
        <v>5023</v>
      </c>
      <c r="D82" s="2" t="s">
        <v>153</v>
      </c>
      <c r="E82" s="10">
        <v>5500531</v>
      </c>
      <c r="F82" s="1" t="s">
        <v>94</v>
      </c>
      <c r="G82" s="1" t="s">
        <v>163</v>
      </c>
      <c r="H82" s="7" t="s">
        <v>39</v>
      </c>
      <c r="I82" s="12">
        <v>18270</v>
      </c>
      <c r="J82" s="13">
        <v>18270</v>
      </c>
    </row>
    <row r="83" spans="2:10" x14ac:dyDescent="0.2">
      <c r="B83" s="7">
        <v>81</v>
      </c>
      <c r="C83" s="11">
        <v>5027</v>
      </c>
      <c r="D83" s="2" t="s">
        <v>133</v>
      </c>
      <c r="E83" s="10">
        <v>5000635</v>
      </c>
      <c r="F83" s="1" t="s">
        <v>13</v>
      </c>
      <c r="G83" s="1" t="s">
        <v>159</v>
      </c>
      <c r="H83" s="7" t="s">
        <v>3</v>
      </c>
      <c r="I83" s="12">
        <v>68580</v>
      </c>
      <c r="J83" s="13">
        <v>685800</v>
      </c>
    </row>
    <row r="84" spans="2:10" x14ac:dyDescent="0.2">
      <c r="B84" s="7">
        <v>82</v>
      </c>
      <c r="C84" s="11">
        <v>5027</v>
      </c>
      <c r="D84" s="2" t="s">
        <v>133</v>
      </c>
      <c r="E84" s="10">
        <v>5000636</v>
      </c>
      <c r="F84" s="1" t="s">
        <v>14</v>
      </c>
      <c r="G84" s="1" t="s">
        <v>159</v>
      </c>
      <c r="H84" s="7" t="s">
        <v>3</v>
      </c>
      <c r="I84" s="12">
        <v>58750</v>
      </c>
      <c r="J84" s="13">
        <v>587500</v>
      </c>
    </row>
    <row r="85" spans="2:10" x14ac:dyDescent="0.2">
      <c r="B85" s="7">
        <v>83</v>
      </c>
      <c r="C85" s="11">
        <v>5027</v>
      </c>
      <c r="D85" s="2" t="s">
        <v>133</v>
      </c>
      <c r="E85" s="10">
        <v>5000636</v>
      </c>
      <c r="F85" s="1" t="s">
        <v>14</v>
      </c>
      <c r="G85" s="1" t="s">
        <v>159</v>
      </c>
      <c r="H85" s="7" t="s">
        <v>3</v>
      </c>
      <c r="I85" s="12">
        <v>58750</v>
      </c>
      <c r="J85" s="13">
        <v>587500</v>
      </c>
    </row>
    <row r="86" spans="2:10" x14ac:dyDescent="0.2">
      <c r="B86" s="7">
        <v>84</v>
      </c>
      <c r="C86" s="11">
        <v>5028</v>
      </c>
      <c r="D86" s="2" t="s">
        <v>150</v>
      </c>
      <c r="E86" s="10">
        <v>5500092</v>
      </c>
      <c r="F86" s="1" t="s">
        <v>58</v>
      </c>
      <c r="G86" s="1" t="s">
        <v>163</v>
      </c>
      <c r="H86" s="7" t="s">
        <v>39</v>
      </c>
      <c r="I86" s="12">
        <v>13776</v>
      </c>
      <c r="J86" s="13">
        <v>13776</v>
      </c>
    </row>
    <row r="87" spans="2:10" x14ac:dyDescent="0.2">
      <c r="B87" s="7">
        <v>85</v>
      </c>
      <c r="C87" s="11">
        <v>5028</v>
      </c>
      <c r="D87" s="2" t="s">
        <v>150</v>
      </c>
      <c r="E87" s="10">
        <v>5500146</v>
      </c>
      <c r="F87" s="1" t="s">
        <v>68</v>
      </c>
      <c r="G87" s="1" t="s">
        <v>163</v>
      </c>
      <c r="H87" s="7" t="s">
        <v>39</v>
      </c>
      <c r="I87" s="12">
        <v>35224</v>
      </c>
      <c r="J87" s="13">
        <v>35224</v>
      </c>
    </row>
    <row r="88" spans="2:10" x14ac:dyDescent="0.2">
      <c r="B88" s="7">
        <v>86</v>
      </c>
      <c r="C88" s="11">
        <v>5028</v>
      </c>
      <c r="D88" s="2" t="s">
        <v>150</v>
      </c>
      <c r="E88" s="10">
        <v>5500454</v>
      </c>
      <c r="F88" s="1" t="s">
        <v>90</v>
      </c>
      <c r="G88" s="1" t="s">
        <v>163</v>
      </c>
      <c r="H88" s="7" t="s">
        <v>39</v>
      </c>
      <c r="I88" s="12">
        <v>4461</v>
      </c>
      <c r="J88" s="13">
        <v>4461</v>
      </c>
    </row>
    <row r="89" spans="2:10" x14ac:dyDescent="0.2">
      <c r="B89" s="7">
        <v>87</v>
      </c>
      <c r="C89" s="11">
        <v>5028</v>
      </c>
      <c r="D89" s="2" t="s">
        <v>150</v>
      </c>
      <c r="E89" s="10">
        <v>8000131</v>
      </c>
      <c r="F89" s="1" t="s">
        <v>101</v>
      </c>
      <c r="G89" s="1" t="s">
        <v>163</v>
      </c>
      <c r="H89" s="7" t="s">
        <v>39</v>
      </c>
      <c r="I89" s="12">
        <v>8806</v>
      </c>
      <c r="J89" s="13">
        <v>8806</v>
      </c>
    </row>
    <row r="90" spans="2:10" x14ac:dyDescent="0.2">
      <c r="B90" s="7">
        <v>88</v>
      </c>
      <c r="C90" s="11">
        <v>5028</v>
      </c>
      <c r="D90" s="2" t="s">
        <v>150</v>
      </c>
      <c r="E90" s="10">
        <v>8000491</v>
      </c>
      <c r="F90" s="1" t="s">
        <v>114</v>
      </c>
      <c r="G90" s="1" t="s">
        <v>163</v>
      </c>
      <c r="H90" s="7" t="s">
        <v>39</v>
      </c>
      <c r="I90" s="12">
        <v>26398</v>
      </c>
      <c r="J90" s="13">
        <v>26398</v>
      </c>
    </row>
    <row r="91" spans="2:10" x14ac:dyDescent="0.2">
      <c r="B91" s="7">
        <v>89</v>
      </c>
      <c r="C91" s="11">
        <v>5025</v>
      </c>
      <c r="D91" s="2" t="s">
        <v>138</v>
      </c>
      <c r="E91" s="10">
        <v>5002389</v>
      </c>
      <c r="F91" s="1" t="s">
        <v>36</v>
      </c>
      <c r="G91" s="1" t="s">
        <v>158</v>
      </c>
      <c r="H91" s="7" t="s">
        <v>3</v>
      </c>
      <c r="I91" s="12">
        <v>147600</v>
      </c>
      <c r="J91" s="13">
        <v>590400</v>
      </c>
    </row>
    <row r="92" spans="2:10" x14ac:dyDescent="0.2">
      <c r="B92" s="7">
        <v>90</v>
      </c>
      <c r="C92" s="11">
        <v>5025</v>
      </c>
      <c r="D92" s="2" t="s">
        <v>138</v>
      </c>
      <c r="E92" s="10">
        <v>5500077</v>
      </c>
      <c r="F92" s="1" t="s">
        <v>56</v>
      </c>
      <c r="G92" s="1" t="s">
        <v>158</v>
      </c>
      <c r="H92" s="7" t="s">
        <v>3</v>
      </c>
      <c r="I92" s="12">
        <v>51480</v>
      </c>
      <c r="J92" s="13">
        <v>772200</v>
      </c>
    </row>
    <row r="93" spans="2:10" x14ac:dyDescent="0.2">
      <c r="B93" s="7">
        <v>91</v>
      </c>
      <c r="C93" s="11">
        <v>5025</v>
      </c>
      <c r="D93" s="2" t="s">
        <v>138</v>
      </c>
      <c r="E93" s="10">
        <v>5500078</v>
      </c>
      <c r="F93" s="1" t="s">
        <v>57</v>
      </c>
      <c r="G93" s="1" t="s">
        <v>158</v>
      </c>
      <c r="H93" s="7" t="s">
        <v>3</v>
      </c>
      <c r="I93" s="12">
        <v>51440</v>
      </c>
      <c r="J93" s="13">
        <v>771600</v>
      </c>
    </row>
    <row r="94" spans="2:10" x14ac:dyDescent="0.2">
      <c r="B94" s="7">
        <v>92</v>
      </c>
      <c r="C94" s="11">
        <v>5025</v>
      </c>
      <c r="D94" s="2" t="s">
        <v>138</v>
      </c>
      <c r="E94" s="10">
        <v>5500078</v>
      </c>
      <c r="F94" s="1" t="s">
        <v>57</v>
      </c>
      <c r="G94" s="1" t="s">
        <v>158</v>
      </c>
      <c r="H94" s="7" t="s">
        <v>3</v>
      </c>
      <c r="I94" s="12">
        <v>51440</v>
      </c>
      <c r="J94" s="13">
        <v>771600</v>
      </c>
    </row>
    <row r="95" spans="2:10" x14ac:dyDescent="0.2">
      <c r="B95" s="7">
        <v>93</v>
      </c>
      <c r="C95" s="11">
        <v>5025</v>
      </c>
      <c r="D95" s="2" t="s">
        <v>138</v>
      </c>
      <c r="E95" s="10">
        <v>5500078</v>
      </c>
      <c r="F95" s="1" t="s">
        <v>57</v>
      </c>
      <c r="G95" s="1" t="s">
        <v>158</v>
      </c>
      <c r="H95" s="7" t="s">
        <v>3</v>
      </c>
      <c r="I95" s="12">
        <v>51440</v>
      </c>
      <c r="J95" s="13">
        <v>771600</v>
      </c>
    </row>
    <row r="96" spans="2:10" x14ac:dyDescent="0.2">
      <c r="B96" s="7">
        <v>94</v>
      </c>
      <c r="C96" s="11">
        <v>5025</v>
      </c>
      <c r="D96" s="2" t="s">
        <v>138</v>
      </c>
      <c r="E96" s="10">
        <v>5500113</v>
      </c>
      <c r="F96" s="1" t="s">
        <v>64</v>
      </c>
      <c r="G96" s="1" t="s">
        <v>158</v>
      </c>
      <c r="H96" s="7" t="s">
        <v>65</v>
      </c>
      <c r="I96" s="12">
        <v>49200</v>
      </c>
      <c r="J96" s="13">
        <v>492000</v>
      </c>
    </row>
    <row r="97" spans="2:10" x14ac:dyDescent="0.2">
      <c r="B97" s="7">
        <v>95</v>
      </c>
      <c r="C97" s="11">
        <v>5031</v>
      </c>
      <c r="D97" s="2" t="s">
        <v>140</v>
      </c>
      <c r="E97" s="10">
        <v>5500000</v>
      </c>
      <c r="F97" s="1" t="s">
        <v>40</v>
      </c>
      <c r="G97" s="1" t="s">
        <v>163</v>
      </c>
      <c r="H97" s="7" t="s">
        <v>39</v>
      </c>
      <c r="I97" s="12">
        <v>36064</v>
      </c>
      <c r="J97" s="13">
        <v>36064</v>
      </c>
    </row>
    <row r="98" spans="2:10" x14ac:dyDescent="0.2">
      <c r="B98" s="7">
        <v>96</v>
      </c>
      <c r="C98" s="11">
        <v>5031</v>
      </c>
      <c r="D98" s="2" t="s">
        <v>140</v>
      </c>
      <c r="E98" s="10">
        <v>5500005</v>
      </c>
      <c r="F98" s="1" t="s">
        <v>41</v>
      </c>
      <c r="G98" s="1" t="s">
        <v>163</v>
      </c>
      <c r="H98" s="7" t="s">
        <v>39</v>
      </c>
      <c r="I98" s="12">
        <v>37394</v>
      </c>
      <c r="J98" s="13">
        <v>37394</v>
      </c>
    </row>
    <row r="99" spans="2:10" x14ac:dyDescent="0.2">
      <c r="B99" s="7">
        <v>97</v>
      </c>
      <c r="C99" s="11">
        <v>5031</v>
      </c>
      <c r="D99" s="2" t="s">
        <v>140</v>
      </c>
      <c r="E99" s="10">
        <v>5500041</v>
      </c>
      <c r="F99" s="1" t="s">
        <v>49</v>
      </c>
      <c r="G99" s="1" t="s">
        <v>163</v>
      </c>
      <c r="H99" s="7" t="s">
        <v>39</v>
      </c>
      <c r="I99" s="12">
        <v>18760</v>
      </c>
      <c r="J99" s="13">
        <v>18760</v>
      </c>
    </row>
    <row r="100" spans="2:10" x14ac:dyDescent="0.2">
      <c r="B100" s="7">
        <v>98</v>
      </c>
      <c r="C100" s="11">
        <v>5031</v>
      </c>
      <c r="D100" s="2" t="s">
        <v>140</v>
      </c>
      <c r="E100" s="10">
        <v>5500041</v>
      </c>
      <c r="F100" s="1" t="s">
        <v>49</v>
      </c>
      <c r="G100" s="1" t="s">
        <v>163</v>
      </c>
      <c r="H100" s="7" t="s">
        <v>39</v>
      </c>
      <c r="I100" s="12">
        <v>18630</v>
      </c>
      <c r="J100" s="13">
        <v>18630</v>
      </c>
    </row>
    <row r="101" spans="2:10" x14ac:dyDescent="0.2">
      <c r="B101" s="7">
        <v>99</v>
      </c>
      <c r="C101" s="11">
        <v>5031</v>
      </c>
      <c r="D101" s="2" t="s">
        <v>140</v>
      </c>
      <c r="E101" s="10">
        <v>5500041</v>
      </c>
      <c r="F101" s="1" t="s">
        <v>49</v>
      </c>
      <c r="G101" s="1" t="s">
        <v>163</v>
      </c>
      <c r="H101" s="7" t="s">
        <v>39</v>
      </c>
      <c r="I101" s="12">
        <v>18630</v>
      </c>
      <c r="J101" s="13">
        <v>18630</v>
      </c>
    </row>
    <row r="102" spans="2:10" x14ac:dyDescent="0.2">
      <c r="B102" s="7">
        <v>100</v>
      </c>
      <c r="C102" s="11">
        <v>5034</v>
      </c>
      <c r="D102" s="2" t="s">
        <v>134</v>
      </c>
      <c r="E102" s="10">
        <v>5000641</v>
      </c>
      <c r="F102" s="1" t="s">
        <v>15</v>
      </c>
      <c r="G102" s="1" t="s">
        <v>160</v>
      </c>
      <c r="H102" s="7" t="s">
        <v>7</v>
      </c>
      <c r="I102" s="12">
        <v>9780</v>
      </c>
      <c r="J102" s="13">
        <v>9780</v>
      </c>
    </row>
    <row r="103" spans="2:10" x14ac:dyDescent="0.2">
      <c r="B103" s="7">
        <v>101</v>
      </c>
      <c r="C103" s="11">
        <v>5034</v>
      </c>
      <c r="D103" s="2" t="s">
        <v>134</v>
      </c>
      <c r="E103" s="10">
        <v>5500470</v>
      </c>
      <c r="F103" s="1" t="s">
        <v>91</v>
      </c>
      <c r="G103" s="1" t="s">
        <v>165</v>
      </c>
      <c r="H103" s="7" t="s">
        <v>34</v>
      </c>
      <c r="I103" s="12">
        <v>2440</v>
      </c>
      <c r="J103" s="13">
        <v>2440</v>
      </c>
    </row>
    <row r="104" spans="2:10" x14ac:dyDescent="0.2">
      <c r="B104" s="7">
        <v>102</v>
      </c>
      <c r="C104" s="11">
        <v>5034</v>
      </c>
      <c r="D104" s="2" t="s">
        <v>134</v>
      </c>
      <c r="E104" s="10">
        <v>5500537</v>
      </c>
      <c r="F104" s="1" t="s">
        <v>97</v>
      </c>
      <c r="G104" s="1" t="s">
        <v>165</v>
      </c>
      <c r="H104" s="7" t="s">
        <v>34</v>
      </c>
      <c r="I104" s="12">
        <v>39050</v>
      </c>
      <c r="J104" s="13">
        <v>39050</v>
      </c>
    </row>
    <row r="105" spans="2:10" x14ac:dyDescent="0.2">
      <c r="B105" s="7">
        <v>103</v>
      </c>
      <c r="C105" s="11">
        <v>5034</v>
      </c>
      <c r="D105" s="2" t="s">
        <v>134</v>
      </c>
      <c r="E105" s="10">
        <v>5500537</v>
      </c>
      <c r="F105" s="1" t="s">
        <v>97</v>
      </c>
      <c r="G105" s="1" t="s">
        <v>165</v>
      </c>
      <c r="H105" s="7" t="s">
        <v>34</v>
      </c>
      <c r="I105" s="12">
        <v>39025</v>
      </c>
      <c r="J105" s="13">
        <v>39025</v>
      </c>
    </row>
    <row r="106" spans="2:10" x14ac:dyDescent="0.2">
      <c r="B106" s="7">
        <v>104</v>
      </c>
      <c r="C106" s="11">
        <v>5034</v>
      </c>
      <c r="D106" s="2" t="s">
        <v>134</v>
      </c>
      <c r="E106" s="10">
        <v>8000155</v>
      </c>
      <c r="F106" s="1" t="s">
        <v>103</v>
      </c>
      <c r="G106" s="1" t="s">
        <v>165</v>
      </c>
      <c r="H106" s="7" t="s">
        <v>34</v>
      </c>
      <c r="I106" s="12">
        <v>24375</v>
      </c>
      <c r="J106" s="13">
        <v>24375</v>
      </c>
    </row>
    <row r="107" spans="2:10" x14ac:dyDescent="0.2">
      <c r="B107" s="7">
        <v>105</v>
      </c>
      <c r="C107" s="11">
        <v>5034</v>
      </c>
      <c r="D107" s="2" t="s">
        <v>134</v>
      </c>
      <c r="E107" s="10">
        <v>8000159</v>
      </c>
      <c r="F107" s="1" t="s">
        <v>105</v>
      </c>
      <c r="G107" s="1" t="s">
        <v>165</v>
      </c>
      <c r="H107" s="7" t="s">
        <v>34</v>
      </c>
      <c r="I107" s="12">
        <v>29400</v>
      </c>
      <c r="J107" s="13">
        <v>29400</v>
      </c>
    </row>
    <row r="108" spans="2:10" x14ac:dyDescent="0.2">
      <c r="B108" s="7">
        <v>106</v>
      </c>
      <c r="C108" s="11">
        <v>5063</v>
      </c>
      <c r="D108" s="2" t="s">
        <v>148</v>
      </c>
      <c r="E108" s="10">
        <v>5500063</v>
      </c>
      <c r="F108" s="1" t="s">
        <v>54</v>
      </c>
      <c r="G108" s="1" t="s">
        <v>163</v>
      </c>
      <c r="H108" s="7" t="s">
        <v>39</v>
      </c>
      <c r="I108" s="12">
        <v>18578</v>
      </c>
      <c r="J108" s="13">
        <v>18578</v>
      </c>
    </row>
    <row r="109" spans="2:10" x14ac:dyDescent="0.2">
      <c r="B109" s="7">
        <v>107</v>
      </c>
      <c r="C109" s="11">
        <v>5063</v>
      </c>
      <c r="D109" s="2" t="s">
        <v>148</v>
      </c>
      <c r="E109" s="10">
        <v>5500063</v>
      </c>
      <c r="F109" s="1" t="s">
        <v>54</v>
      </c>
      <c r="G109" s="1" t="s">
        <v>163</v>
      </c>
      <c r="H109" s="7" t="s">
        <v>39</v>
      </c>
      <c r="I109" s="12">
        <v>9226</v>
      </c>
      <c r="J109" s="13">
        <v>9226</v>
      </c>
    </row>
    <row r="110" spans="2:10" x14ac:dyDescent="0.2">
      <c r="B110" s="7">
        <v>108</v>
      </c>
      <c r="C110" s="11">
        <v>5037</v>
      </c>
      <c r="D110" s="2" t="s">
        <v>136</v>
      </c>
      <c r="E110" s="10">
        <v>5000879</v>
      </c>
      <c r="F110" s="1" t="s">
        <v>24</v>
      </c>
      <c r="G110" s="1" t="s">
        <v>155</v>
      </c>
      <c r="H110" s="7" t="s">
        <v>1</v>
      </c>
      <c r="I110" s="12">
        <v>98280</v>
      </c>
      <c r="J110" s="13">
        <v>98280</v>
      </c>
    </row>
    <row r="111" spans="2:10" x14ac:dyDescent="0.2">
      <c r="B111" s="7">
        <v>109</v>
      </c>
      <c r="C111" s="11">
        <v>5037</v>
      </c>
      <c r="D111" s="2" t="s">
        <v>136</v>
      </c>
      <c r="E111" s="10">
        <v>5000879</v>
      </c>
      <c r="F111" s="1" t="s">
        <v>24</v>
      </c>
      <c r="G111" s="1" t="s">
        <v>155</v>
      </c>
      <c r="H111" s="7" t="s">
        <v>1</v>
      </c>
      <c r="I111" s="12">
        <v>71550</v>
      </c>
      <c r="J111" s="13">
        <v>71550</v>
      </c>
    </row>
    <row r="112" spans="2:10" x14ac:dyDescent="0.2">
      <c r="B112" s="7">
        <v>110</v>
      </c>
      <c r="C112" s="11">
        <v>5037</v>
      </c>
      <c r="D112" s="2" t="s">
        <v>136</v>
      </c>
      <c r="E112" s="10">
        <v>8000049</v>
      </c>
      <c r="F112" s="1" t="s">
        <v>98</v>
      </c>
      <c r="G112" s="1" t="s">
        <v>155</v>
      </c>
      <c r="H112" s="7" t="s">
        <v>1</v>
      </c>
      <c r="I112" s="12">
        <v>25920</v>
      </c>
      <c r="J112" s="13">
        <v>25920</v>
      </c>
    </row>
    <row r="113" spans="2:10" x14ac:dyDescent="0.2">
      <c r="B113" s="7">
        <v>111</v>
      </c>
      <c r="C113" s="11">
        <v>5038</v>
      </c>
      <c r="D113" s="2" t="s">
        <v>151</v>
      </c>
      <c r="E113" s="10">
        <v>5500166</v>
      </c>
      <c r="F113" s="1" t="s">
        <v>73</v>
      </c>
      <c r="G113" s="1" t="s">
        <v>163</v>
      </c>
      <c r="H113" s="7" t="s">
        <v>39</v>
      </c>
      <c r="I113" s="12">
        <v>37688</v>
      </c>
      <c r="J113" s="13">
        <v>37688</v>
      </c>
    </row>
    <row r="114" spans="2:10" x14ac:dyDescent="0.2">
      <c r="B114" s="7">
        <v>112</v>
      </c>
      <c r="C114" s="11">
        <v>5038</v>
      </c>
      <c r="D114" s="2" t="s">
        <v>151</v>
      </c>
      <c r="E114" s="10">
        <v>5500168</v>
      </c>
      <c r="F114" s="1" t="s">
        <v>74</v>
      </c>
      <c r="G114" s="1" t="s">
        <v>163</v>
      </c>
      <c r="H114" s="7" t="s">
        <v>39</v>
      </c>
      <c r="I114" s="12">
        <v>18830</v>
      </c>
      <c r="J114" s="13">
        <v>18830</v>
      </c>
    </row>
    <row r="115" spans="2:10" x14ac:dyDescent="0.2">
      <c r="B115" s="7">
        <v>113</v>
      </c>
      <c r="C115" s="11">
        <v>5038</v>
      </c>
      <c r="D115" s="2" t="s">
        <v>151</v>
      </c>
      <c r="E115" s="10">
        <v>5500168</v>
      </c>
      <c r="F115" s="1" t="s">
        <v>74</v>
      </c>
      <c r="G115" s="1" t="s">
        <v>163</v>
      </c>
      <c r="H115" s="7" t="s">
        <v>39</v>
      </c>
      <c r="I115" s="12">
        <v>19020</v>
      </c>
      <c r="J115" s="13">
        <v>19020</v>
      </c>
    </row>
    <row r="116" spans="2:10" x14ac:dyDescent="0.2">
      <c r="B116" s="7">
        <v>114</v>
      </c>
      <c r="C116" s="11">
        <v>5038</v>
      </c>
      <c r="D116" s="2" t="s">
        <v>151</v>
      </c>
      <c r="E116" s="10">
        <v>5500168</v>
      </c>
      <c r="F116" s="1" t="s">
        <v>74</v>
      </c>
      <c r="G116" s="1" t="s">
        <v>163</v>
      </c>
      <c r="H116" s="7" t="s">
        <v>39</v>
      </c>
      <c r="I116" s="12">
        <v>18760</v>
      </c>
      <c r="J116" s="13">
        <v>18760</v>
      </c>
    </row>
    <row r="117" spans="2:10" x14ac:dyDescent="0.2">
      <c r="B117" s="7">
        <v>115</v>
      </c>
      <c r="C117" s="11">
        <v>5038</v>
      </c>
      <c r="D117" s="2" t="s">
        <v>151</v>
      </c>
      <c r="E117" s="10">
        <v>5500168</v>
      </c>
      <c r="F117" s="1" t="s">
        <v>74</v>
      </c>
      <c r="G117" s="1" t="s">
        <v>163</v>
      </c>
      <c r="H117" s="7" t="s">
        <v>39</v>
      </c>
      <c r="I117" s="12">
        <v>19150</v>
      </c>
      <c r="J117" s="13">
        <v>19150</v>
      </c>
    </row>
    <row r="118" spans="2:10" x14ac:dyDescent="0.2">
      <c r="B118" s="7">
        <v>116</v>
      </c>
      <c r="C118" s="11">
        <v>5038</v>
      </c>
      <c r="D118" s="2" t="s">
        <v>151</v>
      </c>
      <c r="E118" s="10">
        <v>5500171</v>
      </c>
      <c r="F118" s="1" t="s">
        <v>76</v>
      </c>
      <c r="G118" s="1" t="s">
        <v>166</v>
      </c>
      <c r="H118" s="7" t="s">
        <v>39</v>
      </c>
      <c r="I118" s="12">
        <v>27636</v>
      </c>
      <c r="J118" s="13">
        <v>27636</v>
      </c>
    </row>
    <row r="119" spans="2:10" x14ac:dyDescent="0.2">
      <c r="B119" s="7">
        <v>117</v>
      </c>
      <c r="C119" s="11">
        <v>5038</v>
      </c>
      <c r="D119" s="2" t="s">
        <v>151</v>
      </c>
      <c r="E119" s="10">
        <v>5500171</v>
      </c>
      <c r="F119" s="1" t="s">
        <v>76</v>
      </c>
      <c r="G119" s="1" t="s">
        <v>166</v>
      </c>
      <c r="H119" s="7" t="s">
        <v>39</v>
      </c>
      <c r="I119" s="12">
        <v>28042</v>
      </c>
      <c r="J119" s="13">
        <v>28042</v>
      </c>
    </row>
    <row r="120" spans="2:10" x14ac:dyDescent="0.2">
      <c r="B120" s="7">
        <v>118</v>
      </c>
      <c r="C120" s="11">
        <v>5038</v>
      </c>
      <c r="D120" s="2" t="s">
        <v>151</v>
      </c>
      <c r="E120" s="10">
        <v>5500176</v>
      </c>
      <c r="F120" s="1" t="s">
        <v>77</v>
      </c>
      <c r="G120" s="1" t="s">
        <v>166</v>
      </c>
      <c r="H120" s="7" t="s">
        <v>39</v>
      </c>
      <c r="I120" s="12">
        <v>23366</v>
      </c>
      <c r="J120" s="13">
        <v>23366</v>
      </c>
    </row>
    <row r="121" spans="2:10" x14ac:dyDescent="0.2">
      <c r="B121" s="7">
        <v>119</v>
      </c>
      <c r="C121" s="11">
        <v>5038</v>
      </c>
      <c r="D121" s="2" t="s">
        <v>151</v>
      </c>
      <c r="E121" s="10">
        <v>5500183</v>
      </c>
      <c r="F121" s="1" t="s">
        <v>78</v>
      </c>
      <c r="G121" s="1" t="s">
        <v>163</v>
      </c>
      <c r="H121" s="7" t="s">
        <v>39</v>
      </c>
      <c r="I121" s="12">
        <v>47040</v>
      </c>
      <c r="J121" s="13">
        <v>47040</v>
      </c>
    </row>
    <row r="122" spans="2:10" x14ac:dyDescent="0.2">
      <c r="B122" s="7">
        <v>120</v>
      </c>
      <c r="C122" s="11">
        <v>5038</v>
      </c>
      <c r="D122" s="2" t="s">
        <v>151</v>
      </c>
      <c r="E122" s="10">
        <v>5500534</v>
      </c>
      <c r="F122" s="1" t="s">
        <v>96</v>
      </c>
      <c r="G122" s="1" t="s">
        <v>163</v>
      </c>
      <c r="H122" s="7" t="s">
        <v>39</v>
      </c>
      <c r="I122" s="12">
        <v>18213</v>
      </c>
      <c r="J122" s="13">
        <v>18213</v>
      </c>
    </row>
    <row r="123" spans="2:10" x14ac:dyDescent="0.2">
      <c r="B123" s="7">
        <v>121</v>
      </c>
      <c r="C123" s="11">
        <v>5038</v>
      </c>
      <c r="D123" s="2" t="s">
        <v>151</v>
      </c>
      <c r="E123" s="10">
        <v>8000158</v>
      </c>
      <c r="F123" s="1" t="s">
        <v>104</v>
      </c>
      <c r="G123" s="1" t="s">
        <v>166</v>
      </c>
      <c r="H123" s="7" t="s">
        <v>39</v>
      </c>
      <c r="I123" s="12">
        <v>8722</v>
      </c>
      <c r="J123" s="13">
        <v>8722</v>
      </c>
    </row>
    <row r="124" spans="2:10" x14ac:dyDescent="0.2">
      <c r="B124" s="7">
        <v>122</v>
      </c>
      <c r="C124" s="11">
        <v>5042</v>
      </c>
      <c r="D124" s="2" t="s">
        <v>135</v>
      </c>
      <c r="E124" s="10">
        <v>5000700</v>
      </c>
      <c r="F124" s="1" t="s">
        <v>20</v>
      </c>
      <c r="G124" s="1" t="s">
        <v>158</v>
      </c>
      <c r="H124" s="7" t="s">
        <v>3</v>
      </c>
      <c r="I124" s="12">
        <v>69660</v>
      </c>
      <c r="J124" s="13">
        <v>696600</v>
      </c>
    </row>
    <row r="125" spans="2:10" x14ac:dyDescent="0.2">
      <c r="B125" s="7">
        <v>123</v>
      </c>
      <c r="C125" s="11">
        <v>5042</v>
      </c>
      <c r="D125" s="2" t="s">
        <v>135</v>
      </c>
      <c r="E125" s="10">
        <v>8000068</v>
      </c>
      <c r="F125" s="1" t="s">
        <v>100</v>
      </c>
      <c r="G125" s="1" t="s">
        <v>158</v>
      </c>
      <c r="H125" s="7" t="s">
        <v>3</v>
      </c>
      <c r="I125" s="12">
        <v>9000</v>
      </c>
      <c r="J125" s="13">
        <v>90000</v>
      </c>
    </row>
    <row r="126" spans="2:10" x14ac:dyDescent="0.2">
      <c r="B126" s="7">
        <v>124</v>
      </c>
      <c r="C126" s="11">
        <v>5039</v>
      </c>
      <c r="D126" s="2" t="s">
        <v>123</v>
      </c>
      <c r="E126" s="10">
        <v>5000119</v>
      </c>
      <c r="F126" s="1" t="s">
        <v>0</v>
      </c>
      <c r="G126" s="1" t="s">
        <v>154</v>
      </c>
      <c r="H126" s="7" t="s">
        <v>1</v>
      </c>
      <c r="I126" s="12">
        <v>27300</v>
      </c>
      <c r="J126" s="13">
        <v>27300</v>
      </c>
    </row>
    <row r="127" spans="2:10" x14ac:dyDescent="0.2">
      <c r="B127" s="7">
        <v>125</v>
      </c>
      <c r="C127" s="11">
        <v>5039</v>
      </c>
      <c r="D127" s="2" t="s">
        <v>123</v>
      </c>
      <c r="E127" s="10">
        <v>8000295</v>
      </c>
      <c r="F127" s="1" t="s">
        <v>108</v>
      </c>
      <c r="G127" s="1" t="s">
        <v>158</v>
      </c>
      <c r="H127" s="7" t="s">
        <v>34</v>
      </c>
      <c r="I127" s="12">
        <v>15672</v>
      </c>
      <c r="J127" s="13">
        <v>125376</v>
      </c>
    </row>
    <row r="128" spans="2:10" x14ac:dyDescent="0.2">
      <c r="B128" s="7">
        <v>126</v>
      </c>
      <c r="C128" s="11">
        <v>5039</v>
      </c>
      <c r="D128" s="2" t="s">
        <v>123</v>
      </c>
      <c r="E128" s="10">
        <v>8000295</v>
      </c>
      <c r="F128" s="1" t="s">
        <v>108</v>
      </c>
      <c r="G128" s="1" t="s">
        <v>158</v>
      </c>
      <c r="H128" s="7" t="s">
        <v>34</v>
      </c>
      <c r="I128" s="12">
        <v>15840</v>
      </c>
      <c r="J128" s="13">
        <v>126720</v>
      </c>
    </row>
    <row r="129" spans="2:10" x14ac:dyDescent="0.2">
      <c r="B129" s="7">
        <v>127</v>
      </c>
      <c r="C129" s="11">
        <v>5048</v>
      </c>
      <c r="D129" s="2" t="s">
        <v>152</v>
      </c>
      <c r="E129" s="10">
        <v>5500290</v>
      </c>
      <c r="F129" s="1" t="s">
        <v>81</v>
      </c>
      <c r="G129" s="1" t="s">
        <v>165</v>
      </c>
      <c r="H129" s="7" t="s">
        <v>34</v>
      </c>
      <c r="I129" s="12">
        <v>21125</v>
      </c>
      <c r="J129" s="13">
        <v>21125</v>
      </c>
    </row>
    <row r="130" spans="2:10" x14ac:dyDescent="0.2">
      <c r="B130" s="7">
        <v>128</v>
      </c>
      <c r="C130" s="11">
        <v>5049</v>
      </c>
      <c r="D130" s="2" t="s">
        <v>130</v>
      </c>
      <c r="E130" s="10">
        <v>5000460</v>
      </c>
      <c r="F130" s="1" t="s">
        <v>10</v>
      </c>
      <c r="G130" s="1" t="s">
        <v>157</v>
      </c>
      <c r="H130" s="7" t="s">
        <v>7</v>
      </c>
      <c r="I130" s="12">
        <v>19512</v>
      </c>
      <c r="J130" s="13">
        <v>19512</v>
      </c>
    </row>
    <row r="131" spans="2:10" x14ac:dyDescent="0.2">
      <c r="B131" s="7">
        <v>129</v>
      </c>
      <c r="C131" s="11">
        <v>5049</v>
      </c>
      <c r="D131" s="2" t="s">
        <v>130</v>
      </c>
      <c r="E131" s="10">
        <v>5000460</v>
      </c>
      <c r="F131" s="1" t="s">
        <v>10</v>
      </c>
      <c r="G131" s="1" t="s">
        <v>157</v>
      </c>
      <c r="H131" s="7" t="s">
        <v>7</v>
      </c>
      <c r="I131" s="12">
        <v>19488</v>
      </c>
      <c r="J131" s="13">
        <v>19488</v>
      </c>
    </row>
    <row r="132" spans="2:10" x14ac:dyDescent="0.2">
      <c r="B132" s="7">
        <v>130</v>
      </c>
      <c r="C132" s="11">
        <v>5049</v>
      </c>
      <c r="D132" s="2" t="s">
        <v>130</v>
      </c>
      <c r="E132" s="10">
        <v>5000460</v>
      </c>
      <c r="F132" s="1" t="s">
        <v>10</v>
      </c>
      <c r="G132" s="1" t="s">
        <v>157</v>
      </c>
      <c r="H132" s="7" t="s">
        <v>7</v>
      </c>
      <c r="I132" s="12">
        <v>19488</v>
      </c>
      <c r="J132" s="13">
        <v>19488</v>
      </c>
    </row>
    <row r="133" spans="2:10" x14ac:dyDescent="0.2">
      <c r="B133" s="7">
        <v>131</v>
      </c>
      <c r="C133" s="11">
        <v>5049</v>
      </c>
      <c r="D133" s="2" t="s">
        <v>130</v>
      </c>
      <c r="E133" s="10">
        <v>5000665</v>
      </c>
      <c r="F133" s="1" t="s">
        <v>17</v>
      </c>
      <c r="G133" s="1" t="s">
        <v>157</v>
      </c>
      <c r="H133" s="7" t="s">
        <v>7</v>
      </c>
      <c r="I133" s="12">
        <v>19560</v>
      </c>
      <c r="J133" s="13">
        <v>19560</v>
      </c>
    </row>
    <row r="134" spans="2:10" x14ac:dyDescent="0.2">
      <c r="B134" s="7">
        <v>132</v>
      </c>
      <c r="C134" s="11">
        <v>5049</v>
      </c>
      <c r="D134" s="2" t="s">
        <v>130</v>
      </c>
      <c r="E134" s="10">
        <v>5000665</v>
      </c>
      <c r="F134" s="1" t="s">
        <v>17</v>
      </c>
      <c r="G134" s="1" t="s">
        <v>157</v>
      </c>
      <c r="H134" s="7" t="s">
        <v>7</v>
      </c>
      <c r="I134" s="12">
        <v>39120</v>
      </c>
      <c r="J134" s="13">
        <v>39120</v>
      </c>
    </row>
    <row r="135" spans="2:10" x14ac:dyDescent="0.2">
      <c r="B135" s="7">
        <v>133</v>
      </c>
      <c r="C135" s="11">
        <v>5049</v>
      </c>
      <c r="D135" s="2" t="s">
        <v>130</v>
      </c>
      <c r="E135" s="10">
        <v>5000665</v>
      </c>
      <c r="F135" s="1" t="s">
        <v>17</v>
      </c>
      <c r="G135" s="1" t="s">
        <v>157</v>
      </c>
      <c r="H135" s="7" t="s">
        <v>7</v>
      </c>
      <c r="I135" s="12">
        <v>39060</v>
      </c>
      <c r="J135" s="13">
        <v>39060</v>
      </c>
    </row>
    <row r="136" spans="2:10" x14ac:dyDescent="0.2">
      <c r="B136" s="7">
        <v>134</v>
      </c>
      <c r="C136" s="11">
        <v>5049</v>
      </c>
      <c r="D136" s="2" t="s">
        <v>130</v>
      </c>
      <c r="E136" s="10">
        <v>5000665</v>
      </c>
      <c r="F136" s="1" t="s">
        <v>17</v>
      </c>
      <c r="G136" s="1" t="s">
        <v>157</v>
      </c>
      <c r="H136" s="7" t="s">
        <v>7</v>
      </c>
      <c r="I136" s="12">
        <v>39060</v>
      </c>
      <c r="J136" s="13">
        <v>39060</v>
      </c>
    </row>
    <row r="137" spans="2:10" x14ac:dyDescent="0.2">
      <c r="B137" s="7">
        <v>135</v>
      </c>
      <c r="C137" s="11">
        <v>5049</v>
      </c>
      <c r="D137" s="2" t="s">
        <v>130</v>
      </c>
      <c r="E137" s="10">
        <v>5000665</v>
      </c>
      <c r="F137" s="1" t="s">
        <v>17</v>
      </c>
      <c r="G137" s="1" t="s">
        <v>157</v>
      </c>
      <c r="H137" s="7" t="s">
        <v>7</v>
      </c>
      <c r="I137" s="12">
        <v>39000</v>
      </c>
      <c r="J137" s="13">
        <v>39000</v>
      </c>
    </row>
    <row r="138" spans="2:10" x14ac:dyDescent="0.2">
      <c r="B138" s="7">
        <v>136</v>
      </c>
      <c r="C138" s="11">
        <v>5049</v>
      </c>
      <c r="D138" s="2" t="s">
        <v>130</v>
      </c>
      <c r="E138" s="10">
        <v>5000665</v>
      </c>
      <c r="F138" s="1" t="s">
        <v>17</v>
      </c>
      <c r="G138" s="1" t="s">
        <v>157</v>
      </c>
      <c r="H138" s="7" t="s">
        <v>7</v>
      </c>
      <c r="I138" s="12">
        <v>39000</v>
      </c>
      <c r="J138" s="13">
        <v>39000</v>
      </c>
    </row>
    <row r="139" spans="2:10" x14ac:dyDescent="0.2">
      <c r="B139" s="7">
        <v>137</v>
      </c>
      <c r="C139" s="11">
        <v>5049</v>
      </c>
      <c r="D139" s="2" t="s">
        <v>130</v>
      </c>
      <c r="E139" s="10">
        <v>5000665</v>
      </c>
      <c r="F139" s="1" t="s">
        <v>17</v>
      </c>
      <c r="G139" s="1" t="s">
        <v>157</v>
      </c>
      <c r="H139" s="7" t="s">
        <v>7</v>
      </c>
      <c r="I139" s="12">
        <v>39000</v>
      </c>
      <c r="J139" s="13">
        <v>39000</v>
      </c>
    </row>
    <row r="140" spans="2:10" x14ac:dyDescent="0.2">
      <c r="B140" s="7">
        <v>138</v>
      </c>
      <c r="C140" s="11">
        <v>5049</v>
      </c>
      <c r="D140" s="2" t="s">
        <v>130</v>
      </c>
      <c r="E140" s="10">
        <v>5000665</v>
      </c>
      <c r="F140" s="1" t="s">
        <v>17</v>
      </c>
      <c r="G140" s="1" t="s">
        <v>157</v>
      </c>
      <c r="H140" s="7" t="s">
        <v>7</v>
      </c>
      <c r="I140" s="12">
        <v>39060</v>
      </c>
      <c r="J140" s="13">
        <v>39060</v>
      </c>
    </row>
    <row r="141" spans="2:10" x14ac:dyDescent="0.2">
      <c r="B141" s="7">
        <v>139</v>
      </c>
      <c r="C141" s="11">
        <v>5051</v>
      </c>
      <c r="D141" s="2" t="s">
        <v>137</v>
      </c>
      <c r="E141" s="10">
        <v>5001452</v>
      </c>
      <c r="F141" s="1" t="s">
        <v>33</v>
      </c>
      <c r="G141" s="1" t="s">
        <v>161</v>
      </c>
      <c r="H141" s="7" t="s">
        <v>34</v>
      </c>
      <c r="I141" s="12">
        <v>13600</v>
      </c>
      <c r="J141" s="13">
        <v>13600</v>
      </c>
    </row>
    <row r="142" spans="2:10" x14ac:dyDescent="0.2">
      <c r="B142" s="7">
        <v>140</v>
      </c>
      <c r="C142" s="11">
        <v>5051</v>
      </c>
      <c r="D142" s="2" t="s">
        <v>137</v>
      </c>
      <c r="E142" s="10">
        <v>5002511</v>
      </c>
      <c r="F142" s="1" t="s">
        <v>37</v>
      </c>
      <c r="G142" s="1" t="s">
        <v>162</v>
      </c>
      <c r="H142" s="7" t="s">
        <v>7</v>
      </c>
      <c r="I142" s="12">
        <v>4890</v>
      </c>
      <c r="J142" s="13">
        <v>4890</v>
      </c>
    </row>
    <row r="143" spans="2:10" x14ac:dyDescent="0.2">
      <c r="B143" s="7">
        <v>141</v>
      </c>
      <c r="C143" s="11">
        <v>5051</v>
      </c>
      <c r="D143" s="2" t="s">
        <v>137</v>
      </c>
      <c r="E143" s="10">
        <v>5002511</v>
      </c>
      <c r="F143" s="1" t="s">
        <v>37</v>
      </c>
      <c r="G143" s="1" t="s">
        <v>162</v>
      </c>
      <c r="H143" s="7" t="s">
        <v>7</v>
      </c>
      <c r="I143" s="12">
        <v>4930</v>
      </c>
      <c r="J143" s="13">
        <v>4930</v>
      </c>
    </row>
    <row r="144" spans="2:10" x14ac:dyDescent="0.2">
      <c r="B144" s="7">
        <v>142</v>
      </c>
      <c r="C144" s="11">
        <v>5051</v>
      </c>
      <c r="D144" s="2" t="s">
        <v>137</v>
      </c>
      <c r="E144" s="10">
        <v>5500018</v>
      </c>
      <c r="F144" s="1" t="s">
        <v>43</v>
      </c>
      <c r="G144" s="1" t="s">
        <v>162</v>
      </c>
      <c r="H144" s="7" t="s">
        <v>7</v>
      </c>
      <c r="I144" s="12">
        <v>8160</v>
      </c>
      <c r="J144" s="13">
        <v>8160</v>
      </c>
    </row>
    <row r="145" spans="2:10" x14ac:dyDescent="0.2">
      <c r="B145" s="7">
        <v>143</v>
      </c>
      <c r="C145" s="11">
        <v>5051</v>
      </c>
      <c r="D145" s="2" t="s">
        <v>137</v>
      </c>
      <c r="E145" s="10">
        <v>5500019</v>
      </c>
      <c r="F145" s="1" t="s">
        <v>44</v>
      </c>
      <c r="G145" s="1" t="s">
        <v>165</v>
      </c>
      <c r="H145" s="7" t="s">
        <v>34</v>
      </c>
      <c r="I145" s="12">
        <v>29350</v>
      </c>
      <c r="J145" s="13">
        <v>29350</v>
      </c>
    </row>
    <row r="146" spans="2:10" x14ac:dyDescent="0.2">
      <c r="B146" s="7">
        <v>144</v>
      </c>
      <c r="C146" s="11">
        <v>5051</v>
      </c>
      <c r="D146" s="2" t="s">
        <v>137</v>
      </c>
      <c r="E146" s="10">
        <v>5500036</v>
      </c>
      <c r="F146" s="1" t="s">
        <v>46</v>
      </c>
      <c r="G146" s="1" t="s">
        <v>164</v>
      </c>
      <c r="H146" s="7" t="s">
        <v>7</v>
      </c>
      <c r="I146" s="12">
        <v>8200</v>
      </c>
      <c r="J146" s="13">
        <v>8200</v>
      </c>
    </row>
    <row r="147" spans="2:10" x14ac:dyDescent="0.2">
      <c r="B147" s="7">
        <v>145</v>
      </c>
      <c r="C147" s="11">
        <v>5051</v>
      </c>
      <c r="D147" s="2" t="s">
        <v>137</v>
      </c>
      <c r="E147" s="10">
        <v>5500036</v>
      </c>
      <c r="F147" s="1" t="s">
        <v>46</v>
      </c>
      <c r="G147" s="1" t="s">
        <v>164</v>
      </c>
      <c r="H147" s="7" t="s">
        <v>7</v>
      </c>
      <c r="I147" s="12">
        <v>8200</v>
      </c>
      <c r="J147" s="13">
        <v>8200</v>
      </c>
    </row>
    <row r="148" spans="2:10" x14ac:dyDescent="0.2">
      <c r="B148" s="7">
        <v>146</v>
      </c>
      <c r="C148" s="11">
        <v>5051</v>
      </c>
      <c r="D148" s="2" t="s">
        <v>137</v>
      </c>
      <c r="E148" s="10">
        <v>5500036</v>
      </c>
      <c r="F148" s="1" t="s">
        <v>46</v>
      </c>
      <c r="G148" s="1" t="s">
        <v>164</v>
      </c>
      <c r="H148" s="7" t="s">
        <v>7</v>
      </c>
      <c r="I148" s="12">
        <v>8200</v>
      </c>
      <c r="J148" s="13">
        <v>8200</v>
      </c>
    </row>
    <row r="149" spans="2:10" x14ac:dyDescent="0.2">
      <c r="B149" s="7">
        <v>147</v>
      </c>
      <c r="C149" s="11">
        <v>5051</v>
      </c>
      <c r="D149" s="2" t="s">
        <v>137</v>
      </c>
      <c r="E149" s="10">
        <v>5500036</v>
      </c>
      <c r="F149" s="1" t="s">
        <v>46</v>
      </c>
      <c r="G149" s="1" t="s">
        <v>164</v>
      </c>
      <c r="H149" s="7" t="s">
        <v>7</v>
      </c>
      <c r="I149" s="12">
        <v>8200</v>
      </c>
      <c r="J149" s="13">
        <v>8200</v>
      </c>
    </row>
    <row r="150" spans="2:10" x14ac:dyDescent="0.2">
      <c r="B150" s="7">
        <v>148</v>
      </c>
      <c r="C150" s="11">
        <v>5051</v>
      </c>
      <c r="D150" s="2" t="s">
        <v>137</v>
      </c>
      <c r="E150" s="10">
        <v>5500054</v>
      </c>
      <c r="F150" s="1" t="s">
        <v>51</v>
      </c>
      <c r="G150" s="1" t="s">
        <v>165</v>
      </c>
      <c r="H150" s="7" t="s">
        <v>34</v>
      </c>
      <c r="I150" s="12">
        <v>39240</v>
      </c>
      <c r="J150" s="13">
        <v>39240</v>
      </c>
    </row>
    <row r="151" spans="2:10" x14ac:dyDescent="0.2">
      <c r="B151" s="7">
        <v>149</v>
      </c>
      <c r="C151" s="11">
        <v>5051</v>
      </c>
      <c r="D151" s="2" t="s">
        <v>137</v>
      </c>
      <c r="E151" s="10">
        <v>5500137</v>
      </c>
      <c r="F151" s="1" t="s">
        <v>67</v>
      </c>
      <c r="G151" s="1" t="s">
        <v>167</v>
      </c>
      <c r="H151" s="7" t="s">
        <v>34</v>
      </c>
      <c r="I151" s="12">
        <v>6520</v>
      </c>
      <c r="J151" s="13">
        <v>6520</v>
      </c>
    </row>
    <row r="152" spans="2:10" x14ac:dyDescent="0.2">
      <c r="B152" s="7">
        <v>150</v>
      </c>
      <c r="C152" s="11">
        <v>5051</v>
      </c>
      <c r="D152" s="2" t="s">
        <v>137</v>
      </c>
      <c r="E152" s="10">
        <v>5500199</v>
      </c>
      <c r="F152" s="1" t="s">
        <v>79</v>
      </c>
      <c r="G152" s="1" t="s">
        <v>167</v>
      </c>
      <c r="H152" s="7" t="s">
        <v>34</v>
      </c>
      <c r="I152" s="12">
        <v>26820</v>
      </c>
      <c r="J152" s="13">
        <v>26820</v>
      </c>
    </row>
    <row r="153" spans="2:10" x14ac:dyDescent="0.2">
      <c r="B153" s="7">
        <v>151</v>
      </c>
      <c r="C153" s="11">
        <v>5051</v>
      </c>
      <c r="D153" s="2" t="s">
        <v>137</v>
      </c>
      <c r="E153" s="10">
        <v>5500274</v>
      </c>
      <c r="F153" s="1" t="s">
        <v>80</v>
      </c>
      <c r="G153" s="1" t="s">
        <v>165</v>
      </c>
      <c r="H153" s="7" t="s">
        <v>34</v>
      </c>
      <c r="I153" s="12">
        <v>8120</v>
      </c>
      <c r="J153" s="13">
        <v>8120</v>
      </c>
    </row>
    <row r="154" spans="2:10" x14ac:dyDescent="0.2">
      <c r="B154" s="7">
        <v>152</v>
      </c>
      <c r="C154" s="11">
        <v>5051</v>
      </c>
      <c r="D154" s="2" t="s">
        <v>137</v>
      </c>
      <c r="E154" s="10">
        <v>5500274</v>
      </c>
      <c r="F154" s="1" t="s">
        <v>80</v>
      </c>
      <c r="G154" s="1" t="s">
        <v>165</v>
      </c>
      <c r="H154" s="7" t="s">
        <v>34</v>
      </c>
      <c r="I154" s="12">
        <v>8200</v>
      </c>
      <c r="J154" s="13">
        <v>8200</v>
      </c>
    </row>
    <row r="155" spans="2:10" x14ac:dyDescent="0.2">
      <c r="B155" s="7">
        <v>153</v>
      </c>
      <c r="C155" s="11">
        <v>5051</v>
      </c>
      <c r="D155" s="2" t="s">
        <v>137</v>
      </c>
      <c r="E155" s="10">
        <v>5500480</v>
      </c>
      <c r="F155" s="1" t="s">
        <v>92</v>
      </c>
      <c r="G155" s="1" t="s">
        <v>165</v>
      </c>
      <c r="H155" s="7" t="s">
        <v>34</v>
      </c>
      <c r="I155" s="12">
        <v>11025</v>
      </c>
      <c r="J155" s="13">
        <v>11025</v>
      </c>
    </row>
    <row r="156" spans="2:10" x14ac:dyDescent="0.2">
      <c r="B156" s="7">
        <v>154</v>
      </c>
      <c r="C156" s="11">
        <v>5051</v>
      </c>
      <c r="D156" s="2" t="s">
        <v>137</v>
      </c>
      <c r="E156" s="10">
        <v>8000236</v>
      </c>
      <c r="F156" s="1" t="s">
        <v>107</v>
      </c>
      <c r="G156" s="1" t="s">
        <v>167</v>
      </c>
      <c r="H156" s="7" t="s">
        <v>34</v>
      </c>
      <c r="I156" s="12">
        <v>9875</v>
      </c>
      <c r="J156" s="13">
        <v>9875</v>
      </c>
    </row>
    <row r="157" spans="2:10" x14ac:dyDescent="0.2">
      <c r="B157" s="7">
        <v>155</v>
      </c>
      <c r="C157" s="11">
        <v>5051</v>
      </c>
      <c r="D157" s="2" t="s">
        <v>137</v>
      </c>
      <c r="E157" s="10">
        <v>8000483</v>
      </c>
      <c r="F157" s="1" t="s">
        <v>112</v>
      </c>
      <c r="G157" s="1" t="s">
        <v>165</v>
      </c>
      <c r="H157" s="7" t="s">
        <v>34</v>
      </c>
      <c r="I157" s="12">
        <v>14775</v>
      </c>
      <c r="J157" s="13">
        <v>14775</v>
      </c>
    </row>
    <row r="158" spans="2:10" x14ac:dyDescent="0.2">
      <c r="B158" s="7">
        <v>156</v>
      </c>
      <c r="C158" s="11">
        <v>5052</v>
      </c>
      <c r="D158" s="2" t="s">
        <v>125</v>
      </c>
      <c r="E158" s="10">
        <v>5000146</v>
      </c>
      <c r="F158" s="1" t="s">
        <v>2</v>
      </c>
      <c r="G158" s="1" t="s">
        <v>159</v>
      </c>
      <c r="H158" s="7" t="s">
        <v>3</v>
      </c>
      <c r="I158" s="12">
        <v>49200</v>
      </c>
      <c r="J158" s="13">
        <v>492000</v>
      </c>
    </row>
    <row r="159" spans="2:10" x14ac:dyDescent="0.2">
      <c r="B159" s="7">
        <v>157</v>
      </c>
      <c r="C159" s="11">
        <v>5052</v>
      </c>
      <c r="D159" s="2" t="s">
        <v>125</v>
      </c>
      <c r="E159" s="10">
        <v>5000291</v>
      </c>
      <c r="F159" s="1" t="s">
        <v>5</v>
      </c>
      <c r="G159" s="1" t="s">
        <v>158</v>
      </c>
      <c r="H159" s="7" t="s">
        <v>3</v>
      </c>
      <c r="I159" s="12">
        <v>88500</v>
      </c>
      <c r="J159" s="13">
        <v>885000</v>
      </c>
    </row>
    <row r="160" spans="2:10" x14ac:dyDescent="0.2">
      <c r="B160" s="7">
        <v>158</v>
      </c>
      <c r="C160" s="11">
        <v>5052</v>
      </c>
      <c r="D160" s="2" t="s">
        <v>125</v>
      </c>
      <c r="E160" s="10">
        <v>5000648</v>
      </c>
      <c r="F160" s="1" t="s">
        <v>16</v>
      </c>
      <c r="G160" s="1" t="s">
        <v>158</v>
      </c>
      <c r="H160" s="7" t="s">
        <v>3</v>
      </c>
      <c r="I160" s="12">
        <v>30000</v>
      </c>
      <c r="J160" s="13">
        <v>300000</v>
      </c>
    </row>
    <row r="161" spans="2:10" x14ac:dyDescent="0.2">
      <c r="B161" s="7">
        <v>159</v>
      </c>
      <c r="C161" s="11">
        <v>5052</v>
      </c>
      <c r="D161" s="2" t="s">
        <v>125</v>
      </c>
      <c r="E161" s="10">
        <v>5000806</v>
      </c>
      <c r="F161" s="1" t="s">
        <v>23</v>
      </c>
      <c r="G161" s="1" t="s">
        <v>155</v>
      </c>
      <c r="H161" s="7" t="s">
        <v>7</v>
      </c>
      <c r="I161" s="12">
        <v>24600</v>
      </c>
      <c r="J161" s="13">
        <v>24600</v>
      </c>
    </row>
    <row r="162" spans="2:10" x14ac:dyDescent="0.2">
      <c r="B162" s="7">
        <v>160</v>
      </c>
      <c r="C162" s="11">
        <v>5052</v>
      </c>
      <c r="D162" s="2" t="s">
        <v>125</v>
      </c>
      <c r="E162" s="10">
        <v>5000806</v>
      </c>
      <c r="F162" s="1" t="s">
        <v>23</v>
      </c>
      <c r="G162" s="1" t="s">
        <v>155</v>
      </c>
      <c r="H162" s="7" t="s">
        <v>7</v>
      </c>
      <c r="I162" s="12">
        <v>24600</v>
      </c>
      <c r="J162" s="13">
        <v>24600</v>
      </c>
    </row>
    <row r="163" spans="2:10" x14ac:dyDescent="0.2">
      <c r="B163" s="7">
        <v>161</v>
      </c>
      <c r="C163" s="11">
        <v>5052</v>
      </c>
      <c r="D163" s="2" t="s">
        <v>125</v>
      </c>
      <c r="E163" s="10">
        <v>5000806</v>
      </c>
      <c r="F163" s="1" t="s">
        <v>23</v>
      </c>
      <c r="G163" s="1" t="s">
        <v>155</v>
      </c>
      <c r="H163" s="7" t="s">
        <v>7</v>
      </c>
      <c r="I163" s="12">
        <v>24600</v>
      </c>
      <c r="J163" s="13">
        <v>24600</v>
      </c>
    </row>
    <row r="164" spans="2:10" x14ac:dyDescent="0.2">
      <c r="B164" s="7">
        <v>162</v>
      </c>
      <c r="C164" s="11">
        <v>5052</v>
      </c>
      <c r="D164" s="2" t="s">
        <v>125</v>
      </c>
      <c r="E164" s="10">
        <v>5000806</v>
      </c>
      <c r="F164" s="1" t="s">
        <v>23</v>
      </c>
      <c r="G164" s="1" t="s">
        <v>155</v>
      </c>
      <c r="H164" s="7" t="s">
        <v>7</v>
      </c>
      <c r="I164" s="12">
        <v>24600</v>
      </c>
      <c r="J164" s="13">
        <v>24600</v>
      </c>
    </row>
    <row r="165" spans="2:10" x14ac:dyDescent="0.2">
      <c r="B165" s="7">
        <v>163</v>
      </c>
      <c r="C165" s="11">
        <v>5052</v>
      </c>
      <c r="D165" s="2" t="s">
        <v>125</v>
      </c>
      <c r="E165" s="10">
        <v>5000899</v>
      </c>
      <c r="F165" s="1" t="s">
        <v>25</v>
      </c>
      <c r="G165" s="1" t="s">
        <v>158</v>
      </c>
      <c r="H165" s="7" t="s">
        <v>3</v>
      </c>
      <c r="I165" s="12">
        <v>38900</v>
      </c>
      <c r="J165" s="13">
        <v>389000</v>
      </c>
    </row>
    <row r="166" spans="2:10" x14ac:dyDescent="0.2">
      <c r="B166" s="7">
        <v>164</v>
      </c>
      <c r="C166" s="11">
        <v>5064</v>
      </c>
      <c r="D166" s="2" t="s">
        <v>131</v>
      </c>
      <c r="E166" s="10">
        <v>5000510</v>
      </c>
      <c r="F166" s="1" t="s">
        <v>11</v>
      </c>
      <c r="G166" s="1" t="s">
        <v>159</v>
      </c>
      <c r="H166" s="7" t="s">
        <v>3</v>
      </c>
      <c r="I166" s="12">
        <v>600</v>
      </c>
      <c r="J166" s="13">
        <v>6000</v>
      </c>
    </row>
    <row r="167" spans="2:10" x14ac:dyDescent="0.2">
      <c r="B167" s="7">
        <v>165</v>
      </c>
      <c r="C167" s="11">
        <v>5064</v>
      </c>
      <c r="D167" s="2" t="s">
        <v>131</v>
      </c>
      <c r="E167" s="10">
        <v>5000856</v>
      </c>
      <c r="F167" s="1" t="s">
        <v>11</v>
      </c>
      <c r="G167" s="1" t="s">
        <v>159</v>
      </c>
      <c r="H167" s="7" t="s">
        <v>3</v>
      </c>
      <c r="I167" s="12">
        <v>76320</v>
      </c>
      <c r="J167" s="13">
        <v>763200</v>
      </c>
    </row>
    <row r="168" spans="2:10" x14ac:dyDescent="0.2">
      <c r="B168" s="7">
        <v>166</v>
      </c>
      <c r="C168" s="11">
        <v>5064</v>
      </c>
      <c r="D168" s="2" t="s">
        <v>131</v>
      </c>
      <c r="E168" s="10">
        <v>5001405</v>
      </c>
      <c r="F168" s="1" t="s">
        <v>32</v>
      </c>
      <c r="G168" s="1" t="s">
        <v>157</v>
      </c>
      <c r="H168" s="7" t="s">
        <v>7</v>
      </c>
      <c r="I168" s="12">
        <v>6850</v>
      </c>
      <c r="J168" s="13">
        <v>6850</v>
      </c>
    </row>
    <row r="169" spans="2:10" x14ac:dyDescent="0.2">
      <c r="B169" s="7">
        <v>167</v>
      </c>
      <c r="C169" s="11">
        <v>5064</v>
      </c>
      <c r="D169" s="2" t="s">
        <v>131</v>
      </c>
      <c r="E169" s="10">
        <v>8000091</v>
      </c>
      <c r="F169" s="1" t="s">
        <v>32</v>
      </c>
      <c r="G169" s="1" t="s">
        <v>157</v>
      </c>
      <c r="H169" s="7" t="s">
        <v>7</v>
      </c>
      <c r="I169" s="12">
        <v>6250</v>
      </c>
      <c r="J169" s="13">
        <v>6250</v>
      </c>
    </row>
    <row r="170" spans="2:10" x14ac:dyDescent="0.2">
      <c r="B170" s="7">
        <v>168</v>
      </c>
      <c r="C170" s="11">
        <v>5055</v>
      </c>
      <c r="D170" s="2" t="s">
        <v>144</v>
      </c>
      <c r="E170" s="10">
        <v>5500040</v>
      </c>
      <c r="F170" s="1" t="s">
        <v>48</v>
      </c>
      <c r="G170" s="1" t="s">
        <v>164</v>
      </c>
      <c r="H170" s="7" t="s">
        <v>7</v>
      </c>
      <c r="I170" s="12">
        <v>15780</v>
      </c>
      <c r="J170" s="13">
        <v>15780</v>
      </c>
    </row>
    <row r="171" spans="2:10" x14ac:dyDescent="0.2">
      <c r="B171" s="7">
        <v>169</v>
      </c>
      <c r="C171" s="11">
        <v>5055</v>
      </c>
      <c r="D171" s="2" t="s">
        <v>144</v>
      </c>
      <c r="E171" s="10">
        <v>5500040</v>
      </c>
      <c r="F171" s="1" t="s">
        <v>48</v>
      </c>
      <c r="G171" s="1" t="s">
        <v>164</v>
      </c>
      <c r="H171" s="7" t="s">
        <v>7</v>
      </c>
      <c r="I171" s="12">
        <v>15630</v>
      </c>
      <c r="J171" s="13">
        <v>15630</v>
      </c>
    </row>
    <row r="172" spans="2:10" x14ac:dyDescent="0.2">
      <c r="B172" s="7">
        <v>170</v>
      </c>
      <c r="C172" s="11">
        <v>5055</v>
      </c>
      <c r="D172" s="2" t="s">
        <v>144</v>
      </c>
      <c r="E172" s="10">
        <v>5500111</v>
      </c>
      <c r="F172" s="1" t="s">
        <v>63</v>
      </c>
      <c r="G172" s="1" t="s">
        <v>163</v>
      </c>
      <c r="H172" s="7" t="s">
        <v>39</v>
      </c>
      <c r="I172" s="12">
        <v>19300</v>
      </c>
      <c r="J172" s="13">
        <v>19300</v>
      </c>
    </row>
    <row r="173" spans="2:10" x14ac:dyDescent="0.2">
      <c r="B173" s="7">
        <v>171</v>
      </c>
      <c r="C173" s="11">
        <v>5055</v>
      </c>
      <c r="D173" s="2" t="s">
        <v>144</v>
      </c>
      <c r="E173" s="10">
        <v>5500111</v>
      </c>
      <c r="F173" s="1" t="s">
        <v>63</v>
      </c>
      <c r="G173" s="1" t="s">
        <v>163</v>
      </c>
      <c r="H173" s="7" t="s">
        <v>39</v>
      </c>
      <c r="I173" s="12">
        <v>19370</v>
      </c>
      <c r="J173" s="13">
        <v>19370</v>
      </c>
    </row>
    <row r="174" spans="2:10" x14ac:dyDescent="0.2">
      <c r="B174" s="7">
        <v>172</v>
      </c>
      <c r="C174" s="11">
        <v>5055</v>
      </c>
      <c r="D174" s="2" t="s">
        <v>144</v>
      </c>
      <c r="E174" s="10">
        <v>5500165</v>
      </c>
      <c r="F174" s="1" t="s">
        <v>72</v>
      </c>
      <c r="G174" s="1" t="s">
        <v>163</v>
      </c>
      <c r="H174" s="7" t="s">
        <v>39</v>
      </c>
      <c r="I174" s="12">
        <v>17020</v>
      </c>
      <c r="J174" s="13">
        <v>17020</v>
      </c>
    </row>
    <row r="175" spans="2:10" x14ac:dyDescent="0.2">
      <c r="B175" s="7">
        <v>173</v>
      </c>
      <c r="C175" s="11">
        <v>5055</v>
      </c>
      <c r="D175" s="2" t="s">
        <v>144</v>
      </c>
      <c r="E175" s="10">
        <v>5500432</v>
      </c>
      <c r="F175" s="1" t="s">
        <v>87</v>
      </c>
      <c r="G175" s="1" t="s">
        <v>163</v>
      </c>
      <c r="H175" s="7" t="s">
        <v>39</v>
      </c>
      <c r="I175" s="12">
        <v>28714</v>
      </c>
      <c r="J175" s="13">
        <v>28714</v>
      </c>
    </row>
    <row r="176" spans="2:10" x14ac:dyDescent="0.2">
      <c r="B176" s="7">
        <v>174</v>
      </c>
      <c r="C176" s="11">
        <v>5055</v>
      </c>
      <c r="D176" s="2" t="s">
        <v>144</v>
      </c>
      <c r="E176" s="10">
        <v>8000175</v>
      </c>
      <c r="F176" s="1" t="s">
        <v>106</v>
      </c>
      <c r="G176" s="1" t="s">
        <v>163</v>
      </c>
      <c r="H176" s="7" t="s">
        <v>39</v>
      </c>
      <c r="I176" s="12">
        <v>8904</v>
      </c>
      <c r="J176" s="13">
        <v>8904</v>
      </c>
    </row>
    <row r="177" spans="2:10" x14ac:dyDescent="0.2">
      <c r="B177" s="7">
        <v>175</v>
      </c>
      <c r="C177" s="11">
        <v>5055</v>
      </c>
      <c r="D177" s="2" t="s">
        <v>144</v>
      </c>
      <c r="E177" s="10">
        <v>8000403</v>
      </c>
      <c r="F177" s="1" t="s">
        <v>110</v>
      </c>
      <c r="G177" s="1" t="s">
        <v>163</v>
      </c>
      <c r="H177" s="7" t="s">
        <v>39</v>
      </c>
      <c r="I177" s="12">
        <v>17388</v>
      </c>
      <c r="J177" s="13">
        <v>17388</v>
      </c>
    </row>
    <row r="178" spans="2:10" x14ac:dyDescent="0.2">
      <c r="B178" s="7">
        <v>176</v>
      </c>
      <c r="C178" s="11">
        <v>5059</v>
      </c>
      <c r="D178" s="2" t="s">
        <v>129</v>
      </c>
      <c r="E178" s="10">
        <v>5000459</v>
      </c>
      <c r="F178" s="1" t="s">
        <v>8</v>
      </c>
      <c r="G178" s="1" t="s">
        <v>156</v>
      </c>
      <c r="H178" s="7" t="s">
        <v>9</v>
      </c>
      <c r="I178" s="12">
        <v>24600</v>
      </c>
      <c r="J178" s="13">
        <v>24600</v>
      </c>
    </row>
    <row r="179" spans="2:10" x14ac:dyDescent="0.2">
      <c r="B179" s="7">
        <v>177</v>
      </c>
      <c r="C179" s="11">
        <v>5066</v>
      </c>
      <c r="D179" s="2" t="s">
        <v>127</v>
      </c>
      <c r="E179" s="10">
        <v>5000449</v>
      </c>
      <c r="F179" s="1" t="s">
        <v>6</v>
      </c>
      <c r="G179" s="1" t="s">
        <v>155</v>
      </c>
      <c r="H179" s="7" t="s">
        <v>7</v>
      </c>
      <c r="I179" s="12">
        <v>23540</v>
      </c>
      <c r="J179" s="13">
        <v>23540</v>
      </c>
    </row>
    <row r="180" spans="2:10" x14ac:dyDescent="0.2">
      <c r="B180" s="7">
        <v>178</v>
      </c>
      <c r="C180" s="11">
        <v>5066</v>
      </c>
      <c r="D180" s="2" t="s">
        <v>127</v>
      </c>
      <c r="E180" s="10">
        <v>5000449</v>
      </c>
      <c r="F180" s="1" t="s">
        <v>6</v>
      </c>
      <c r="G180" s="1" t="s">
        <v>155</v>
      </c>
      <c r="H180" s="7" t="s">
        <v>7</v>
      </c>
      <c r="I180" s="12">
        <v>23520</v>
      </c>
      <c r="J180" s="13">
        <v>23520</v>
      </c>
    </row>
    <row r="181" spans="2:10" x14ac:dyDescent="0.2">
      <c r="B181" s="7">
        <v>179</v>
      </c>
      <c r="C181" s="11">
        <v>5066</v>
      </c>
      <c r="D181" s="2" t="s">
        <v>127</v>
      </c>
      <c r="E181" s="10">
        <v>5000679</v>
      </c>
      <c r="F181" s="1" t="s">
        <v>18</v>
      </c>
      <c r="G181" s="1" t="s">
        <v>158</v>
      </c>
      <c r="H181" s="7" t="s">
        <v>3</v>
      </c>
      <c r="I181" s="12">
        <v>14620</v>
      </c>
      <c r="J181" s="13">
        <v>146200</v>
      </c>
    </row>
    <row r="182" spans="2:10" x14ac:dyDescent="0.2">
      <c r="B182" s="7">
        <v>180</v>
      </c>
      <c r="C182" s="11">
        <v>5066</v>
      </c>
      <c r="D182" s="2" t="s">
        <v>127</v>
      </c>
      <c r="E182" s="10">
        <v>8000065</v>
      </c>
      <c r="F182" s="1" t="s">
        <v>99</v>
      </c>
      <c r="G182" s="1" t="s">
        <v>158</v>
      </c>
      <c r="H182" s="7" t="s">
        <v>3</v>
      </c>
      <c r="I182" s="12">
        <v>14760</v>
      </c>
      <c r="J182" s="13">
        <v>147600</v>
      </c>
    </row>
    <row r="183" spans="2:10" x14ac:dyDescent="0.2">
      <c r="B183" s="7">
        <v>181</v>
      </c>
      <c r="C183" s="11">
        <v>5060</v>
      </c>
      <c r="D183" s="2" t="s">
        <v>146</v>
      </c>
      <c r="E183" s="10">
        <v>5500042</v>
      </c>
      <c r="F183" s="1" t="s">
        <v>50</v>
      </c>
      <c r="G183" s="1" t="s">
        <v>163</v>
      </c>
      <c r="H183" s="7" t="s">
        <v>39</v>
      </c>
      <c r="I183" s="12">
        <v>9520</v>
      </c>
      <c r="J183" s="13">
        <v>9520</v>
      </c>
    </row>
    <row r="184" spans="2:10" x14ac:dyDescent="0.2">
      <c r="B184" s="7">
        <v>182</v>
      </c>
      <c r="C184" s="11">
        <v>5060</v>
      </c>
      <c r="D184" s="2" t="s">
        <v>146</v>
      </c>
      <c r="E184" s="10">
        <v>5500042</v>
      </c>
      <c r="F184" s="1" t="s">
        <v>50</v>
      </c>
      <c r="G184" s="1" t="s">
        <v>163</v>
      </c>
      <c r="H184" s="7" t="s">
        <v>39</v>
      </c>
      <c r="I184" s="12">
        <v>9490</v>
      </c>
      <c r="J184" s="13">
        <v>9490</v>
      </c>
    </row>
    <row r="185" spans="2:10" x14ac:dyDescent="0.2">
      <c r="B185" s="7">
        <v>183</v>
      </c>
      <c r="C185" s="11">
        <v>5060</v>
      </c>
      <c r="D185" s="2" t="s">
        <v>146</v>
      </c>
      <c r="E185" s="10">
        <v>5500042</v>
      </c>
      <c r="F185" s="1" t="s">
        <v>50</v>
      </c>
      <c r="G185" s="1" t="s">
        <v>163</v>
      </c>
      <c r="H185" s="7" t="s">
        <v>39</v>
      </c>
      <c r="I185" s="12">
        <v>9530</v>
      </c>
      <c r="J185" s="13">
        <v>9530</v>
      </c>
    </row>
    <row r="186" spans="2:10" x14ac:dyDescent="0.2">
      <c r="B186" s="7">
        <v>184</v>
      </c>
      <c r="C186" s="11">
        <v>5060</v>
      </c>
      <c r="D186" s="2" t="s">
        <v>146</v>
      </c>
      <c r="E186" s="10">
        <v>5500042</v>
      </c>
      <c r="F186" s="1" t="s">
        <v>50</v>
      </c>
      <c r="G186" s="1" t="s">
        <v>163</v>
      </c>
      <c r="H186" s="7" t="s">
        <v>39</v>
      </c>
      <c r="I186" s="12">
        <v>9500</v>
      </c>
      <c r="J186" s="13">
        <v>9500</v>
      </c>
    </row>
    <row r="187" spans="2:10" x14ac:dyDescent="0.2">
      <c r="B187" s="7">
        <v>185</v>
      </c>
      <c r="C187" s="11">
        <v>5060</v>
      </c>
      <c r="D187" s="2" t="s">
        <v>146</v>
      </c>
      <c r="E187" s="10">
        <v>5500042</v>
      </c>
      <c r="F187" s="1" t="s">
        <v>50</v>
      </c>
      <c r="G187" s="1" t="s">
        <v>163</v>
      </c>
      <c r="H187" s="7" t="s">
        <v>39</v>
      </c>
      <c r="I187" s="12">
        <v>9380</v>
      </c>
      <c r="J187" s="13">
        <v>9380</v>
      </c>
    </row>
    <row r="188" spans="2:10" x14ac:dyDescent="0.2">
      <c r="B188" s="7">
        <v>186</v>
      </c>
      <c r="C188" s="11">
        <v>5060</v>
      </c>
      <c r="D188" s="2" t="s">
        <v>146</v>
      </c>
      <c r="E188" s="10">
        <v>5500042</v>
      </c>
      <c r="F188" s="1" t="s">
        <v>50</v>
      </c>
      <c r="G188" s="1" t="s">
        <v>163</v>
      </c>
      <c r="H188" s="7" t="s">
        <v>39</v>
      </c>
      <c r="I188" s="12">
        <v>9480</v>
      </c>
      <c r="J188" s="13">
        <v>9480</v>
      </c>
    </row>
    <row r="189" spans="2:10" x14ac:dyDescent="0.2">
      <c r="B189" s="7">
        <v>187</v>
      </c>
      <c r="C189" s="11">
        <v>5060</v>
      </c>
      <c r="D189" s="2" t="s">
        <v>146</v>
      </c>
      <c r="E189" s="10">
        <v>5500453</v>
      </c>
      <c r="F189" s="1" t="s">
        <v>89</v>
      </c>
      <c r="G189" s="1" t="s">
        <v>163</v>
      </c>
      <c r="H189" s="7" t="s">
        <v>39</v>
      </c>
      <c r="I189" s="12">
        <v>19082</v>
      </c>
      <c r="J189" s="13">
        <v>19082</v>
      </c>
    </row>
    <row r="190" spans="2:10" x14ac:dyDescent="0.2">
      <c r="B190" s="7">
        <v>188</v>
      </c>
      <c r="C190" s="11">
        <v>5060</v>
      </c>
      <c r="D190" s="2" t="s">
        <v>146</v>
      </c>
      <c r="E190" s="10">
        <v>5500453</v>
      </c>
      <c r="F190" s="1" t="s">
        <v>89</v>
      </c>
      <c r="G190" s="1" t="s">
        <v>163</v>
      </c>
      <c r="H190" s="7" t="s">
        <v>39</v>
      </c>
      <c r="I190" s="12">
        <v>19376</v>
      </c>
      <c r="J190" s="13">
        <v>19376</v>
      </c>
    </row>
    <row r="191" spans="2:10" x14ac:dyDescent="0.2">
      <c r="B191" s="7">
        <v>189</v>
      </c>
      <c r="C191" s="11">
        <v>5060</v>
      </c>
      <c r="D191" s="2" t="s">
        <v>146</v>
      </c>
      <c r="E191" s="10">
        <v>5500533</v>
      </c>
      <c r="F191" s="1" t="s">
        <v>95</v>
      </c>
      <c r="G191" s="1" t="s">
        <v>163</v>
      </c>
      <c r="H191" s="7" t="s">
        <v>39</v>
      </c>
      <c r="I191" s="12">
        <v>18410</v>
      </c>
      <c r="J191" s="13">
        <v>18410</v>
      </c>
    </row>
    <row r="192" spans="2:10" x14ac:dyDescent="0.2">
      <c r="B192" s="7">
        <v>190</v>
      </c>
      <c r="C192" s="11">
        <v>5060</v>
      </c>
      <c r="D192" s="2" t="s">
        <v>146</v>
      </c>
      <c r="E192" s="10">
        <v>5500533</v>
      </c>
      <c r="F192" s="1" t="s">
        <v>95</v>
      </c>
      <c r="G192" s="1" t="s">
        <v>163</v>
      </c>
      <c r="H192" s="7" t="s">
        <v>39</v>
      </c>
      <c r="I192" s="12">
        <v>19110</v>
      </c>
      <c r="J192" s="13">
        <v>19110</v>
      </c>
    </row>
    <row r="193" spans="2:10" x14ac:dyDescent="0.2">
      <c r="B193" s="7">
        <v>191</v>
      </c>
      <c r="C193" s="11">
        <v>5056</v>
      </c>
      <c r="D193" s="2" t="s">
        <v>124</v>
      </c>
      <c r="E193" s="10">
        <v>5000119</v>
      </c>
      <c r="F193" s="1" t="s">
        <v>0</v>
      </c>
      <c r="G193" s="1" t="s">
        <v>154</v>
      </c>
      <c r="H193" s="7" t="s">
        <v>1</v>
      </c>
      <c r="I193" s="12">
        <v>47600</v>
      </c>
      <c r="J193" s="13">
        <v>47600</v>
      </c>
    </row>
    <row r="194" spans="2:10" x14ac:dyDescent="0.2">
      <c r="B194" s="7">
        <v>192</v>
      </c>
      <c r="C194" s="11">
        <v>5056</v>
      </c>
      <c r="D194" s="2" t="s">
        <v>124</v>
      </c>
      <c r="E194" s="10">
        <v>5000119</v>
      </c>
      <c r="F194" s="1" t="s">
        <v>0</v>
      </c>
      <c r="G194" s="1" t="s">
        <v>154</v>
      </c>
      <c r="H194" s="7" t="s">
        <v>1</v>
      </c>
      <c r="I194" s="12">
        <v>46800</v>
      </c>
      <c r="J194" s="13">
        <v>46800</v>
      </c>
    </row>
    <row r="195" spans="2:10" x14ac:dyDescent="0.2">
      <c r="B195" s="7">
        <v>193</v>
      </c>
      <c r="C195" s="11">
        <v>5057</v>
      </c>
      <c r="D195" s="2" t="s">
        <v>142</v>
      </c>
      <c r="E195" s="10">
        <v>5500036</v>
      </c>
      <c r="F195" s="1" t="s">
        <v>46</v>
      </c>
      <c r="G195" s="1" t="s">
        <v>164</v>
      </c>
      <c r="H195" s="7" t="s">
        <v>7</v>
      </c>
      <c r="I195" s="12">
        <v>32400</v>
      </c>
      <c r="J195" s="13">
        <v>32400</v>
      </c>
    </row>
    <row r="196" spans="2:10" x14ac:dyDescent="0.2">
      <c r="B196" s="7">
        <v>194</v>
      </c>
      <c r="C196" s="11">
        <v>5058</v>
      </c>
      <c r="D196" s="2" t="s">
        <v>145</v>
      </c>
      <c r="E196" s="10">
        <v>5500040</v>
      </c>
      <c r="F196" s="1" t="s">
        <v>48</v>
      </c>
      <c r="G196" s="1" t="s">
        <v>164</v>
      </c>
      <c r="H196" s="7" t="s">
        <v>7</v>
      </c>
      <c r="I196" s="12">
        <v>5580</v>
      </c>
      <c r="J196" s="13">
        <v>5580</v>
      </c>
    </row>
    <row r="197" spans="2:10" x14ac:dyDescent="0.2">
      <c r="B197" s="7">
        <v>195</v>
      </c>
      <c r="C197" s="11">
        <v>5058</v>
      </c>
      <c r="D197" s="2" t="s">
        <v>145</v>
      </c>
      <c r="E197" s="10">
        <v>5500040</v>
      </c>
      <c r="F197" s="1" t="s">
        <v>48</v>
      </c>
      <c r="G197" s="1" t="s">
        <v>164</v>
      </c>
      <c r="H197" s="7" t="s">
        <v>7</v>
      </c>
      <c r="I197" s="12">
        <v>15900</v>
      </c>
      <c r="J197" s="13">
        <v>15900</v>
      </c>
    </row>
    <row r="198" spans="2:10" x14ac:dyDescent="0.2">
      <c r="B198" s="7">
        <v>196</v>
      </c>
      <c r="C198" s="11">
        <v>5058</v>
      </c>
      <c r="D198" s="2" t="s">
        <v>145</v>
      </c>
      <c r="E198" s="10">
        <v>5500040</v>
      </c>
      <c r="F198" s="1" t="s">
        <v>48</v>
      </c>
      <c r="G198" s="1" t="s">
        <v>164</v>
      </c>
      <c r="H198" s="7" t="s">
        <v>7</v>
      </c>
      <c r="I198" s="12">
        <v>15960</v>
      </c>
      <c r="J198" s="13">
        <v>15960</v>
      </c>
    </row>
    <row r="199" spans="2:10" x14ac:dyDescent="0.2">
      <c r="B199" s="7">
        <v>197</v>
      </c>
      <c r="C199" s="11">
        <v>5058</v>
      </c>
      <c r="D199" s="2" t="s">
        <v>145</v>
      </c>
      <c r="E199" s="10">
        <v>8000153</v>
      </c>
      <c r="F199" s="1" t="s">
        <v>102</v>
      </c>
      <c r="G199" s="1" t="s">
        <v>164</v>
      </c>
      <c r="H199" s="7" t="s">
        <v>7</v>
      </c>
      <c r="I199" s="12">
        <v>26400</v>
      </c>
      <c r="J199" s="13">
        <v>26400</v>
      </c>
    </row>
    <row r="200" spans="2:10" x14ac:dyDescent="0.2">
      <c r="I200" s="13">
        <f>SUM(I3:I199)</f>
        <v>5452408</v>
      </c>
      <c r="J200" s="13">
        <f>SUM(J3:J199)</f>
        <v>24582524</v>
      </c>
    </row>
  </sheetData>
  <autoFilter ref="C2:J199">
    <sortState ref="C4:J200">
      <sortCondition ref="D4:D200"/>
    </sortState>
  </autoFilter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SUMMARY</vt:lpstr>
      <vt:lpstr>Sum</vt:lpstr>
      <vt:lpstr>PTN</vt:lpstr>
      <vt:lpstr>Sheet3</vt:lpstr>
      <vt:lpstr>Plant Master</vt:lpstr>
      <vt:lpstr>DHJ</vt:lpstr>
      <vt:lpstr>GHT</vt:lpstr>
      <vt:lpstr>PMR</vt:lpstr>
      <vt:lpstr>CTGN</vt:lpstr>
      <vt:lpstr>CKT</vt:lpstr>
      <vt:lpstr>CML</vt:lpstr>
      <vt:lpstr>TP</vt:lpstr>
      <vt:lpstr>VOP_Apr-22</vt:lpstr>
      <vt:lpstr>Sheet1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Qliksense</cp:lastModifiedBy>
  <cp:revision>1</cp:revision>
  <cp:lastPrinted>2018-10-24T09:34:24Z</cp:lastPrinted>
  <dcterms:created xsi:type="dcterms:W3CDTF">2018-10-03T08:13:00Z</dcterms:created>
  <dcterms:modified xsi:type="dcterms:W3CDTF">2022-06-15T08:32:46Z</dcterms:modified>
  <cp:category/>
</cp:coreProperties>
</file>